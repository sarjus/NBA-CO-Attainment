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JCET\Desktop\"/>
    </mc:Choice>
  </mc:AlternateContent>
  <bookViews>
    <workbookView xWindow="0" yWindow="0" windowWidth="23040" windowHeight="9192"/>
  </bookViews>
  <sheets>
    <sheet name="INPUT" sheetId="7" r:id="rId1"/>
    <sheet name="INTERNAL TEST-1  " sheetId="12" state="hidden" r:id="rId2"/>
    <sheet name="INTERNAL TEST-2" sheetId="22" state="hidden" r:id="rId3"/>
    <sheet name="ASSIGNMENT" sheetId="21" state="hidden" r:id="rId4"/>
    <sheet name="Course Exit Survey" sheetId="15" state="hidden" r:id="rId5"/>
    <sheet name="SEMESTER EXAM RESULT" sheetId="14" state="hidden" r:id="rId6"/>
    <sheet name="Direct CO Attainment" sheetId="13" state="hidden" r:id="rId7"/>
    <sheet name="CO Attainment" sheetId="17" state="hidden" r:id="rId8"/>
    <sheet name="PO Attainment" sheetId="19" state="hidden" r:id="rId9"/>
    <sheet name="LABEL DROPDOWN" sheetId="6" state="hidden" r:id="rId10"/>
  </sheets>
  <definedNames>
    <definedName name="CheckRange" localSheetId="3">ASSIGNMENT!$B$14:$B$139</definedName>
    <definedName name="CheckRange" localSheetId="2">'INTERNAL TEST-2'!$B$14:$B$139</definedName>
    <definedName name="CheckRange">'INTERNAL TEST-1  '!$B$14:$B$139</definedName>
    <definedName name="CO">'LABEL DROPDOWN'!$A$1:$A$7</definedName>
    <definedName name="grades" localSheetId="3">'LABEL DROPDOWN'!#REF!</definedName>
    <definedName name="grades" localSheetId="7">'LABEL DROPDOWN'!#REF!</definedName>
    <definedName name="grades" localSheetId="4">'LABEL DROPDOWN'!#REF!</definedName>
    <definedName name="grades" localSheetId="2">'LABEL DROPDOWN'!#REF!</definedName>
    <definedName name="grades" localSheetId="8">'LABEL DROPDOWN'!#REF!</definedName>
    <definedName name="grades">'LABEL DROPDOWN'!#REF!</definedName>
    <definedName name="KL">'LABEL DROPDOWN'!$C$1:$C$6</definedName>
    <definedName name="_xlnm.Print_Area" localSheetId="4">'Course Exit Survey'!$A$1:$AA$140</definedName>
    <definedName name="_xlnm.Print_Area" localSheetId="5">'SEMESTER EXAM RESULT'!$A$1:$E$145</definedName>
    <definedName name="_xlnm.Print_Titles" localSheetId="3">ASSIGNMENT!$10:$13</definedName>
    <definedName name="_xlnm.Print_Titles" localSheetId="4">'Course Exit Survey'!$8:$9</definedName>
    <definedName name="_xlnm.Print_Titles" localSheetId="6">'Direct CO Attainment'!$9:$13</definedName>
    <definedName name="_xlnm.Print_Titles" localSheetId="1">'INTERNAL TEST-1  '!$10:$13</definedName>
    <definedName name="_xlnm.Print_Titles" localSheetId="2">'INTERNAL TEST-2'!$10:$13</definedName>
    <definedName name="_xlnm.Print_Titles" localSheetId="5">'SEMESTER EXAM RESULT'!$10:$14</definedName>
    <definedName name="R_2015">'LABEL DROPDOWN'!$E$2:$E$11</definedName>
    <definedName name="R_2019">'LABEL DROPDOWN'!$F$2:$F$13</definedName>
    <definedName name="Regulation">'LABEL DROPDOWN'!$D$2:$D$3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1" i="19" l="1"/>
  <c r="D21" i="19"/>
  <c r="E21" i="19"/>
  <c r="F21" i="19"/>
  <c r="G21" i="19"/>
  <c r="H21" i="19"/>
  <c r="I21" i="19"/>
  <c r="J21" i="19"/>
  <c r="K21" i="19"/>
  <c r="L21" i="19"/>
  <c r="M21" i="19"/>
  <c r="N21" i="19"/>
  <c r="O21" i="19"/>
  <c r="P21" i="19"/>
  <c r="C20" i="19"/>
  <c r="D20" i="19"/>
  <c r="E20" i="19"/>
  <c r="F20" i="19"/>
  <c r="G20" i="19"/>
  <c r="H20" i="19"/>
  <c r="I20" i="19"/>
  <c r="J20" i="19"/>
  <c r="K20" i="19"/>
  <c r="L20" i="19"/>
  <c r="M20" i="19"/>
  <c r="N20" i="19"/>
  <c r="O20" i="19"/>
  <c r="P20" i="19"/>
  <c r="C19" i="19"/>
  <c r="D19" i="19"/>
  <c r="E19" i="19"/>
  <c r="F19" i="19"/>
  <c r="G19" i="19"/>
  <c r="H19" i="19"/>
  <c r="I19" i="19"/>
  <c r="J19" i="19"/>
  <c r="K19" i="19"/>
  <c r="L19" i="19"/>
  <c r="M19" i="19"/>
  <c r="N19" i="19"/>
  <c r="O19" i="19"/>
  <c r="P19" i="19"/>
  <c r="C18" i="19"/>
  <c r="D18" i="19"/>
  <c r="E18" i="19"/>
  <c r="F18" i="19"/>
  <c r="G18" i="19"/>
  <c r="H18" i="19"/>
  <c r="I18" i="19"/>
  <c r="J18" i="19"/>
  <c r="K18" i="19"/>
  <c r="L18" i="19"/>
  <c r="M18" i="19"/>
  <c r="N18" i="19"/>
  <c r="O18" i="19"/>
  <c r="P18" i="19"/>
  <c r="C17" i="19"/>
  <c r="D17" i="19"/>
  <c r="E17" i="19"/>
  <c r="F17" i="19"/>
  <c r="G17" i="19"/>
  <c r="H17" i="19"/>
  <c r="I17" i="19"/>
  <c r="J17" i="19"/>
  <c r="K17" i="19"/>
  <c r="L17" i="19"/>
  <c r="M17" i="19"/>
  <c r="N17" i="19"/>
  <c r="O17" i="19"/>
  <c r="P17" i="19"/>
  <c r="C16" i="19"/>
  <c r="D16" i="19"/>
  <c r="E16" i="19"/>
  <c r="F16" i="19"/>
  <c r="G16" i="19"/>
  <c r="H16" i="19"/>
  <c r="I16" i="19"/>
  <c r="J16" i="19"/>
  <c r="K16" i="19"/>
  <c r="L16" i="19"/>
  <c r="M16" i="19"/>
  <c r="N16" i="19"/>
  <c r="O16" i="19"/>
  <c r="P16" i="19"/>
  <c r="C15" i="19"/>
  <c r="D15" i="19"/>
  <c r="E15" i="19"/>
  <c r="F15" i="19"/>
  <c r="G15" i="19"/>
  <c r="H15" i="19"/>
  <c r="I15" i="19"/>
  <c r="J15" i="19"/>
  <c r="K15" i="19"/>
  <c r="L15" i="19"/>
  <c r="M15" i="19"/>
  <c r="N15" i="19"/>
  <c r="O15" i="19"/>
  <c r="P15" i="19"/>
  <c r="C14" i="19"/>
  <c r="D14" i="19"/>
  <c r="E14" i="19"/>
  <c r="F14" i="19"/>
  <c r="G14" i="19"/>
  <c r="H14" i="19"/>
  <c r="I14" i="19"/>
  <c r="J14" i="19"/>
  <c r="K14" i="19"/>
  <c r="L14" i="19"/>
  <c r="M14" i="19"/>
  <c r="N14" i="19"/>
  <c r="O14" i="19"/>
  <c r="P14" i="19"/>
  <c r="C13" i="19"/>
  <c r="D13" i="19"/>
  <c r="E13" i="19"/>
  <c r="F13" i="19"/>
  <c r="G13" i="19"/>
  <c r="H13" i="19"/>
  <c r="I13" i="19"/>
  <c r="J13" i="19"/>
  <c r="K13" i="19"/>
  <c r="L13" i="19"/>
  <c r="M13" i="19"/>
  <c r="N13" i="19"/>
  <c r="O13" i="19"/>
  <c r="P13" i="19"/>
  <c r="D12" i="19"/>
  <c r="E12" i="19"/>
  <c r="F12" i="19"/>
  <c r="G12" i="19"/>
  <c r="H12" i="19"/>
  <c r="I12" i="19"/>
  <c r="J12" i="19"/>
  <c r="K12" i="19"/>
  <c r="L12" i="19"/>
  <c r="M12" i="19"/>
  <c r="N12" i="19"/>
  <c r="O12" i="19"/>
  <c r="P12" i="19"/>
  <c r="C12" i="19"/>
  <c r="D11" i="19"/>
  <c r="E11" i="19"/>
  <c r="F11" i="19"/>
  <c r="G11" i="19"/>
  <c r="H11" i="19"/>
  <c r="I11" i="19"/>
  <c r="J11" i="19"/>
  <c r="K11" i="19"/>
  <c r="L11" i="19"/>
  <c r="M11" i="19"/>
  <c r="N11" i="19"/>
  <c r="O11" i="19"/>
  <c r="P11" i="19"/>
  <c r="C11" i="19"/>
  <c r="C10" i="19"/>
  <c r="D10" i="19"/>
  <c r="E10" i="19"/>
  <c r="F10" i="19"/>
  <c r="G10" i="19"/>
  <c r="H10" i="19"/>
  <c r="I10" i="19"/>
  <c r="J10" i="19"/>
  <c r="K10" i="19"/>
  <c r="L10" i="19"/>
  <c r="M10" i="19"/>
  <c r="N10" i="19"/>
  <c r="O10" i="19"/>
  <c r="P10" i="19"/>
  <c r="B21" i="19"/>
  <c r="B20" i="19"/>
  <c r="B19" i="19"/>
  <c r="B18" i="19"/>
  <c r="B17" i="19"/>
  <c r="B16" i="19"/>
  <c r="B15" i="19"/>
  <c r="B14" i="19"/>
  <c r="B13" i="19"/>
  <c r="B12" i="19"/>
  <c r="B11" i="19"/>
  <c r="C15" i="22"/>
  <c r="C16" i="22"/>
  <c r="C17" i="22"/>
  <c r="C18" i="22"/>
  <c r="C19" i="22"/>
  <c r="C20" i="22"/>
  <c r="C21" i="22"/>
  <c r="C22" i="22"/>
  <c r="C23" i="22"/>
  <c r="C24" i="22"/>
  <c r="C25" i="22"/>
  <c r="C26" i="22"/>
  <c r="C27" i="22"/>
  <c r="C28" i="22"/>
  <c r="C29" i="22"/>
  <c r="C30" i="22"/>
  <c r="C31" i="22"/>
  <c r="C32" i="22"/>
  <c r="C33" i="22"/>
  <c r="C34" i="22"/>
  <c r="C35" i="22"/>
  <c r="C36" i="22"/>
  <c r="C37" i="22"/>
  <c r="C38" i="22"/>
  <c r="C39" i="22"/>
  <c r="C40" i="22"/>
  <c r="C41" i="22"/>
  <c r="C42" i="22"/>
  <c r="C43" i="22"/>
  <c r="C44" i="22"/>
  <c r="C45" i="22"/>
  <c r="C46" i="22"/>
  <c r="C47" i="22"/>
  <c r="C48" i="22"/>
  <c r="C49" i="22"/>
  <c r="C50" i="22"/>
  <c r="C51" i="22"/>
  <c r="C52" i="22"/>
  <c r="C53" i="22"/>
  <c r="C54" i="22"/>
  <c r="C55" i="22"/>
  <c r="C56" i="22"/>
  <c r="C57" i="22"/>
  <c r="C58" i="22"/>
  <c r="C59" i="22"/>
  <c r="C60" i="22"/>
  <c r="C61" i="22"/>
  <c r="C62" i="22"/>
  <c r="C63" i="22"/>
  <c r="C64" i="22"/>
  <c r="C65" i="22"/>
  <c r="C66" i="22"/>
  <c r="C67" i="22"/>
  <c r="C68" i="22"/>
  <c r="C69" i="22"/>
  <c r="C70" i="22"/>
  <c r="C71" i="22"/>
  <c r="C72" i="22"/>
  <c r="C73" i="22"/>
  <c r="C74" i="22"/>
  <c r="C75" i="22"/>
  <c r="C76" i="22"/>
  <c r="C77" i="22"/>
  <c r="C78" i="22"/>
  <c r="C79" i="22"/>
  <c r="C80" i="22"/>
  <c r="C81" i="22"/>
  <c r="C82" i="22"/>
  <c r="C83" i="22"/>
  <c r="C84" i="22"/>
  <c r="C85" i="22"/>
  <c r="C86" i="22"/>
  <c r="C87" i="22"/>
  <c r="C88" i="22"/>
  <c r="C89" i="22"/>
  <c r="C90" i="22"/>
  <c r="C91" i="22"/>
  <c r="C92" i="22"/>
  <c r="C93" i="22"/>
  <c r="C94" i="22"/>
  <c r="C95" i="22"/>
  <c r="C96" i="22"/>
  <c r="C97" i="22"/>
  <c r="C98" i="22"/>
  <c r="C99" i="22"/>
  <c r="C100" i="22"/>
  <c r="C101" i="22"/>
  <c r="C102" i="22"/>
  <c r="C103" i="22"/>
  <c r="C104" i="22"/>
  <c r="C105" i="22"/>
  <c r="C106" i="22"/>
  <c r="C107" i="22"/>
  <c r="C108" i="22"/>
  <c r="C109" i="22"/>
  <c r="C110" i="22"/>
  <c r="C111" i="22"/>
  <c r="C112" i="22"/>
  <c r="C113" i="22"/>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 i="22"/>
  <c r="A3" i="22"/>
  <c r="T10" i="22" l="1"/>
  <c r="S10" i="22"/>
  <c r="R10" i="22"/>
  <c r="Q10" i="22"/>
  <c r="P10" i="22"/>
  <c r="O10" i="22"/>
  <c r="N10" i="22"/>
  <c r="M10" i="22"/>
  <c r="L10" i="22"/>
  <c r="K10" i="22"/>
  <c r="J10" i="22"/>
  <c r="I10" i="22"/>
  <c r="H10" i="22"/>
  <c r="G10" i="22"/>
  <c r="F10" i="22"/>
  <c r="P13" i="22"/>
  <c r="P12" i="22"/>
  <c r="T13" i="22"/>
  <c r="T12" i="22"/>
  <c r="T11" i="22"/>
  <c r="S13" i="22"/>
  <c r="S12" i="22"/>
  <c r="S11" i="22"/>
  <c r="R13" i="22"/>
  <c r="R12" i="22"/>
  <c r="R11" i="22"/>
  <c r="Q13" i="22"/>
  <c r="Q12" i="22"/>
  <c r="Q11" i="22"/>
  <c r="O13" i="22"/>
  <c r="O12" i="22"/>
  <c r="O11" i="22"/>
  <c r="N13" i="22"/>
  <c r="N12" i="22"/>
  <c r="N11" i="22"/>
  <c r="M13" i="22"/>
  <c r="M12" i="22"/>
  <c r="M11" i="22"/>
  <c r="L13" i="22"/>
  <c r="L12" i="22"/>
  <c r="L11" i="22"/>
  <c r="K13" i="22"/>
  <c r="K12" i="22"/>
  <c r="K11" i="22"/>
  <c r="J13" i="22"/>
  <c r="J12" i="22"/>
  <c r="J11" i="22"/>
  <c r="I13" i="22"/>
  <c r="I12" i="22"/>
  <c r="I11" i="22"/>
  <c r="H13" i="22"/>
  <c r="H12" i="22"/>
  <c r="H11" i="22"/>
  <c r="G13" i="22"/>
  <c r="G12" i="22"/>
  <c r="G11" i="22"/>
  <c r="F13" i="22"/>
  <c r="F12" i="22"/>
  <c r="F11" i="22"/>
  <c r="E13" i="22"/>
  <c r="E12" i="22"/>
  <c r="E11" i="22"/>
  <c r="P11" i="22"/>
  <c r="E10" i="22"/>
  <c r="D10" i="22"/>
  <c r="D13" i="22"/>
  <c r="D12" i="22"/>
  <c r="D11" i="22"/>
  <c r="A17" i="19"/>
  <c r="A18" i="19"/>
  <c r="A19" i="19"/>
  <c r="A20" i="19"/>
  <c r="A21" i="19"/>
  <c r="D145" i="14"/>
  <c r="P11" i="15"/>
  <c r="Q11" i="15"/>
  <c r="R11" i="15"/>
  <c r="S11" i="15"/>
  <c r="T11" i="15"/>
  <c r="U11" i="15"/>
  <c r="V11" i="15"/>
  <c r="W11" i="15"/>
  <c r="X11" i="15"/>
  <c r="Y11" i="15"/>
  <c r="Z11" i="15"/>
  <c r="AA11" i="15"/>
  <c r="P12" i="15"/>
  <c r="Q12" i="15"/>
  <c r="R12" i="15"/>
  <c r="S12" i="15"/>
  <c r="T12" i="15"/>
  <c r="U12" i="15"/>
  <c r="V12" i="15"/>
  <c r="W12" i="15"/>
  <c r="X12" i="15"/>
  <c r="Y12" i="15"/>
  <c r="Z12" i="15"/>
  <c r="AA12" i="15"/>
  <c r="P13" i="15"/>
  <c r="Q13" i="15"/>
  <c r="R13" i="15"/>
  <c r="S13" i="15"/>
  <c r="T13" i="15"/>
  <c r="U13" i="15"/>
  <c r="V13" i="15"/>
  <c r="W13" i="15"/>
  <c r="X13" i="15"/>
  <c r="Y13" i="15"/>
  <c r="Z13" i="15"/>
  <c r="AA13" i="15"/>
  <c r="P14" i="15"/>
  <c r="Q14" i="15"/>
  <c r="R14" i="15"/>
  <c r="S14" i="15"/>
  <c r="T14" i="15"/>
  <c r="U14" i="15"/>
  <c r="V14" i="15"/>
  <c r="W14" i="15"/>
  <c r="X14" i="15"/>
  <c r="Y14" i="15"/>
  <c r="Z14" i="15"/>
  <c r="AA14" i="15"/>
  <c r="P15" i="15"/>
  <c r="Q15" i="15"/>
  <c r="R15" i="15"/>
  <c r="S15" i="15"/>
  <c r="T15" i="15"/>
  <c r="U15" i="15"/>
  <c r="V15" i="15"/>
  <c r="W15" i="15"/>
  <c r="X15" i="15"/>
  <c r="Y15" i="15"/>
  <c r="Z15" i="15"/>
  <c r="AA15" i="15"/>
  <c r="P16" i="15"/>
  <c r="Q16" i="15"/>
  <c r="R16" i="15"/>
  <c r="S16" i="15"/>
  <c r="T16" i="15"/>
  <c r="U16" i="15"/>
  <c r="V16" i="15"/>
  <c r="W16" i="15"/>
  <c r="X16" i="15"/>
  <c r="Y16" i="15"/>
  <c r="Z16" i="15"/>
  <c r="AA16" i="15"/>
  <c r="P17" i="15"/>
  <c r="Q17" i="15"/>
  <c r="R17" i="15"/>
  <c r="S17" i="15"/>
  <c r="T17" i="15"/>
  <c r="U17" i="15"/>
  <c r="V17" i="15"/>
  <c r="W17" i="15"/>
  <c r="X17" i="15"/>
  <c r="Y17" i="15"/>
  <c r="Z17" i="15"/>
  <c r="AA17" i="15"/>
  <c r="P18" i="15"/>
  <c r="Q18" i="15"/>
  <c r="R18" i="15"/>
  <c r="S18" i="15"/>
  <c r="T18" i="15"/>
  <c r="U18" i="15"/>
  <c r="V18" i="15"/>
  <c r="W18" i="15"/>
  <c r="X18" i="15"/>
  <c r="Y18" i="15"/>
  <c r="Z18" i="15"/>
  <c r="AA18" i="15"/>
  <c r="P19" i="15"/>
  <c r="Q19" i="15"/>
  <c r="R19" i="15"/>
  <c r="S19" i="15"/>
  <c r="T19" i="15"/>
  <c r="U19" i="15"/>
  <c r="V19" i="15"/>
  <c r="W19" i="15"/>
  <c r="X19" i="15"/>
  <c r="Y19" i="15"/>
  <c r="Z19" i="15"/>
  <c r="AA19" i="15"/>
  <c r="P20" i="15"/>
  <c r="Q20" i="15"/>
  <c r="R20" i="15"/>
  <c r="S20" i="15"/>
  <c r="T20" i="15"/>
  <c r="U20" i="15"/>
  <c r="V20" i="15"/>
  <c r="W20" i="15"/>
  <c r="X20" i="15"/>
  <c r="Y20" i="15"/>
  <c r="Z20" i="15"/>
  <c r="AA20" i="15"/>
  <c r="P21" i="15"/>
  <c r="Q21" i="15"/>
  <c r="R21" i="15"/>
  <c r="S21" i="15"/>
  <c r="T21" i="15"/>
  <c r="U21" i="15"/>
  <c r="V21" i="15"/>
  <c r="W21" i="15"/>
  <c r="X21" i="15"/>
  <c r="Y21" i="15"/>
  <c r="Z21" i="15"/>
  <c r="AA21" i="15"/>
  <c r="P22" i="15"/>
  <c r="Q22" i="15"/>
  <c r="R22" i="15"/>
  <c r="S22" i="15"/>
  <c r="T22" i="15"/>
  <c r="U22" i="15"/>
  <c r="V22" i="15"/>
  <c r="W22" i="15"/>
  <c r="X22" i="15"/>
  <c r="Y22" i="15"/>
  <c r="Z22" i="15"/>
  <c r="AA22" i="15"/>
  <c r="P23" i="15"/>
  <c r="Q23" i="15"/>
  <c r="R23" i="15"/>
  <c r="S23" i="15"/>
  <c r="T23" i="15"/>
  <c r="U23" i="15"/>
  <c r="V23" i="15"/>
  <c r="W23" i="15"/>
  <c r="X23" i="15"/>
  <c r="Y23" i="15"/>
  <c r="Z23" i="15"/>
  <c r="AA23" i="15"/>
  <c r="P24" i="15"/>
  <c r="Q24" i="15"/>
  <c r="R24" i="15"/>
  <c r="S24" i="15"/>
  <c r="T24" i="15"/>
  <c r="U24" i="15"/>
  <c r="V24" i="15"/>
  <c r="W24" i="15"/>
  <c r="X24" i="15"/>
  <c r="Y24" i="15"/>
  <c r="Z24" i="15"/>
  <c r="AA24" i="15"/>
  <c r="P25" i="15"/>
  <c r="Q25" i="15"/>
  <c r="R25" i="15"/>
  <c r="S25" i="15"/>
  <c r="T25" i="15"/>
  <c r="U25" i="15"/>
  <c r="V25" i="15"/>
  <c r="W25" i="15"/>
  <c r="X25" i="15"/>
  <c r="Y25" i="15"/>
  <c r="Z25" i="15"/>
  <c r="AA25" i="15"/>
  <c r="P26" i="15"/>
  <c r="Q26" i="15"/>
  <c r="R26" i="15"/>
  <c r="S26" i="15"/>
  <c r="T26" i="15"/>
  <c r="U26" i="15"/>
  <c r="V26" i="15"/>
  <c r="W26" i="15"/>
  <c r="X26" i="15"/>
  <c r="Y26" i="15"/>
  <c r="Z26" i="15"/>
  <c r="AA26" i="15"/>
  <c r="P27" i="15"/>
  <c r="Q27" i="15"/>
  <c r="R27" i="15"/>
  <c r="S27" i="15"/>
  <c r="T27" i="15"/>
  <c r="U27" i="15"/>
  <c r="V27" i="15"/>
  <c r="W27" i="15"/>
  <c r="X27" i="15"/>
  <c r="Y27" i="15"/>
  <c r="Z27" i="15"/>
  <c r="AA27" i="15"/>
  <c r="P28" i="15"/>
  <c r="Q28" i="15"/>
  <c r="R28" i="15"/>
  <c r="S28" i="15"/>
  <c r="T28" i="15"/>
  <c r="U28" i="15"/>
  <c r="V28" i="15"/>
  <c r="W28" i="15"/>
  <c r="X28" i="15"/>
  <c r="Y28" i="15"/>
  <c r="Z28" i="15"/>
  <c r="AA28" i="15"/>
  <c r="P29" i="15"/>
  <c r="Q29" i="15"/>
  <c r="R29" i="15"/>
  <c r="S29" i="15"/>
  <c r="T29" i="15"/>
  <c r="U29" i="15"/>
  <c r="V29" i="15"/>
  <c r="W29" i="15"/>
  <c r="X29" i="15"/>
  <c r="Y29" i="15"/>
  <c r="Z29" i="15"/>
  <c r="AA29" i="15"/>
  <c r="P30" i="15"/>
  <c r="Q30" i="15"/>
  <c r="R30" i="15"/>
  <c r="S30" i="15"/>
  <c r="T30" i="15"/>
  <c r="U30" i="15"/>
  <c r="V30" i="15"/>
  <c r="W30" i="15"/>
  <c r="X30" i="15"/>
  <c r="Y30" i="15"/>
  <c r="Z30" i="15"/>
  <c r="AA30" i="15"/>
  <c r="P31" i="15"/>
  <c r="Q31" i="15"/>
  <c r="R31" i="15"/>
  <c r="S31" i="15"/>
  <c r="T31" i="15"/>
  <c r="U31" i="15"/>
  <c r="V31" i="15"/>
  <c r="W31" i="15"/>
  <c r="X31" i="15"/>
  <c r="Y31" i="15"/>
  <c r="Z31" i="15"/>
  <c r="AA31" i="15"/>
  <c r="P32" i="15"/>
  <c r="Q32" i="15"/>
  <c r="R32" i="15"/>
  <c r="S32" i="15"/>
  <c r="T32" i="15"/>
  <c r="U32" i="15"/>
  <c r="V32" i="15"/>
  <c r="W32" i="15"/>
  <c r="X32" i="15"/>
  <c r="Y32" i="15"/>
  <c r="Z32" i="15"/>
  <c r="AA32" i="15"/>
  <c r="P33" i="15"/>
  <c r="Q33" i="15"/>
  <c r="R33" i="15"/>
  <c r="S33" i="15"/>
  <c r="T33" i="15"/>
  <c r="U33" i="15"/>
  <c r="V33" i="15"/>
  <c r="W33" i="15"/>
  <c r="X33" i="15"/>
  <c r="Y33" i="15"/>
  <c r="Z33" i="15"/>
  <c r="AA33" i="15"/>
  <c r="P34" i="15"/>
  <c r="Q34" i="15"/>
  <c r="R34" i="15"/>
  <c r="S34" i="15"/>
  <c r="T34" i="15"/>
  <c r="U34" i="15"/>
  <c r="V34" i="15"/>
  <c r="W34" i="15"/>
  <c r="X34" i="15"/>
  <c r="Y34" i="15"/>
  <c r="Z34" i="15"/>
  <c r="AA34" i="15"/>
  <c r="P35" i="15"/>
  <c r="Q35" i="15"/>
  <c r="R35" i="15"/>
  <c r="S35" i="15"/>
  <c r="T35" i="15"/>
  <c r="U35" i="15"/>
  <c r="V35" i="15"/>
  <c r="W35" i="15"/>
  <c r="X35" i="15"/>
  <c r="Y35" i="15"/>
  <c r="Z35" i="15"/>
  <c r="AA35" i="15"/>
  <c r="P36" i="15"/>
  <c r="Q36" i="15"/>
  <c r="R36" i="15"/>
  <c r="S36" i="15"/>
  <c r="T36" i="15"/>
  <c r="U36" i="15"/>
  <c r="V36" i="15"/>
  <c r="W36" i="15"/>
  <c r="X36" i="15"/>
  <c r="Y36" i="15"/>
  <c r="Z36" i="15"/>
  <c r="AA36" i="15"/>
  <c r="P37" i="15"/>
  <c r="Q37" i="15"/>
  <c r="R37" i="15"/>
  <c r="S37" i="15"/>
  <c r="T37" i="15"/>
  <c r="U37" i="15"/>
  <c r="V37" i="15"/>
  <c r="W37" i="15"/>
  <c r="X37" i="15"/>
  <c r="Y37" i="15"/>
  <c r="Z37" i="15"/>
  <c r="AA37" i="15"/>
  <c r="P38" i="15"/>
  <c r="Q38" i="15"/>
  <c r="R38" i="15"/>
  <c r="S38" i="15"/>
  <c r="T38" i="15"/>
  <c r="U38" i="15"/>
  <c r="V38" i="15"/>
  <c r="W38" i="15"/>
  <c r="X38" i="15"/>
  <c r="Y38" i="15"/>
  <c r="Z38" i="15"/>
  <c r="AA38" i="15"/>
  <c r="P39" i="15"/>
  <c r="Q39" i="15"/>
  <c r="R39" i="15"/>
  <c r="S39" i="15"/>
  <c r="T39" i="15"/>
  <c r="U39" i="15"/>
  <c r="V39" i="15"/>
  <c r="W39" i="15"/>
  <c r="X39" i="15"/>
  <c r="Y39" i="15"/>
  <c r="Z39" i="15"/>
  <c r="AA39" i="15"/>
  <c r="P40" i="15"/>
  <c r="Q40" i="15"/>
  <c r="R40" i="15"/>
  <c r="S40" i="15"/>
  <c r="T40" i="15"/>
  <c r="U40" i="15"/>
  <c r="V40" i="15"/>
  <c r="W40" i="15"/>
  <c r="X40" i="15"/>
  <c r="Y40" i="15"/>
  <c r="Z40" i="15"/>
  <c r="AA40" i="15"/>
  <c r="P41" i="15"/>
  <c r="Q41" i="15"/>
  <c r="R41" i="15"/>
  <c r="S41" i="15"/>
  <c r="T41" i="15"/>
  <c r="U41" i="15"/>
  <c r="V41" i="15"/>
  <c r="W41" i="15"/>
  <c r="X41" i="15"/>
  <c r="Y41" i="15"/>
  <c r="Z41" i="15"/>
  <c r="AA41" i="15"/>
  <c r="P42" i="15"/>
  <c r="Q42" i="15"/>
  <c r="R42" i="15"/>
  <c r="S42" i="15"/>
  <c r="T42" i="15"/>
  <c r="U42" i="15"/>
  <c r="V42" i="15"/>
  <c r="W42" i="15"/>
  <c r="X42" i="15"/>
  <c r="Y42" i="15"/>
  <c r="Z42" i="15"/>
  <c r="AA42" i="15"/>
  <c r="P43" i="15"/>
  <c r="Q43" i="15"/>
  <c r="R43" i="15"/>
  <c r="S43" i="15"/>
  <c r="T43" i="15"/>
  <c r="U43" i="15"/>
  <c r="V43" i="15"/>
  <c r="W43" i="15"/>
  <c r="X43" i="15"/>
  <c r="Y43" i="15"/>
  <c r="Z43" i="15"/>
  <c r="AA43" i="15"/>
  <c r="P44" i="15"/>
  <c r="Q44" i="15"/>
  <c r="R44" i="15"/>
  <c r="S44" i="15"/>
  <c r="T44" i="15"/>
  <c r="U44" i="15"/>
  <c r="V44" i="15"/>
  <c r="W44" i="15"/>
  <c r="X44" i="15"/>
  <c r="Y44" i="15"/>
  <c r="Z44" i="15"/>
  <c r="AA44" i="15"/>
  <c r="P45" i="15"/>
  <c r="Q45" i="15"/>
  <c r="R45" i="15"/>
  <c r="S45" i="15"/>
  <c r="T45" i="15"/>
  <c r="U45" i="15"/>
  <c r="V45" i="15"/>
  <c r="W45" i="15"/>
  <c r="X45" i="15"/>
  <c r="Y45" i="15"/>
  <c r="Z45" i="15"/>
  <c r="AA45" i="15"/>
  <c r="P46" i="15"/>
  <c r="Q46" i="15"/>
  <c r="R46" i="15"/>
  <c r="S46" i="15"/>
  <c r="T46" i="15"/>
  <c r="U46" i="15"/>
  <c r="V46" i="15"/>
  <c r="W46" i="15"/>
  <c r="X46" i="15"/>
  <c r="Y46" i="15"/>
  <c r="Z46" i="15"/>
  <c r="AA46" i="15"/>
  <c r="P47" i="15"/>
  <c r="Q47" i="15"/>
  <c r="R47" i="15"/>
  <c r="S47" i="15"/>
  <c r="T47" i="15"/>
  <c r="U47" i="15"/>
  <c r="V47" i="15"/>
  <c r="W47" i="15"/>
  <c r="X47" i="15"/>
  <c r="Y47" i="15"/>
  <c r="Z47" i="15"/>
  <c r="AA47" i="15"/>
  <c r="P48" i="15"/>
  <c r="Q48" i="15"/>
  <c r="R48" i="15"/>
  <c r="S48" i="15"/>
  <c r="T48" i="15"/>
  <c r="U48" i="15"/>
  <c r="V48" i="15"/>
  <c r="W48" i="15"/>
  <c r="X48" i="15"/>
  <c r="Y48" i="15"/>
  <c r="Z48" i="15"/>
  <c r="AA48" i="15"/>
  <c r="P49" i="15"/>
  <c r="Q49" i="15"/>
  <c r="R49" i="15"/>
  <c r="S49" i="15"/>
  <c r="T49" i="15"/>
  <c r="U49" i="15"/>
  <c r="V49" i="15"/>
  <c r="W49" i="15"/>
  <c r="X49" i="15"/>
  <c r="Y49" i="15"/>
  <c r="Z49" i="15"/>
  <c r="AA49" i="15"/>
  <c r="P50" i="15"/>
  <c r="Q50" i="15"/>
  <c r="R50" i="15"/>
  <c r="S50" i="15"/>
  <c r="T50" i="15"/>
  <c r="U50" i="15"/>
  <c r="V50" i="15"/>
  <c r="W50" i="15"/>
  <c r="X50" i="15"/>
  <c r="Y50" i="15"/>
  <c r="Z50" i="15"/>
  <c r="AA50" i="15"/>
  <c r="P51" i="15"/>
  <c r="Q51" i="15"/>
  <c r="R51" i="15"/>
  <c r="S51" i="15"/>
  <c r="T51" i="15"/>
  <c r="U51" i="15"/>
  <c r="V51" i="15"/>
  <c r="W51" i="15"/>
  <c r="X51" i="15"/>
  <c r="Y51" i="15"/>
  <c r="Z51" i="15"/>
  <c r="AA51" i="15"/>
  <c r="P52" i="15"/>
  <c r="Q52" i="15"/>
  <c r="R52" i="15"/>
  <c r="S52" i="15"/>
  <c r="T52" i="15"/>
  <c r="U52" i="15"/>
  <c r="V52" i="15"/>
  <c r="W52" i="15"/>
  <c r="X52" i="15"/>
  <c r="Y52" i="15"/>
  <c r="Z52" i="15"/>
  <c r="AA52" i="15"/>
  <c r="P53" i="15"/>
  <c r="Q53" i="15"/>
  <c r="R53" i="15"/>
  <c r="S53" i="15"/>
  <c r="T53" i="15"/>
  <c r="U53" i="15"/>
  <c r="V53" i="15"/>
  <c r="W53" i="15"/>
  <c r="X53" i="15"/>
  <c r="Y53" i="15"/>
  <c r="Z53" i="15"/>
  <c r="AA53" i="15"/>
  <c r="P54" i="15"/>
  <c r="Q54" i="15"/>
  <c r="R54" i="15"/>
  <c r="S54" i="15"/>
  <c r="T54" i="15"/>
  <c r="U54" i="15"/>
  <c r="V54" i="15"/>
  <c r="W54" i="15"/>
  <c r="X54" i="15"/>
  <c r="Y54" i="15"/>
  <c r="Z54" i="15"/>
  <c r="AA54" i="15"/>
  <c r="P55" i="15"/>
  <c r="Q55" i="15"/>
  <c r="R55" i="15"/>
  <c r="S55" i="15"/>
  <c r="T55" i="15"/>
  <c r="U55" i="15"/>
  <c r="V55" i="15"/>
  <c r="W55" i="15"/>
  <c r="X55" i="15"/>
  <c r="Y55" i="15"/>
  <c r="Z55" i="15"/>
  <c r="AA55" i="15"/>
  <c r="P56" i="15"/>
  <c r="Q56" i="15"/>
  <c r="R56" i="15"/>
  <c r="S56" i="15"/>
  <c r="T56" i="15"/>
  <c r="U56" i="15"/>
  <c r="V56" i="15"/>
  <c r="W56" i="15"/>
  <c r="X56" i="15"/>
  <c r="Y56" i="15"/>
  <c r="Z56" i="15"/>
  <c r="AA56" i="15"/>
  <c r="P57" i="15"/>
  <c r="Q57" i="15"/>
  <c r="R57" i="15"/>
  <c r="S57" i="15"/>
  <c r="T57" i="15"/>
  <c r="U57" i="15"/>
  <c r="V57" i="15"/>
  <c r="W57" i="15"/>
  <c r="X57" i="15"/>
  <c r="Y57" i="15"/>
  <c r="Z57" i="15"/>
  <c r="AA57" i="15"/>
  <c r="P58" i="15"/>
  <c r="Q58" i="15"/>
  <c r="R58" i="15"/>
  <c r="S58" i="15"/>
  <c r="T58" i="15"/>
  <c r="U58" i="15"/>
  <c r="V58" i="15"/>
  <c r="W58" i="15"/>
  <c r="X58" i="15"/>
  <c r="Y58" i="15"/>
  <c r="Z58" i="15"/>
  <c r="AA58" i="15"/>
  <c r="P59" i="15"/>
  <c r="Q59" i="15"/>
  <c r="R59" i="15"/>
  <c r="S59" i="15"/>
  <c r="T59" i="15"/>
  <c r="U59" i="15"/>
  <c r="V59" i="15"/>
  <c r="W59" i="15"/>
  <c r="X59" i="15"/>
  <c r="Y59" i="15"/>
  <c r="Z59" i="15"/>
  <c r="AA59" i="15"/>
  <c r="P60" i="15"/>
  <c r="Q60" i="15"/>
  <c r="R60" i="15"/>
  <c r="S60" i="15"/>
  <c r="T60" i="15"/>
  <c r="U60" i="15"/>
  <c r="V60" i="15"/>
  <c r="W60" i="15"/>
  <c r="X60" i="15"/>
  <c r="Y60" i="15"/>
  <c r="Z60" i="15"/>
  <c r="AA60" i="15"/>
  <c r="P61" i="15"/>
  <c r="Q61" i="15"/>
  <c r="R61" i="15"/>
  <c r="S61" i="15"/>
  <c r="T61" i="15"/>
  <c r="U61" i="15"/>
  <c r="V61" i="15"/>
  <c r="W61" i="15"/>
  <c r="X61" i="15"/>
  <c r="Y61" i="15"/>
  <c r="Z61" i="15"/>
  <c r="AA61" i="15"/>
  <c r="P62" i="15"/>
  <c r="Q62" i="15"/>
  <c r="R62" i="15"/>
  <c r="S62" i="15"/>
  <c r="T62" i="15"/>
  <c r="U62" i="15"/>
  <c r="V62" i="15"/>
  <c r="W62" i="15"/>
  <c r="X62" i="15"/>
  <c r="Y62" i="15"/>
  <c r="Z62" i="15"/>
  <c r="AA62" i="15"/>
  <c r="P63" i="15"/>
  <c r="Q63" i="15"/>
  <c r="R63" i="15"/>
  <c r="S63" i="15"/>
  <c r="T63" i="15"/>
  <c r="U63" i="15"/>
  <c r="V63" i="15"/>
  <c r="W63" i="15"/>
  <c r="X63" i="15"/>
  <c r="Y63" i="15"/>
  <c r="Z63" i="15"/>
  <c r="AA63" i="15"/>
  <c r="P64" i="15"/>
  <c r="Q64" i="15"/>
  <c r="R64" i="15"/>
  <c r="S64" i="15"/>
  <c r="T64" i="15"/>
  <c r="U64" i="15"/>
  <c r="V64" i="15"/>
  <c r="W64" i="15"/>
  <c r="X64" i="15"/>
  <c r="Y64" i="15"/>
  <c r="Z64" i="15"/>
  <c r="AA64" i="15"/>
  <c r="P65" i="15"/>
  <c r="Q65" i="15"/>
  <c r="R65" i="15"/>
  <c r="S65" i="15"/>
  <c r="T65" i="15"/>
  <c r="U65" i="15"/>
  <c r="V65" i="15"/>
  <c r="W65" i="15"/>
  <c r="X65" i="15"/>
  <c r="Y65" i="15"/>
  <c r="Z65" i="15"/>
  <c r="AA65" i="15"/>
  <c r="P66" i="15"/>
  <c r="Q66" i="15"/>
  <c r="R66" i="15"/>
  <c r="S66" i="15"/>
  <c r="T66" i="15"/>
  <c r="U66" i="15"/>
  <c r="V66" i="15"/>
  <c r="W66" i="15"/>
  <c r="X66" i="15"/>
  <c r="Y66" i="15"/>
  <c r="Z66" i="15"/>
  <c r="AA66" i="15"/>
  <c r="P67" i="15"/>
  <c r="Q67" i="15"/>
  <c r="R67" i="15"/>
  <c r="S67" i="15"/>
  <c r="T67" i="15"/>
  <c r="U67" i="15"/>
  <c r="V67" i="15"/>
  <c r="W67" i="15"/>
  <c r="X67" i="15"/>
  <c r="Y67" i="15"/>
  <c r="Z67" i="15"/>
  <c r="AA67" i="15"/>
  <c r="P68" i="15"/>
  <c r="Q68" i="15"/>
  <c r="R68" i="15"/>
  <c r="S68" i="15"/>
  <c r="T68" i="15"/>
  <c r="U68" i="15"/>
  <c r="V68" i="15"/>
  <c r="W68" i="15"/>
  <c r="X68" i="15"/>
  <c r="Y68" i="15"/>
  <c r="Z68" i="15"/>
  <c r="AA68" i="15"/>
  <c r="P69" i="15"/>
  <c r="Q69" i="15"/>
  <c r="R69" i="15"/>
  <c r="S69" i="15"/>
  <c r="T69" i="15"/>
  <c r="U69" i="15"/>
  <c r="V69" i="15"/>
  <c r="W69" i="15"/>
  <c r="X69" i="15"/>
  <c r="Y69" i="15"/>
  <c r="Z69" i="15"/>
  <c r="AA69" i="15"/>
  <c r="P70" i="15"/>
  <c r="Q70" i="15"/>
  <c r="R70" i="15"/>
  <c r="S70" i="15"/>
  <c r="T70" i="15"/>
  <c r="U70" i="15"/>
  <c r="V70" i="15"/>
  <c r="W70" i="15"/>
  <c r="X70" i="15"/>
  <c r="Y70" i="15"/>
  <c r="Z70" i="15"/>
  <c r="AA70" i="15"/>
  <c r="P71" i="15"/>
  <c r="Q71" i="15"/>
  <c r="R71" i="15"/>
  <c r="S71" i="15"/>
  <c r="T71" i="15"/>
  <c r="U71" i="15"/>
  <c r="V71" i="15"/>
  <c r="W71" i="15"/>
  <c r="X71" i="15"/>
  <c r="Y71" i="15"/>
  <c r="Z71" i="15"/>
  <c r="AA71" i="15"/>
  <c r="P72" i="15"/>
  <c r="Q72" i="15"/>
  <c r="R72" i="15"/>
  <c r="S72" i="15"/>
  <c r="T72" i="15"/>
  <c r="U72" i="15"/>
  <c r="V72" i="15"/>
  <c r="W72" i="15"/>
  <c r="X72" i="15"/>
  <c r="Y72" i="15"/>
  <c r="Z72" i="15"/>
  <c r="AA72" i="15"/>
  <c r="P73" i="15"/>
  <c r="Q73" i="15"/>
  <c r="R73" i="15"/>
  <c r="S73" i="15"/>
  <c r="T73" i="15"/>
  <c r="U73" i="15"/>
  <c r="V73" i="15"/>
  <c r="W73" i="15"/>
  <c r="X73" i="15"/>
  <c r="Y73" i="15"/>
  <c r="Z73" i="15"/>
  <c r="AA73" i="15"/>
  <c r="P74" i="15"/>
  <c r="Q74" i="15"/>
  <c r="R74" i="15"/>
  <c r="S74" i="15"/>
  <c r="T74" i="15"/>
  <c r="U74" i="15"/>
  <c r="V74" i="15"/>
  <c r="W74" i="15"/>
  <c r="X74" i="15"/>
  <c r="Y74" i="15"/>
  <c r="Z74" i="15"/>
  <c r="AA74" i="15"/>
  <c r="P75" i="15"/>
  <c r="Q75" i="15"/>
  <c r="R75" i="15"/>
  <c r="S75" i="15"/>
  <c r="T75" i="15"/>
  <c r="U75" i="15"/>
  <c r="V75" i="15"/>
  <c r="W75" i="15"/>
  <c r="X75" i="15"/>
  <c r="Y75" i="15"/>
  <c r="Z75" i="15"/>
  <c r="AA75" i="15"/>
  <c r="P76" i="15"/>
  <c r="Q76" i="15"/>
  <c r="R76" i="15"/>
  <c r="S76" i="15"/>
  <c r="T76" i="15"/>
  <c r="U76" i="15"/>
  <c r="V76" i="15"/>
  <c r="W76" i="15"/>
  <c r="X76" i="15"/>
  <c r="Y76" i="15"/>
  <c r="Z76" i="15"/>
  <c r="AA76" i="15"/>
  <c r="P77" i="15"/>
  <c r="Q77" i="15"/>
  <c r="R77" i="15"/>
  <c r="S77" i="15"/>
  <c r="T77" i="15"/>
  <c r="U77" i="15"/>
  <c r="V77" i="15"/>
  <c r="W77" i="15"/>
  <c r="X77" i="15"/>
  <c r="Y77" i="15"/>
  <c r="Z77" i="15"/>
  <c r="AA77" i="15"/>
  <c r="P78" i="15"/>
  <c r="Q78" i="15"/>
  <c r="R78" i="15"/>
  <c r="S78" i="15"/>
  <c r="T78" i="15"/>
  <c r="U78" i="15"/>
  <c r="V78" i="15"/>
  <c r="W78" i="15"/>
  <c r="X78" i="15"/>
  <c r="Y78" i="15"/>
  <c r="Z78" i="15"/>
  <c r="AA78" i="15"/>
  <c r="P79" i="15"/>
  <c r="Q79" i="15"/>
  <c r="R79" i="15"/>
  <c r="S79" i="15"/>
  <c r="T79" i="15"/>
  <c r="U79" i="15"/>
  <c r="V79" i="15"/>
  <c r="W79" i="15"/>
  <c r="X79" i="15"/>
  <c r="Y79" i="15"/>
  <c r="Z79" i="15"/>
  <c r="AA79" i="15"/>
  <c r="P80" i="15"/>
  <c r="Q80" i="15"/>
  <c r="R80" i="15"/>
  <c r="S80" i="15"/>
  <c r="T80" i="15"/>
  <c r="U80" i="15"/>
  <c r="V80" i="15"/>
  <c r="W80" i="15"/>
  <c r="X80" i="15"/>
  <c r="Y80" i="15"/>
  <c r="Z80" i="15"/>
  <c r="AA80" i="15"/>
  <c r="P81" i="15"/>
  <c r="Q81" i="15"/>
  <c r="R81" i="15"/>
  <c r="S81" i="15"/>
  <c r="T81" i="15"/>
  <c r="U81" i="15"/>
  <c r="V81" i="15"/>
  <c r="W81" i="15"/>
  <c r="X81" i="15"/>
  <c r="Y81" i="15"/>
  <c r="Z81" i="15"/>
  <c r="AA81" i="15"/>
  <c r="P82" i="15"/>
  <c r="Q82" i="15"/>
  <c r="R82" i="15"/>
  <c r="S82" i="15"/>
  <c r="T82" i="15"/>
  <c r="U82" i="15"/>
  <c r="V82" i="15"/>
  <c r="W82" i="15"/>
  <c r="X82" i="15"/>
  <c r="Y82" i="15"/>
  <c r="Z82" i="15"/>
  <c r="AA82" i="15"/>
  <c r="P83" i="15"/>
  <c r="Q83" i="15"/>
  <c r="R83" i="15"/>
  <c r="S83" i="15"/>
  <c r="T83" i="15"/>
  <c r="U83" i="15"/>
  <c r="V83" i="15"/>
  <c r="W83" i="15"/>
  <c r="X83" i="15"/>
  <c r="Y83" i="15"/>
  <c r="Z83" i="15"/>
  <c r="AA83" i="15"/>
  <c r="P84" i="15"/>
  <c r="Q84" i="15"/>
  <c r="R84" i="15"/>
  <c r="S84" i="15"/>
  <c r="T84" i="15"/>
  <c r="U84" i="15"/>
  <c r="V84" i="15"/>
  <c r="W84" i="15"/>
  <c r="X84" i="15"/>
  <c r="Y84" i="15"/>
  <c r="Z84" i="15"/>
  <c r="AA84" i="15"/>
  <c r="P85" i="15"/>
  <c r="Q85" i="15"/>
  <c r="R85" i="15"/>
  <c r="S85" i="15"/>
  <c r="T85" i="15"/>
  <c r="U85" i="15"/>
  <c r="V85" i="15"/>
  <c r="W85" i="15"/>
  <c r="X85" i="15"/>
  <c r="Y85" i="15"/>
  <c r="Z85" i="15"/>
  <c r="AA85" i="15"/>
  <c r="P86" i="15"/>
  <c r="Q86" i="15"/>
  <c r="R86" i="15"/>
  <c r="S86" i="15"/>
  <c r="T86" i="15"/>
  <c r="U86" i="15"/>
  <c r="V86" i="15"/>
  <c r="W86" i="15"/>
  <c r="X86" i="15"/>
  <c r="Y86" i="15"/>
  <c r="Z86" i="15"/>
  <c r="AA86" i="15"/>
  <c r="P87" i="15"/>
  <c r="Q87" i="15"/>
  <c r="R87" i="15"/>
  <c r="S87" i="15"/>
  <c r="T87" i="15"/>
  <c r="U87" i="15"/>
  <c r="V87" i="15"/>
  <c r="W87" i="15"/>
  <c r="X87" i="15"/>
  <c r="Y87" i="15"/>
  <c r="Z87" i="15"/>
  <c r="AA87" i="15"/>
  <c r="P88" i="15"/>
  <c r="Q88" i="15"/>
  <c r="R88" i="15"/>
  <c r="S88" i="15"/>
  <c r="T88" i="15"/>
  <c r="U88" i="15"/>
  <c r="V88" i="15"/>
  <c r="W88" i="15"/>
  <c r="X88" i="15"/>
  <c r="Y88" i="15"/>
  <c r="Z88" i="15"/>
  <c r="AA88" i="15"/>
  <c r="P89" i="15"/>
  <c r="Q89" i="15"/>
  <c r="R89" i="15"/>
  <c r="S89" i="15"/>
  <c r="T89" i="15"/>
  <c r="U89" i="15"/>
  <c r="V89" i="15"/>
  <c r="W89" i="15"/>
  <c r="X89" i="15"/>
  <c r="Y89" i="15"/>
  <c r="Z89" i="15"/>
  <c r="AA89" i="15"/>
  <c r="P90" i="15"/>
  <c r="Q90" i="15"/>
  <c r="R90" i="15"/>
  <c r="S90" i="15"/>
  <c r="T90" i="15"/>
  <c r="U90" i="15"/>
  <c r="V90" i="15"/>
  <c r="W90" i="15"/>
  <c r="X90" i="15"/>
  <c r="Y90" i="15"/>
  <c r="Z90" i="15"/>
  <c r="AA90" i="15"/>
  <c r="P91" i="15"/>
  <c r="Q91" i="15"/>
  <c r="R91" i="15"/>
  <c r="S91" i="15"/>
  <c r="T91" i="15"/>
  <c r="U91" i="15"/>
  <c r="V91" i="15"/>
  <c r="W91" i="15"/>
  <c r="X91" i="15"/>
  <c r="Y91" i="15"/>
  <c r="Z91" i="15"/>
  <c r="AA91" i="15"/>
  <c r="P92" i="15"/>
  <c r="Q92" i="15"/>
  <c r="R92" i="15"/>
  <c r="S92" i="15"/>
  <c r="T92" i="15"/>
  <c r="U92" i="15"/>
  <c r="V92" i="15"/>
  <c r="W92" i="15"/>
  <c r="X92" i="15"/>
  <c r="Y92" i="15"/>
  <c r="Z92" i="15"/>
  <c r="AA92" i="15"/>
  <c r="P93" i="15"/>
  <c r="Q93" i="15"/>
  <c r="R93" i="15"/>
  <c r="S93" i="15"/>
  <c r="T93" i="15"/>
  <c r="U93" i="15"/>
  <c r="V93" i="15"/>
  <c r="W93" i="15"/>
  <c r="X93" i="15"/>
  <c r="Y93" i="15"/>
  <c r="Z93" i="15"/>
  <c r="AA93" i="15"/>
  <c r="P94" i="15"/>
  <c r="Q94" i="15"/>
  <c r="R94" i="15"/>
  <c r="S94" i="15"/>
  <c r="T94" i="15"/>
  <c r="U94" i="15"/>
  <c r="V94" i="15"/>
  <c r="W94" i="15"/>
  <c r="X94" i="15"/>
  <c r="Y94" i="15"/>
  <c r="Z94" i="15"/>
  <c r="AA94" i="15"/>
  <c r="P95" i="15"/>
  <c r="Q95" i="15"/>
  <c r="R95" i="15"/>
  <c r="S95" i="15"/>
  <c r="T95" i="15"/>
  <c r="U95" i="15"/>
  <c r="V95" i="15"/>
  <c r="W95" i="15"/>
  <c r="X95" i="15"/>
  <c r="Y95" i="15"/>
  <c r="Z95" i="15"/>
  <c r="AA95" i="15"/>
  <c r="P96" i="15"/>
  <c r="Q96" i="15"/>
  <c r="R96" i="15"/>
  <c r="S96" i="15"/>
  <c r="T96" i="15"/>
  <c r="U96" i="15"/>
  <c r="V96" i="15"/>
  <c r="W96" i="15"/>
  <c r="X96" i="15"/>
  <c r="Y96" i="15"/>
  <c r="Z96" i="15"/>
  <c r="AA96" i="15"/>
  <c r="P97" i="15"/>
  <c r="Q97" i="15"/>
  <c r="R97" i="15"/>
  <c r="S97" i="15"/>
  <c r="T97" i="15"/>
  <c r="U97" i="15"/>
  <c r="V97" i="15"/>
  <c r="W97" i="15"/>
  <c r="X97" i="15"/>
  <c r="Y97" i="15"/>
  <c r="Z97" i="15"/>
  <c r="AA97" i="15"/>
  <c r="P98" i="15"/>
  <c r="Q98" i="15"/>
  <c r="R98" i="15"/>
  <c r="S98" i="15"/>
  <c r="T98" i="15"/>
  <c r="U98" i="15"/>
  <c r="V98" i="15"/>
  <c r="W98" i="15"/>
  <c r="X98" i="15"/>
  <c r="Y98" i="15"/>
  <c r="Z98" i="15"/>
  <c r="AA98" i="15"/>
  <c r="P99" i="15"/>
  <c r="Q99" i="15"/>
  <c r="R99" i="15"/>
  <c r="S99" i="15"/>
  <c r="T99" i="15"/>
  <c r="U99" i="15"/>
  <c r="V99" i="15"/>
  <c r="W99" i="15"/>
  <c r="X99" i="15"/>
  <c r="Y99" i="15"/>
  <c r="Z99" i="15"/>
  <c r="AA99" i="15"/>
  <c r="P100" i="15"/>
  <c r="Q100" i="15"/>
  <c r="R100" i="15"/>
  <c r="S100" i="15"/>
  <c r="T100" i="15"/>
  <c r="U100" i="15"/>
  <c r="V100" i="15"/>
  <c r="W100" i="15"/>
  <c r="X100" i="15"/>
  <c r="Y100" i="15"/>
  <c r="Z100" i="15"/>
  <c r="AA100" i="15"/>
  <c r="P101" i="15"/>
  <c r="Q101" i="15"/>
  <c r="R101" i="15"/>
  <c r="S101" i="15"/>
  <c r="T101" i="15"/>
  <c r="U101" i="15"/>
  <c r="V101" i="15"/>
  <c r="W101" i="15"/>
  <c r="X101" i="15"/>
  <c r="Y101" i="15"/>
  <c r="Z101" i="15"/>
  <c r="AA101" i="15"/>
  <c r="P102" i="15"/>
  <c r="Q102" i="15"/>
  <c r="R102" i="15"/>
  <c r="S102" i="15"/>
  <c r="T102" i="15"/>
  <c r="U102" i="15"/>
  <c r="V102" i="15"/>
  <c r="W102" i="15"/>
  <c r="X102" i="15"/>
  <c r="Y102" i="15"/>
  <c r="Z102" i="15"/>
  <c r="AA102" i="15"/>
  <c r="P103" i="15"/>
  <c r="Q103" i="15"/>
  <c r="R103" i="15"/>
  <c r="S103" i="15"/>
  <c r="T103" i="15"/>
  <c r="U103" i="15"/>
  <c r="V103" i="15"/>
  <c r="W103" i="15"/>
  <c r="X103" i="15"/>
  <c r="Y103" i="15"/>
  <c r="Z103" i="15"/>
  <c r="AA103" i="15"/>
  <c r="P104" i="15"/>
  <c r="Q104" i="15"/>
  <c r="R104" i="15"/>
  <c r="S104" i="15"/>
  <c r="T104" i="15"/>
  <c r="U104" i="15"/>
  <c r="V104" i="15"/>
  <c r="W104" i="15"/>
  <c r="X104" i="15"/>
  <c r="Y104" i="15"/>
  <c r="Z104" i="15"/>
  <c r="AA104" i="15"/>
  <c r="P105" i="15"/>
  <c r="Q105" i="15"/>
  <c r="R105" i="15"/>
  <c r="S105" i="15"/>
  <c r="T105" i="15"/>
  <c r="U105" i="15"/>
  <c r="V105" i="15"/>
  <c r="W105" i="15"/>
  <c r="X105" i="15"/>
  <c r="Y105" i="15"/>
  <c r="Z105" i="15"/>
  <c r="AA105" i="15"/>
  <c r="P106" i="15"/>
  <c r="Q106" i="15"/>
  <c r="R106" i="15"/>
  <c r="S106" i="15"/>
  <c r="T106" i="15"/>
  <c r="U106" i="15"/>
  <c r="V106" i="15"/>
  <c r="W106" i="15"/>
  <c r="X106" i="15"/>
  <c r="Y106" i="15"/>
  <c r="Z106" i="15"/>
  <c r="AA106" i="15"/>
  <c r="P107" i="15"/>
  <c r="Q107" i="15"/>
  <c r="R107" i="15"/>
  <c r="S107" i="15"/>
  <c r="T107" i="15"/>
  <c r="U107" i="15"/>
  <c r="V107" i="15"/>
  <c r="W107" i="15"/>
  <c r="X107" i="15"/>
  <c r="Y107" i="15"/>
  <c r="Z107" i="15"/>
  <c r="AA107" i="15"/>
  <c r="P108" i="15"/>
  <c r="Q108" i="15"/>
  <c r="R108" i="15"/>
  <c r="S108" i="15"/>
  <c r="T108" i="15"/>
  <c r="U108" i="15"/>
  <c r="V108" i="15"/>
  <c r="W108" i="15"/>
  <c r="X108" i="15"/>
  <c r="Y108" i="15"/>
  <c r="Z108" i="15"/>
  <c r="AA108" i="15"/>
  <c r="P109" i="15"/>
  <c r="Q109" i="15"/>
  <c r="R109" i="15"/>
  <c r="S109" i="15"/>
  <c r="T109" i="15"/>
  <c r="U109" i="15"/>
  <c r="V109" i="15"/>
  <c r="W109" i="15"/>
  <c r="X109" i="15"/>
  <c r="Y109" i="15"/>
  <c r="Z109" i="15"/>
  <c r="AA109" i="15"/>
  <c r="P110" i="15"/>
  <c r="Q110" i="15"/>
  <c r="R110" i="15"/>
  <c r="S110" i="15"/>
  <c r="T110" i="15"/>
  <c r="U110" i="15"/>
  <c r="V110" i="15"/>
  <c r="W110" i="15"/>
  <c r="X110" i="15"/>
  <c r="Y110" i="15"/>
  <c r="Z110" i="15"/>
  <c r="AA110" i="15"/>
  <c r="P111" i="15"/>
  <c r="Q111" i="15"/>
  <c r="R111" i="15"/>
  <c r="S111" i="15"/>
  <c r="T111" i="15"/>
  <c r="U111" i="15"/>
  <c r="V111" i="15"/>
  <c r="W111" i="15"/>
  <c r="X111" i="15"/>
  <c r="Y111" i="15"/>
  <c r="Z111" i="15"/>
  <c r="AA111" i="15"/>
  <c r="P112" i="15"/>
  <c r="Q112" i="15"/>
  <c r="R112" i="15"/>
  <c r="S112" i="15"/>
  <c r="T112" i="15"/>
  <c r="U112" i="15"/>
  <c r="V112" i="15"/>
  <c r="W112" i="15"/>
  <c r="X112" i="15"/>
  <c r="Y112" i="15"/>
  <c r="Z112" i="15"/>
  <c r="AA112" i="15"/>
  <c r="P113" i="15"/>
  <c r="Q113" i="15"/>
  <c r="R113" i="15"/>
  <c r="S113" i="15"/>
  <c r="T113" i="15"/>
  <c r="U113" i="15"/>
  <c r="V113" i="15"/>
  <c r="W113" i="15"/>
  <c r="X113" i="15"/>
  <c r="Y113" i="15"/>
  <c r="Z113" i="15"/>
  <c r="AA113" i="15"/>
  <c r="P114" i="15"/>
  <c r="Q114" i="15"/>
  <c r="R114" i="15"/>
  <c r="S114" i="15"/>
  <c r="T114" i="15"/>
  <c r="U114" i="15"/>
  <c r="V114" i="15"/>
  <c r="W114" i="15"/>
  <c r="X114" i="15"/>
  <c r="Y114" i="15"/>
  <c r="Z114" i="15"/>
  <c r="AA114" i="15"/>
  <c r="P115" i="15"/>
  <c r="Q115" i="15"/>
  <c r="R115" i="15"/>
  <c r="S115" i="15"/>
  <c r="T115" i="15"/>
  <c r="U115" i="15"/>
  <c r="V115" i="15"/>
  <c r="W115" i="15"/>
  <c r="X115" i="15"/>
  <c r="Y115" i="15"/>
  <c r="Z115" i="15"/>
  <c r="AA115" i="15"/>
  <c r="P116" i="15"/>
  <c r="Q116" i="15"/>
  <c r="R116" i="15"/>
  <c r="S116" i="15"/>
  <c r="T116" i="15"/>
  <c r="U116" i="15"/>
  <c r="V116" i="15"/>
  <c r="W116" i="15"/>
  <c r="X116" i="15"/>
  <c r="Y116" i="15"/>
  <c r="Z116" i="15"/>
  <c r="AA116" i="15"/>
  <c r="P117" i="15"/>
  <c r="Q117" i="15"/>
  <c r="R117" i="15"/>
  <c r="S117" i="15"/>
  <c r="T117" i="15"/>
  <c r="U117" i="15"/>
  <c r="V117" i="15"/>
  <c r="W117" i="15"/>
  <c r="X117" i="15"/>
  <c r="Y117" i="15"/>
  <c r="Z117" i="15"/>
  <c r="AA117" i="15"/>
  <c r="P118" i="15"/>
  <c r="Q118" i="15"/>
  <c r="R118" i="15"/>
  <c r="S118" i="15"/>
  <c r="T118" i="15"/>
  <c r="U118" i="15"/>
  <c r="V118" i="15"/>
  <c r="W118" i="15"/>
  <c r="X118" i="15"/>
  <c r="Y118" i="15"/>
  <c r="Z118" i="15"/>
  <c r="AA118" i="15"/>
  <c r="P119" i="15"/>
  <c r="Q119" i="15"/>
  <c r="R119" i="15"/>
  <c r="S119" i="15"/>
  <c r="T119" i="15"/>
  <c r="U119" i="15"/>
  <c r="V119" i="15"/>
  <c r="W119" i="15"/>
  <c r="X119" i="15"/>
  <c r="Y119" i="15"/>
  <c r="Z119" i="15"/>
  <c r="AA119" i="15"/>
  <c r="P120" i="15"/>
  <c r="Q120" i="15"/>
  <c r="R120" i="15"/>
  <c r="S120" i="15"/>
  <c r="T120" i="15"/>
  <c r="U120" i="15"/>
  <c r="V120" i="15"/>
  <c r="W120" i="15"/>
  <c r="X120" i="15"/>
  <c r="Y120" i="15"/>
  <c r="Z120" i="15"/>
  <c r="AA120" i="15"/>
  <c r="P121" i="15"/>
  <c r="Q121" i="15"/>
  <c r="R121" i="15"/>
  <c r="S121" i="15"/>
  <c r="T121" i="15"/>
  <c r="U121" i="15"/>
  <c r="V121" i="15"/>
  <c r="W121" i="15"/>
  <c r="X121" i="15"/>
  <c r="Y121" i="15"/>
  <c r="Z121" i="15"/>
  <c r="AA121" i="15"/>
  <c r="P122" i="15"/>
  <c r="Q122" i="15"/>
  <c r="R122" i="15"/>
  <c r="S122" i="15"/>
  <c r="T122" i="15"/>
  <c r="U122" i="15"/>
  <c r="V122" i="15"/>
  <c r="W122" i="15"/>
  <c r="X122" i="15"/>
  <c r="Y122" i="15"/>
  <c r="Z122" i="15"/>
  <c r="AA122" i="15"/>
  <c r="P123" i="15"/>
  <c r="Q123" i="15"/>
  <c r="R123" i="15"/>
  <c r="S123" i="15"/>
  <c r="T123" i="15"/>
  <c r="U123" i="15"/>
  <c r="V123" i="15"/>
  <c r="W123" i="15"/>
  <c r="X123" i="15"/>
  <c r="Y123" i="15"/>
  <c r="Z123" i="15"/>
  <c r="AA123" i="15"/>
  <c r="P124" i="15"/>
  <c r="Q124" i="15"/>
  <c r="R124" i="15"/>
  <c r="S124" i="15"/>
  <c r="T124" i="15"/>
  <c r="U124" i="15"/>
  <c r="V124" i="15"/>
  <c r="W124" i="15"/>
  <c r="X124" i="15"/>
  <c r="Y124" i="15"/>
  <c r="Z124" i="15"/>
  <c r="AA124" i="15"/>
  <c r="P125" i="15"/>
  <c r="Q125" i="15"/>
  <c r="R125" i="15"/>
  <c r="S125" i="15"/>
  <c r="T125" i="15"/>
  <c r="U125" i="15"/>
  <c r="V125" i="15"/>
  <c r="W125" i="15"/>
  <c r="X125" i="15"/>
  <c r="Y125" i="15"/>
  <c r="Z125" i="15"/>
  <c r="AA125" i="15"/>
  <c r="P126" i="15"/>
  <c r="Q126" i="15"/>
  <c r="R126" i="15"/>
  <c r="S126" i="15"/>
  <c r="T126" i="15"/>
  <c r="U126" i="15"/>
  <c r="V126" i="15"/>
  <c r="W126" i="15"/>
  <c r="X126" i="15"/>
  <c r="Y126" i="15"/>
  <c r="Z126" i="15"/>
  <c r="AA126" i="15"/>
  <c r="P127" i="15"/>
  <c r="Q127" i="15"/>
  <c r="R127" i="15"/>
  <c r="S127" i="15"/>
  <c r="T127" i="15"/>
  <c r="U127" i="15"/>
  <c r="V127" i="15"/>
  <c r="W127" i="15"/>
  <c r="X127" i="15"/>
  <c r="Y127" i="15"/>
  <c r="Z127" i="15"/>
  <c r="AA127" i="15"/>
  <c r="P128" i="15"/>
  <c r="Q128" i="15"/>
  <c r="R128" i="15"/>
  <c r="S128" i="15"/>
  <c r="T128" i="15"/>
  <c r="U128" i="15"/>
  <c r="V128" i="15"/>
  <c r="W128" i="15"/>
  <c r="X128" i="15"/>
  <c r="Y128" i="15"/>
  <c r="Z128" i="15"/>
  <c r="AA128" i="15"/>
  <c r="P129" i="15"/>
  <c r="Q129" i="15"/>
  <c r="R129" i="15"/>
  <c r="S129" i="15"/>
  <c r="T129" i="15"/>
  <c r="U129" i="15"/>
  <c r="V129" i="15"/>
  <c r="W129" i="15"/>
  <c r="X129" i="15"/>
  <c r="Y129" i="15"/>
  <c r="Z129" i="15"/>
  <c r="AA129" i="15"/>
  <c r="P130" i="15"/>
  <c r="Q130" i="15"/>
  <c r="R130" i="15"/>
  <c r="S130" i="15"/>
  <c r="T130" i="15"/>
  <c r="U130" i="15"/>
  <c r="V130" i="15"/>
  <c r="W130" i="15"/>
  <c r="X130" i="15"/>
  <c r="Y130" i="15"/>
  <c r="Z130" i="15"/>
  <c r="AA130" i="15"/>
  <c r="P131" i="15"/>
  <c r="Q131" i="15"/>
  <c r="R131" i="15"/>
  <c r="S131" i="15"/>
  <c r="T131" i="15"/>
  <c r="U131" i="15"/>
  <c r="V131" i="15"/>
  <c r="W131" i="15"/>
  <c r="X131" i="15"/>
  <c r="Y131" i="15"/>
  <c r="Z131" i="15"/>
  <c r="AA131" i="15"/>
  <c r="P132" i="15"/>
  <c r="Q132" i="15"/>
  <c r="R132" i="15"/>
  <c r="S132" i="15"/>
  <c r="T132" i="15"/>
  <c r="U132" i="15"/>
  <c r="V132" i="15"/>
  <c r="W132" i="15"/>
  <c r="X132" i="15"/>
  <c r="Y132" i="15"/>
  <c r="Z132" i="15"/>
  <c r="AA132" i="15"/>
  <c r="P133" i="15"/>
  <c r="Q133" i="15"/>
  <c r="R133" i="15"/>
  <c r="S133" i="15"/>
  <c r="T133" i="15"/>
  <c r="U133" i="15"/>
  <c r="V133" i="15"/>
  <c r="W133" i="15"/>
  <c r="X133" i="15"/>
  <c r="Y133" i="15"/>
  <c r="Z133" i="15"/>
  <c r="AA133" i="15"/>
  <c r="P134" i="15"/>
  <c r="Q134" i="15"/>
  <c r="R134" i="15"/>
  <c r="S134" i="15"/>
  <c r="T134" i="15"/>
  <c r="U134" i="15"/>
  <c r="V134" i="15"/>
  <c r="W134" i="15"/>
  <c r="X134" i="15"/>
  <c r="Y134" i="15"/>
  <c r="Z134" i="15"/>
  <c r="AA134" i="15"/>
  <c r="P135" i="15"/>
  <c r="Q135" i="15"/>
  <c r="R135" i="15"/>
  <c r="S135" i="15"/>
  <c r="T135" i="15"/>
  <c r="U135" i="15"/>
  <c r="V135" i="15"/>
  <c r="W135" i="15"/>
  <c r="X135" i="15"/>
  <c r="Y135" i="15"/>
  <c r="Z135" i="15"/>
  <c r="AA135" i="15"/>
  <c r="Q10" i="15"/>
  <c r="R10" i="15"/>
  <c r="S10" i="15"/>
  <c r="T10" i="15"/>
  <c r="U10" i="15"/>
  <c r="V10" i="15"/>
  <c r="W10" i="15"/>
  <c r="X10" i="15"/>
  <c r="Y10" i="15"/>
  <c r="Z10" i="15"/>
  <c r="AA10" i="15"/>
  <c r="P10" i="15"/>
  <c r="F5" i="15"/>
  <c r="AA137" i="15"/>
  <c r="Z137" i="15"/>
  <c r="Y137" i="15"/>
  <c r="X137" i="15"/>
  <c r="W137" i="15"/>
  <c r="AA136" i="15" l="1"/>
  <c r="W136" i="15"/>
  <c r="Z138" i="15"/>
  <c r="Z139" i="15" s="1"/>
  <c r="Z140" i="15" s="1"/>
  <c r="X136" i="15"/>
  <c r="Z136" i="15"/>
  <c r="X138" i="15"/>
  <c r="X139" i="15" s="1"/>
  <c r="X140" i="15" s="1"/>
  <c r="Y138" i="15"/>
  <c r="Y139" i="15" s="1"/>
  <c r="Y140" i="15" s="1"/>
  <c r="Y136" i="15"/>
  <c r="AA138" i="15"/>
  <c r="AA139" i="15" s="1"/>
  <c r="AA140" i="15" s="1"/>
  <c r="W138" i="15"/>
  <c r="W139" i="15" s="1"/>
  <c r="W140" i="15" s="1"/>
  <c r="AS141" i="21"/>
  <c r="AR141" i="21"/>
  <c r="AQ141" i="21"/>
  <c r="AP141" i="21"/>
  <c r="AO141" i="21"/>
  <c r="B12" i="17"/>
  <c r="B13" i="17"/>
  <c r="B14" i="17"/>
  <c r="B15" i="17"/>
  <c r="B16" i="17"/>
  <c r="B17" i="17"/>
  <c r="B18" i="17"/>
  <c r="B19" i="17"/>
  <c r="B20" i="17"/>
  <c r="B21" i="17"/>
  <c r="B22" i="17"/>
  <c r="AS141" i="22"/>
  <c r="AR141" i="22"/>
  <c r="AQ141" i="22"/>
  <c r="AP141" i="22"/>
  <c r="AO141" i="22"/>
  <c r="AN141" i="22"/>
  <c r="AM141" i="22"/>
  <c r="AL141" i="22"/>
  <c r="AK141" i="22"/>
  <c r="AJ141" i="22"/>
  <c r="AI141" i="22"/>
  <c r="AH141" i="22"/>
  <c r="U139" i="22"/>
  <c r="U138" i="22"/>
  <c r="U137" i="22"/>
  <c r="U136" i="22"/>
  <c r="U135" i="22"/>
  <c r="U134" i="22"/>
  <c r="U133" i="22"/>
  <c r="U132" i="22"/>
  <c r="U131" i="22"/>
  <c r="U130" i="22"/>
  <c r="U129" i="22"/>
  <c r="U128" i="22"/>
  <c r="U127" i="22"/>
  <c r="U126" i="22"/>
  <c r="U125" i="22"/>
  <c r="U124" i="22"/>
  <c r="U123" i="22"/>
  <c r="U122" i="22"/>
  <c r="U121" i="22"/>
  <c r="U120" i="22"/>
  <c r="U119" i="22"/>
  <c r="U118" i="22"/>
  <c r="U117" i="22"/>
  <c r="U116" i="22"/>
  <c r="U115" i="22"/>
  <c r="U114" i="22"/>
  <c r="U113" i="22"/>
  <c r="U112" i="22"/>
  <c r="U111" i="22"/>
  <c r="U110" i="22"/>
  <c r="U109" i="22"/>
  <c r="U108" i="22"/>
  <c r="U107" i="22"/>
  <c r="U106" i="22"/>
  <c r="U105" i="22"/>
  <c r="U104" i="22"/>
  <c r="U103" i="22"/>
  <c r="U102" i="22"/>
  <c r="U101" i="22"/>
  <c r="U100" i="22"/>
  <c r="U99" i="22"/>
  <c r="U98" i="22"/>
  <c r="U97" i="22"/>
  <c r="U96" i="22"/>
  <c r="U95" i="22"/>
  <c r="U94" i="22"/>
  <c r="U93" i="22"/>
  <c r="U92" i="22"/>
  <c r="U91" i="22"/>
  <c r="U90" i="22"/>
  <c r="U89" i="22"/>
  <c r="U88" i="22"/>
  <c r="U87" i="22"/>
  <c r="U86" i="22"/>
  <c r="U85" i="22"/>
  <c r="U84" i="22"/>
  <c r="U83" i="22"/>
  <c r="U82" i="22"/>
  <c r="U81" i="22"/>
  <c r="U80" i="22"/>
  <c r="U79" i="22"/>
  <c r="U78" i="22"/>
  <c r="U77" i="22"/>
  <c r="U76" i="22"/>
  <c r="U75" i="22"/>
  <c r="U74" i="22"/>
  <c r="U73" i="22"/>
  <c r="U72" i="22"/>
  <c r="U71" i="22"/>
  <c r="U70" i="22"/>
  <c r="U69" i="22"/>
  <c r="U68" i="22"/>
  <c r="U67" i="22"/>
  <c r="U66" i="22"/>
  <c r="U65" i="22"/>
  <c r="U64" i="22"/>
  <c r="U63" i="22"/>
  <c r="U62" i="22"/>
  <c r="U61" i="22"/>
  <c r="U60" i="22"/>
  <c r="U59" i="22"/>
  <c r="U58" i="22"/>
  <c r="U57" i="22"/>
  <c r="U56" i="22"/>
  <c r="U55" i="22"/>
  <c r="U54" i="22"/>
  <c r="U53" i="22"/>
  <c r="U52" i="22"/>
  <c r="U51" i="22"/>
  <c r="U50" i="22"/>
  <c r="U49" i="22"/>
  <c r="U48" i="22"/>
  <c r="U47" i="22"/>
  <c r="U46" i="22"/>
  <c r="U45" i="22"/>
  <c r="U44" i="22"/>
  <c r="U43" i="22"/>
  <c r="U42" i="22"/>
  <c r="U41" i="22"/>
  <c r="U40" i="22"/>
  <c r="U39" i="22"/>
  <c r="U38" i="22"/>
  <c r="U37" i="22"/>
  <c r="U36" i="22"/>
  <c r="U35" i="22"/>
  <c r="U34" i="22"/>
  <c r="U33" i="22"/>
  <c r="U32" i="22"/>
  <c r="U31" i="22"/>
  <c r="U30" i="22"/>
  <c r="U29" i="22"/>
  <c r="U28" i="22"/>
  <c r="U27" i="22"/>
  <c r="U26" i="22"/>
  <c r="U25" i="22"/>
  <c r="U24" i="22"/>
  <c r="U23" i="22"/>
  <c r="U22" i="22"/>
  <c r="U21" i="22"/>
  <c r="U20" i="22"/>
  <c r="U19" i="22"/>
  <c r="U18" i="22"/>
  <c r="U17" i="22"/>
  <c r="U16" i="22"/>
  <c r="U15" i="22"/>
  <c r="U14" i="22"/>
  <c r="U11" i="22"/>
  <c r="AF10" i="22"/>
  <c r="A9" i="22"/>
  <c r="R7" i="22"/>
  <c r="C7" i="22"/>
  <c r="R6" i="22"/>
  <c r="H6" i="22"/>
  <c r="C6" i="22"/>
  <c r="A2" i="22"/>
  <c r="G33" i="7"/>
  <c r="G34" i="7"/>
  <c r="G35" i="7"/>
  <c r="G36" i="7"/>
  <c r="G37" i="7"/>
  <c r="G38" i="7"/>
  <c r="AS141" i="12"/>
  <c r="AR141" i="12"/>
  <c r="AQ141" i="12"/>
  <c r="AP141" i="12"/>
  <c r="AO141" i="12"/>
  <c r="I20" i="17" l="1"/>
  <c r="I21" i="17"/>
  <c r="I18" i="17"/>
  <c r="I19" i="17"/>
  <c r="I22" i="17"/>
  <c r="AG9" i="22"/>
  <c r="AO144" i="22"/>
  <c r="D18" i="17" s="1"/>
  <c r="AR144" i="22"/>
  <c r="D21" i="17" s="1"/>
  <c r="AP144" i="22"/>
  <c r="D19" i="17" s="1"/>
  <c r="AQ144" i="22"/>
  <c r="D20" i="17" s="1"/>
  <c r="Y9" i="22"/>
  <c r="X10" i="22"/>
  <c r="AC9" i="22"/>
  <c r="AB10" i="22"/>
  <c r="AK144" i="22"/>
  <c r="D14" i="17" s="1"/>
  <c r="AG139" i="22"/>
  <c r="AS139" i="22" s="1"/>
  <c r="AC139" i="22"/>
  <c r="AO139" i="22" s="1"/>
  <c r="Y139" i="22"/>
  <c r="AK139" i="22" s="1"/>
  <c r="AD138" i="22"/>
  <c r="AP138" i="22" s="1"/>
  <c r="Z138" i="22"/>
  <c r="AL138" i="22" s="1"/>
  <c r="V138" i="22"/>
  <c r="AH138" i="22" s="1"/>
  <c r="AE137" i="22"/>
  <c r="AQ137" i="22" s="1"/>
  <c r="AA137" i="22"/>
  <c r="AM137" i="22" s="1"/>
  <c r="W137" i="22"/>
  <c r="AI137" i="22" s="1"/>
  <c r="AF136" i="22"/>
  <c r="AR136" i="22" s="1"/>
  <c r="AB136" i="22"/>
  <c r="AN136" i="22" s="1"/>
  <c r="X136" i="22"/>
  <c r="AJ136" i="22" s="1"/>
  <c r="AG135" i="22"/>
  <c r="AS135" i="22" s="1"/>
  <c r="AC135" i="22"/>
  <c r="AO135" i="22" s="1"/>
  <c r="Y135" i="22"/>
  <c r="AK135" i="22" s="1"/>
  <c r="AD134" i="22"/>
  <c r="AP134" i="22" s="1"/>
  <c r="Z134" i="22"/>
  <c r="AL134" i="22" s="1"/>
  <c r="V134" i="22"/>
  <c r="AH134" i="22" s="1"/>
  <c r="AE133" i="22"/>
  <c r="AQ133" i="22" s="1"/>
  <c r="AA133" i="22"/>
  <c r="AM133" i="22" s="1"/>
  <c r="W133" i="22"/>
  <c r="AI133" i="22" s="1"/>
  <c r="AF132" i="22"/>
  <c r="AR132" i="22" s="1"/>
  <c r="AB132" i="22"/>
  <c r="AN132" i="22" s="1"/>
  <c r="X132" i="22"/>
  <c r="AJ132" i="22" s="1"/>
  <c r="AG131" i="22"/>
  <c r="AS131" i="22" s="1"/>
  <c r="AC131" i="22"/>
  <c r="AO131" i="22" s="1"/>
  <c r="Y131" i="22"/>
  <c r="AK131" i="22" s="1"/>
  <c r="AD130" i="22"/>
  <c r="AP130" i="22" s="1"/>
  <c r="Z130" i="22"/>
  <c r="AL130" i="22" s="1"/>
  <c r="V130" i="22"/>
  <c r="AH130" i="22" s="1"/>
  <c r="AE129" i="22"/>
  <c r="AQ129" i="22" s="1"/>
  <c r="AA129" i="22"/>
  <c r="AM129" i="22" s="1"/>
  <c r="W129" i="22"/>
  <c r="AI129" i="22" s="1"/>
  <c r="AF128" i="22"/>
  <c r="AR128" i="22" s="1"/>
  <c r="AB128" i="22"/>
  <c r="AN128" i="22" s="1"/>
  <c r="X128" i="22"/>
  <c r="AJ128" i="22" s="1"/>
  <c r="AN144" i="22"/>
  <c r="D17" i="17" s="1"/>
  <c r="AM144" i="22"/>
  <c r="D16" i="17" s="1"/>
  <c r="AI144" i="22"/>
  <c r="D12" i="17" s="1"/>
  <c r="AE139" i="22"/>
  <c r="AQ139" i="22" s="1"/>
  <c r="AA139" i="22"/>
  <c r="AM139" i="22" s="1"/>
  <c r="W139" i="22"/>
  <c r="AI139" i="22" s="1"/>
  <c r="AF138" i="22"/>
  <c r="AR138" i="22" s="1"/>
  <c r="AB138" i="22"/>
  <c r="AN138" i="22" s="1"/>
  <c r="X138" i="22"/>
  <c r="AJ138" i="22" s="1"/>
  <c r="AG137" i="22"/>
  <c r="AS137" i="22" s="1"/>
  <c r="AC137" i="22"/>
  <c r="AO137" i="22" s="1"/>
  <c r="Y137" i="22"/>
  <c r="AK137" i="22" s="1"/>
  <c r="AD136" i="22"/>
  <c r="AP136" i="22" s="1"/>
  <c r="Z136" i="22"/>
  <c r="AL136" i="22" s="1"/>
  <c r="V136" i="22"/>
  <c r="AH136" i="22" s="1"/>
  <c r="AE135" i="22"/>
  <c r="AQ135" i="22" s="1"/>
  <c r="AA135" i="22"/>
  <c r="AM135" i="22" s="1"/>
  <c r="W135" i="22"/>
  <c r="AI135" i="22" s="1"/>
  <c r="AF134" i="22"/>
  <c r="AR134" i="22" s="1"/>
  <c r="AB134" i="22"/>
  <c r="AN134" i="22" s="1"/>
  <c r="X134" i="22"/>
  <c r="AJ134" i="22" s="1"/>
  <c r="AG133" i="22"/>
  <c r="AS133" i="22" s="1"/>
  <c r="AC133" i="22"/>
  <c r="AO133" i="22" s="1"/>
  <c r="Y133" i="22"/>
  <c r="AK133" i="22" s="1"/>
  <c r="AD132" i="22"/>
  <c r="AP132" i="22" s="1"/>
  <c r="Z132" i="22"/>
  <c r="AL132" i="22" s="1"/>
  <c r="V132" i="22"/>
  <c r="AH132" i="22" s="1"/>
  <c r="AE131" i="22"/>
  <c r="AQ131" i="22" s="1"/>
  <c r="AA131" i="22"/>
  <c r="AM131" i="22" s="1"/>
  <c r="W131" i="22"/>
  <c r="AI131" i="22" s="1"/>
  <c r="AF130" i="22"/>
  <c r="AR130" i="22" s="1"/>
  <c r="AB130" i="22"/>
  <c r="AN130" i="22" s="1"/>
  <c r="X130" i="22"/>
  <c r="AJ130" i="22" s="1"/>
  <c r="AG129" i="22"/>
  <c r="AS129" i="22" s="1"/>
  <c r="AC129" i="22"/>
  <c r="AO129" i="22" s="1"/>
  <c r="Y129" i="22"/>
  <c r="AK129" i="22" s="1"/>
  <c r="AD128" i="22"/>
  <c r="AP128" i="22" s="1"/>
  <c r="Z128" i="22"/>
  <c r="AL128" i="22" s="1"/>
  <c r="V128" i="22"/>
  <c r="AH128" i="22" s="1"/>
  <c r="Z139" i="22"/>
  <c r="AL139" i="22" s="1"/>
  <c r="AC138" i="22"/>
  <c r="AO138" i="22" s="1"/>
  <c r="AD137" i="22"/>
  <c r="AP137" i="22" s="1"/>
  <c r="V137" i="22"/>
  <c r="AH137" i="22" s="1"/>
  <c r="AG136" i="22"/>
  <c r="AS136" i="22" s="1"/>
  <c r="Y136" i="22"/>
  <c r="AK136" i="22" s="1"/>
  <c r="Z135" i="22"/>
  <c r="AL135" i="22" s="1"/>
  <c r="AC134" i="22"/>
  <c r="AO134" i="22" s="1"/>
  <c r="AD133" i="22"/>
  <c r="AP133" i="22" s="1"/>
  <c r="V133" i="22"/>
  <c r="AH133" i="22" s="1"/>
  <c r="AG132" i="22"/>
  <c r="AS132" i="22" s="1"/>
  <c r="Y132" i="22"/>
  <c r="AK132" i="22" s="1"/>
  <c r="Z131" i="22"/>
  <c r="AL131" i="22" s="1"/>
  <c r="AC130" i="22"/>
  <c r="AO130" i="22" s="1"/>
  <c r="AD129" i="22"/>
  <c r="AP129" i="22" s="1"/>
  <c r="V129" i="22"/>
  <c r="AH129" i="22" s="1"/>
  <c r="AG128" i="22"/>
  <c r="AS128" i="22" s="1"/>
  <c r="Y128" i="22"/>
  <c r="AK128" i="22" s="1"/>
  <c r="AD127" i="22"/>
  <c r="AP127" i="22" s="1"/>
  <c r="Z127" i="22"/>
  <c r="AL127" i="22" s="1"/>
  <c r="V127" i="22"/>
  <c r="AH127" i="22" s="1"/>
  <c r="AE126" i="22"/>
  <c r="AQ126" i="22" s="1"/>
  <c r="AA126" i="22"/>
  <c r="AM126" i="22" s="1"/>
  <c r="W126" i="22"/>
  <c r="AI126" i="22" s="1"/>
  <c r="AF125" i="22"/>
  <c r="AR125" i="22" s="1"/>
  <c r="AB125" i="22"/>
  <c r="AN125" i="22" s="1"/>
  <c r="X125" i="22"/>
  <c r="AJ125" i="22" s="1"/>
  <c r="AG124" i="22"/>
  <c r="AS124" i="22" s="1"/>
  <c r="AC124" i="22"/>
  <c r="AO124" i="22" s="1"/>
  <c r="Y124" i="22"/>
  <c r="AK124" i="22" s="1"/>
  <c r="AD123" i="22"/>
  <c r="AP123" i="22" s="1"/>
  <c r="Z123" i="22"/>
  <c r="AL123" i="22" s="1"/>
  <c r="V123" i="22"/>
  <c r="AH123" i="22" s="1"/>
  <c r="AE122" i="22"/>
  <c r="AQ122" i="22" s="1"/>
  <c r="AA122" i="22"/>
  <c r="AM122" i="22" s="1"/>
  <c r="W122" i="22"/>
  <c r="AI122" i="22" s="1"/>
  <c r="AF121" i="22"/>
  <c r="AR121" i="22" s="1"/>
  <c r="AB121" i="22"/>
  <c r="AN121" i="22" s="1"/>
  <c r="X121" i="22"/>
  <c r="AJ121" i="22" s="1"/>
  <c r="AG120" i="22"/>
  <c r="AS120" i="22" s="1"/>
  <c r="AC120" i="22"/>
  <c r="AO120" i="22" s="1"/>
  <c r="Y120" i="22"/>
  <c r="AK120" i="22" s="1"/>
  <c r="AD119" i="22"/>
  <c r="AP119" i="22" s="1"/>
  <c r="Z119" i="22"/>
  <c r="AL119" i="22" s="1"/>
  <c r="V119" i="22"/>
  <c r="AH119" i="22" s="1"/>
  <c r="AE118" i="22"/>
  <c r="AQ118" i="22" s="1"/>
  <c r="AA118" i="22"/>
  <c r="AM118" i="22" s="1"/>
  <c r="W118" i="22"/>
  <c r="AI118" i="22" s="1"/>
  <c r="AF117" i="22"/>
  <c r="AR117" i="22" s="1"/>
  <c r="AB117" i="22"/>
  <c r="AN117" i="22" s="1"/>
  <c r="X117" i="22"/>
  <c r="AJ117" i="22" s="1"/>
  <c r="AG116" i="22"/>
  <c r="AS116" i="22" s="1"/>
  <c r="AC116" i="22"/>
  <c r="AO116" i="22" s="1"/>
  <c r="Y116" i="22"/>
  <c r="AK116" i="22" s="1"/>
  <c r="AD115" i="22"/>
  <c r="AP115" i="22" s="1"/>
  <c r="Z115" i="22"/>
  <c r="AL115" i="22" s="1"/>
  <c r="V115" i="22"/>
  <c r="AH115" i="22" s="1"/>
  <c r="AE114" i="22"/>
  <c r="AQ114" i="22" s="1"/>
  <c r="AA114" i="22"/>
  <c r="AM114" i="22" s="1"/>
  <c r="W114" i="22"/>
  <c r="AI114" i="22" s="1"/>
  <c r="AF113" i="22"/>
  <c r="AR113" i="22" s="1"/>
  <c r="AB113" i="22"/>
  <c r="AN113" i="22" s="1"/>
  <c r="X113" i="22"/>
  <c r="AJ113" i="22" s="1"/>
  <c r="AG112" i="22"/>
  <c r="AS112" i="22" s="1"/>
  <c r="AC112" i="22"/>
  <c r="AO112" i="22" s="1"/>
  <c r="Y112" i="22"/>
  <c r="AK112" i="22" s="1"/>
  <c r="AD111" i="22"/>
  <c r="AP111" i="22" s="1"/>
  <c r="Z111" i="22"/>
  <c r="AL111" i="22" s="1"/>
  <c r="V111" i="22"/>
  <c r="AH111" i="22" s="1"/>
  <c r="AE110" i="22"/>
  <c r="AQ110" i="22" s="1"/>
  <c r="AA110" i="22"/>
  <c r="AM110" i="22" s="1"/>
  <c r="W110" i="22"/>
  <c r="AI110" i="22" s="1"/>
  <c r="AF109" i="22"/>
  <c r="AR109" i="22" s="1"/>
  <c r="AB109" i="22"/>
  <c r="AN109" i="22" s="1"/>
  <c r="AL144" i="22"/>
  <c r="D15" i="17" s="1"/>
  <c r="AF139" i="22"/>
  <c r="AR139" i="22" s="1"/>
  <c r="X139" i="22"/>
  <c r="AJ139" i="22" s="1"/>
  <c r="AA138" i="22"/>
  <c r="AM138" i="22" s="1"/>
  <c r="AB137" i="22"/>
  <c r="AN137" i="22" s="1"/>
  <c r="AE136" i="22"/>
  <c r="AQ136" i="22" s="1"/>
  <c r="W136" i="22"/>
  <c r="AI136" i="22" s="1"/>
  <c r="AF135" i="22"/>
  <c r="AR135" i="22" s="1"/>
  <c r="X135" i="22"/>
  <c r="AJ135" i="22" s="1"/>
  <c r="AA134" i="22"/>
  <c r="AM134" i="22" s="1"/>
  <c r="AB133" i="22"/>
  <c r="AN133" i="22" s="1"/>
  <c r="AE132" i="22"/>
  <c r="AQ132" i="22" s="1"/>
  <c r="W132" i="22"/>
  <c r="AI132" i="22" s="1"/>
  <c r="AF131" i="22"/>
  <c r="AR131" i="22" s="1"/>
  <c r="X131" i="22"/>
  <c r="AJ131" i="22" s="1"/>
  <c r="AA130" i="22"/>
  <c r="AM130" i="22" s="1"/>
  <c r="AB129" i="22"/>
  <c r="AN129" i="22" s="1"/>
  <c r="AE128" i="22"/>
  <c r="AQ128" i="22" s="1"/>
  <c r="W128" i="22"/>
  <c r="AI128" i="22" s="1"/>
  <c r="AG127" i="22"/>
  <c r="AS127" i="22" s="1"/>
  <c r="AC127" i="22"/>
  <c r="AO127" i="22" s="1"/>
  <c r="Y127" i="22"/>
  <c r="AK127" i="22" s="1"/>
  <c r="AD126" i="22"/>
  <c r="AP126" i="22" s="1"/>
  <c r="Z126" i="22"/>
  <c r="AL126" i="22" s="1"/>
  <c r="V126" i="22"/>
  <c r="AH126" i="22" s="1"/>
  <c r="AE125" i="22"/>
  <c r="AQ125" i="22" s="1"/>
  <c r="AA125" i="22"/>
  <c r="AM125" i="22" s="1"/>
  <c r="W125" i="22"/>
  <c r="AI125" i="22" s="1"/>
  <c r="AF124" i="22"/>
  <c r="AR124" i="22" s="1"/>
  <c r="AB124" i="22"/>
  <c r="AN124" i="22" s="1"/>
  <c r="X124" i="22"/>
  <c r="AJ124" i="22" s="1"/>
  <c r="AG123" i="22"/>
  <c r="AS123" i="22" s="1"/>
  <c r="AC123" i="22"/>
  <c r="AO123" i="22" s="1"/>
  <c r="Y123" i="22"/>
  <c r="AK123" i="22" s="1"/>
  <c r="AH144" i="22"/>
  <c r="D11" i="17" s="1"/>
  <c r="AD139" i="22"/>
  <c r="AP139" i="22" s="1"/>
  <c r="V139" i="22"/>
  <c r="AH139" i="22" s="1"/>
  <c r="AG138" i="22"/>
  <c r="AS138" i="22" s="1"/>
  <c r="Y138" i="22"/>
  <c r="AK138" i="22" s="1"/>
  <c r="Z137" i="22"/>
  <c r="AL137" i="22" s="1"/>
  <c r="AC136" i="22"/>
  <c r="AO136" i="22" s="1"/>
  <c r="AD135" i="22"/>
  <c r="AP135" i="22" s="1"/>
  <c r="V135" i="22"/>
  <c r="AH135" i="22" s="1"/>
  <c r="AG134" i="22"/>
  <c r="AS134" i="22" s="1"/>
  <c r="Y134" i="22"/>
  <c r="AK134" i="22" s="1"/>
  <c r="Z133" i="22"/>
  <c r="AL133" i="22" s="1"/>
  <c r="AC132" i="22"/>
  <c r="AO132" i="22" s="1"/>
  <c r="AD131" i="22"/>
  <c r="AP131" i="22" s="1"/>
  <c r="V131" i="22"/>
  <c r="AH131" i="22" s="1"/>
  <c r="AG130" i="22"/>
  <c r="AS130" i="22" s="1"/>
  <c r="Y130" i="22"/>
  <c r="AK130" i="22" s="1"/>
  <c r="Z129" i="22"/>
  <c r="AL129" i="22" s="1"/>
  <c r="AC128" i="22"/>
  <c r="AO128" i="22" s="1"/>
  <c r="AF127" i="22"/>
  <c r="AR127" i="22" s="1"/>
  <c r="AB127" i="22"/>
  <c r="AN127" i="22" s="1"/>
  <c r="X127" i="22"/>
  <c r="AJ127" i="22" s="1"/>
  <c r="AG126" i="22"/>
  <c r="AS126" i="22" s="1"/>
  <c r="AC126" i="22"/>
  <c r="AO126" i="22" s="1"/>
  <c r="Y126" i="22"/>
  <c r="AK126" i="22" s="1"/>
  <c r="AD125" i="22"/>
  <c r="AP125" i="22" s="1"/>
  <c r="Z125" i="22"/>
  <c r="AL125" i="22" s="1"/>
  <c r="V125" i="22"/>
  <c r="AH125" i="22" s="1"/>
  <c r="AE124" i="22"/>
  <c r="AQ124" i="22" s="1"/>
  <c r="AA124" i="22"/>
  <c r="AM124" i="22" s="1"/>
  <c r="W124" i="22"/>
  <c r="AI124" i="22" s="1"/>
  <c r="AF123" i="22"/>
  <c r="AR123" i="22" s="1"/>
  <c r="AB123" i="22"/>
  <c r="AN123" i="22" s="1"/>
  <c r="X123" i="22"/>
  <c r="AJ123" i="22" s="1"/>
  <c r="AG122" i="22"/>
  <c r="AS122" i="22" s="1"/>
  <c r="AC122" i="22"/>
  <c r="AO122" i="22" s="1"/>
  <c r="Y122" i="22"/>
  <c r="AK122" i="22" s="1"/>
  <c r="AD121" i="22"/>
  <c r="AP121" i="22" s="1"/>
  <c r="Z121" i="22"/>
  <c r="AL121" i="22" s="1"/>
  <c r="V121" i="22"/>
  <c r="AH121" i="22" s="1"/>
  <c r="AE138" i="22"/>
  <c r="AQ138" i="22" s="1"/>
  <c r="AF137" i="22"/>
  <c r="AR137" i="22" s="1"/>
  <c r="AE134" i="22"/>
  <c r="AQ134" i="22" s="1"/>
  <c r="AF133" i="22"/>
  <c r="AR133" i="22" s="1"/>
  <c r="AE130" i="22"/>
  <c r="AQ130" i="22" s="1"/>
  <c r="AF129" i="22"/>
  <c r="AR129" i="22" s="1"/>
  <c r="W127" i="22"/>
  <c r="AI127" i="22" s="1"/>
  <c r="AG125" i="22"/>
  <c r="AS125" i="22" s="1"/>
  <c r="Z124" i="22"/>
  <c r="AL124" i="22" s="1"/>
  <c r="W123" i="22"/>
  <c r="AI123" i="22" s="1"/>
  <c r="AF122" i="22"/>
  <c r="AR122" i="22" s="1"/>
  <c r="X122" i="22"/>
  <c r="AJ122" i="22" s="1"/>
  <c r="AA121" i="22"/>
  <c r="AM121" i="22" s="1"/>
  <c r="AF120" i="22"/>
  <c r="AR120" i="22" s="1"/>
  <c r="AA120" i="22"/>
  <c r="AM120" i="22" s="1"/>
  <c r="V120" i="22"/>
  <c r="AH120" i="22" s="1"/>
  <c r="AF119" i="22"/>
  <c r="AR119" i="22" s="1"/>
  <c r="AA119" i="22"/>
  <c r="AM119" i="22" s="1"/>
  <c r="AD118" i="22"/>
  <c r="AP118" i="22" s="1"/>
  <c r="Y118" i="22"/>
  <c r="AK118" i="22" s="1"/>
  <c r="AC117" i="22"/>
  <c r="AO117" i="22" s="1"/>
  <c r="W117" i="22"/>
  <c r="AI117" i="22" s="1"/>
  <c r="AF116" i="22"/>
  <c r="AR116" i="22" s="1"/>
  <c r="AA116" i="22"/>
  <c r="AM116" i="22" s="1"/>
  <c r="V116" i="22"/>
  <c r="AH116" i="22" s="1"/>
  <c r="AF115" i="22"/>
  <c r="AR115" i="22" s="1"/>
  <c r="AA115" i="22"/>
  <c r="AM115" i="22" s="1"/>
  <c r="AD114" i="22"/>
  <c r="AP114" i="22" s="1"/>
  <c r="Y114" i="22"/>
  <c r="AK114" i="22" s="1"/>
  <c r="AC113" i="22"/>
  <c r="AO113" i="22" s="1"/>
  <c r="W113" i="22"/>
  <c r="AI113" i="22" s="1"/>
  <c r="AF112" i="22"/>
  <c r="AR112" i="22" s="1"/>
  <c r="AA112" i="22"/>
  <c r="AM112" i="22" s="1"/>
  <c r="V112" i="22"/>
  <c r="AH112" i="22" s="1"/>
  <c r="AF111" i="22"/>
  <c r="AR111" i="22" s="1"/>
  <c r="AA111" i="22"/>
  <c r="AM111" i="22" s="1"/>
  <c r="AD110" i="22"/>
  <c r="AP110" i="22" s="1"/>
  <c r="Y110" i="22"/>
  <c r="AK110" i="22" s="1"/>
  <c r="AC109" i="22"/>
  <c r="AO109" i="22" s="1"/>
  <c r="X109" i="22"/>
  <c r="AJ109" i="22" s="1"/>
  <c r="AG108" i="22"/>
  <c r="AS108" i="22" s="1"/>
  <c r="AC108" i="22"/>
  <c r="AO108" i="22" s="1"/>
  <c r="Y108" i="22"/>
  <c r="AK108" i="22" s="1"/>
  <c r="AD107" i="22"/>
  <c r="AP107" i="22" s="1"/>
  <c r="Z107" i="22"/>
  <c r="AL107" i="22" s="1"/>
  <c r="V107" i="22"/>
  <c r="AH107" i="22" s="1"/>
  <c r="AE106" i="22"/>
  <c r="AQ106" i="22" s="1"/>
  <c r="AA106" i="22"/>
  <c r="AM106" i="22" s="1"/>
  <c r="W106" i="22"/>
  <c r="AI106" i="22" s="1"/>
  <c r="AF105" i="22"/>
  <c r="AR105" i="22" s="1"/>
  <c r="AB105" i="22"/>
  <c r="AN105" i="22" s="1"/>
  <c r="X105" i="22"/>
  <c r="AJ105" i="22" s="1"/>
  <c r="AG104" i="22"/>
  <c r="AS104" i="22" s="1"/>
  <c r="AC104" i="22"/>
  <c r="AO104" i="22" s="1"/>
  <c r="Y104" i="22"/>
  <c r="AK104" i="22" s="1"/>
  <c r="AB139" i="22"/>
  <c r="AN139" i="22" s="1"/>
  <c r="W138" i="22"/>
  <c r="AI138" i="22" s="1"/>
  <c r="X137" i="22"/>
  <c r="AJ137" i="22" s="1"/>
  <c r="AA136" i="22"/>
  <c r="AM136" i="22" s="1"/>
  <c r="AB135" i="22"/>
  <c r="AN135" i="22" s="1"/>
  <c r="W134" i="22"/>
  <c r="AI134" i="22" s="1"/>
  <c r="X133" i="22"/>
  <c r="AJ133" i="22" s="1"/>
  <c r="AA132" i="22"/>
  <c r="AM132" i="22" s="1"/>
  <c r="AB131" i="22"/>
  <c r="AN131" i="22" s="1"/>
  <c r="W130" i="22"/>
  <c r="AI130" i="22" s="1"/>
  <c r="X129" i="22"/>
  <c r="AJ129" i="22" s="1"/>
  <c r="AA128" i="22"/>
  <c r="AM128" i="22" s="1"/>
  <c r="AF126" i="22"/>
  <c r="AR126" i="22" s="1"/>
  <c r="AC125" i="22"/>
  <c r="AO125" i="22" s="1"/>
  <c r="V124" i="22"/>
  <c r="AH124" i="22" s="1"/>
  <c r="AD122" i="22"/>
  <c r="AP122" i="22" s="1"/>
  <c r="V122" i="22"/>
  <c r="AH122" i="22" s="1"/>
  <c r="AG121" i="22"/>
  <c r="AS121" i="22" s="1"/>
  <c r="Y121" i="22"/>
  <c r="AK121" i="22" s="1"/>
  <c r="AE120" i="22"/>
  <c r="AQ120" i="22" s="1"/>
  <c r="Z120" i="22"/>
  <c r="AL120" i="22" s="1"/>
  <c r="AE119" i="22"/>
  <c r="AQ119" i="22" s="1"/>
  <c r="Y119" i="22"/>
  <c r="AK119" i="22" s="1"/>
  <c r="AC118" i="22"/>
  <c r="AO118" i="22" s="1"/>
  <c r="X118" i="22"/>
  <c r="AJ118" i="22" s="1"/>
  <c r="AG117" i="22"/>
  <c r="AS117" i="22" s="1"/>
  <c r="AA117" i="22"/>
  <c r="AM117" i="22" s="1"/>
  <c r="V117" i="22"/>
  <c r="AH117" i="22" s="1"/>
  <c r="AE116" i="22"/>
  <c r="AQ116" i="22" s="1"/>
  <c r="Z116" i="22"/>
  <c r="AL116" i="22" s="1"/>
  <c r="AE115" i="22"/>
  <c r="AQ115" i="22" s="1"/>
  <c r="Y115" i="22"/>
  <c r="AK115" i="22" s="1"/>
  <c r="AC114" i="22"/>
  <c r="AO114" i="22" s="1"/>
  <c r="X114" i="22"/>
  <c r="AJ114" i="22" s="1"/>
  <c r="AG113" i="22"/>
  <c r="AS113" i="22" s="1"/>
  <c r="AA113" i="22"/>
  <c r="AM113" i="22" s="1"/>
  <c r="V113" i="22"/>
  <c r="AH113" i="22" s="1"/>
  <c r="AE112" i="22"/>
  <c r="AQ112" i="22" s="1"/>
  <c r="Z112" i="22"/>
  <c r="AL112" i="22" s="1"/>
  <c r="AE111" i="22"/>
  <c r="AQ111" i="22" s="1"/>
  <c r="Y111" i="22"/>
  <c r="AK111" i="22" s="1"/>
  <c r="AC110" i="22"/>
  <c r="AO110" i="22" s="1"/>
  <c r="X110" i="22"/>
  <c r="AJ110" i="22" s="1"/>
  <c r="AG109" i="22"/>
  <c r="AS109" i="22" s="1"/>
  <c r="AA109" i="22"/>
  <c r="AM109" i="22" s="1"/>
  <c r="W109" i="22"/>
  <c r="AI109" i="22" s="1"/>
  <c r="AE127" i="22"/>
  <c r="AQ127" i="22" s="1"/>
  <c r="AB126" i="22"/>
  <c r="AN126" i="22" s="1"/>
  <c r="Y125" i="22"/>
  <c r="AK125" i="22" s="1"/>
  <c r="AE123" i="22"/>
  <c r="AQ123" i="22" s="1"/>
  <c r="AB122" i="22"/>
  <c r="AN122" i="22" s="1"/>
  <c r="AE121" i="22"/>
  <c r="AQ121" i="22" s="1"/>
  <c r="W121" i="22"/>
  <c r="AI121" i="22" s="1"/>
  <c r="AD120" i="22"/>
  <c r="AP120" i="22" s="1"/>
  <c r="X120" i="22"/>
  <c r="AJ120" i="22" s="1"/>
  <c r="AC119" i="22"/>
  <c r="AO119" i="22" s="1"/>
  <c r="X119" i="22"/>
  <c r="AJ119" i="22" s="1"/>
  <c r="AG118" i="22"/>
  <c r="AS118" i="22" s="1"/>
  <c r="AB118" i="22"/>
  <c r="AN118" i="22" s="1"/>
  <c r="V118" i="22"/>
  <c r="AH118" i="22" s="1"/>
  <c r="AE117" i="22"/>
  <c r="AQ117" i="22" s="1"/>
  <c r="Z117" i="22"/>
  <c r="AL117" i="22" s="1"/>
  <c r="AD116" i="22"/>
  <c r="AP116" i="22" s="1"/>
  <c r="X116" i="22"/>
  <c r="AJ116" i="22" s="1"/>
  <c r="AC115" i="22"/>
  <c r="AO115" i="22" s="1"/>
  <c r="X115" i="22"/>
  <c r="AJ115" i="22" s="1"/>
  <c r="AG114" i="22"/>
  <c r="AS114" i="22" s="1"/>
  <c r="AB114" i="22"/>
  <c r="AN114" i="22" s="1"/>
  <c r="V114" i="22"/>
  <c r="AH114" i="22" s="1"/>
  <c r="AE113" i="22"/>
  <c r="AQ113" i="22" s="1"/>
  <c r="Z113" i="22"/>
  <c r="AL113" i="22" s="1"/>
  <c r="AD112" i="22"/>
  <c r="AP112" i="22" s="1"/>
  <c r="X112" i="22"/>
  <c r="AJ112" i="22" s="1"/>
  <c r="AC111" i="22"/>
  <c r="AO111" i="22" s="1"/>
  <c r="X111" i="22"/>
  <c r="AJ111" i="22" s="1"/>
  <c r="AG110" i="22"/>
  <c r="AS110" i="22" s="1"/>
  <c r="AB110" i="22"/>
  <c r="AN110" i="22" s="1"/>
  <c r="V110" i="22"/>
  <c r="AH110" i="22" s="1"/>
  <c r="AE109" i="22"/>
  <c r="AQ109" i="22" s="1"/>
  <c r="Z109" i="22"/>
  <c r="AL109" i="22" s="1"/>
  <c r="V109" i="22"/>
  <c r="AH109" i="22" s="1"/>
  <c r="AE108" i="22"/>
  <c r="AQ108" i="22" s="1"/>
  <c r="AA108" i="22"/>
  <c r="AM108" i="22" s="1"/>
  <c r="W108" i="22"/>
  <c r="AI108" i="22" s="1"/>
  <c r="AF107" i="22"/>
  <c r="AR107" i="22" s="1"/>
  <c r="AB107" i="22"/>
  <c r="AN107" i="22" s="1"/>
  <c r="X107" i="22"/>
  <c r="AJ107" i="22" s="1"/>
  <c r="AG106" i="22"/>
  <c r="AS106" i="22" s="1"/>
  <c r="AC106" i="22"/>
  <c r="AO106" i="22" s="1"/>
  <c r="Y106" i="22"/>
  <c r="AK106" i="22" s="1"/>
  <c r="AD105" i="22"/>
  <c r="AP105" i="22" s="1"/>
  <c r="Z105" i="22"/>
  <c r="AL105" i="22" s="1"/>
  <c r="V105" i="22"/>
  <c r="AH105" i="22" s="1"/>
  <c r="AE104" i="22"/>
  <c r="AQ104" i="22" s="1"/>
  <c r="AA104" i="22"/>
  <c r="AM104" i="22" s="1"/>
  <c r="W104" i="22"/>
  <c r="AI104" i="22" s="1"/>
  <c r="AF103" i="22"/>
  <c r="AR103" i="22" s="1"/>
  <c r="AB103" i="22"/>
  <c r="AN103" i="22" s="1"/>
  <c r="X103" i="22"/>
  <c r="AJ103" i="22" s="1"/>
  <c r="AG102" i="22"/>
  <c r="AS102" i="22" s="1"/>
  <c r="AC102" i="22"/>
  <c r="AO102" i="22" s="1"/>
  <c r="Y102" i="22"/>
  <c r="AK102" i="22" s="1"/>
  <c r="AD101" i="22"/>
  <c r="AP101" i="22" s="1"/>
  <c r="Z101" i="22"/>
  <c r="AL101" i="22" s="1"/>
  <c r="V101" i="22"/>
  <c r="AH101" i="22" s="1"/>
  <c r="X126" i="22"/>
  <c r="AJ126" i="22" s="1"/>
  <c r="AD124" i="22"/>
  <c r="AP124" i="22" s="1"/>
  <c r="W120" i="22"/>
  <c r="AI120" i="22" s="1"/>
  <c r="AG119" i="22"/>
  <c r="AS119" i="22" s="1"/>
  <c r="Y117" i="22"/>
  <c r="AK117" i="22" s="1"/>
  <c r="W115" i="22"/>
  <c r="AI115" i="22" s="1"/>
  <c r="AF114" i="22"/>
  <c r="AR114" i="22" s="1"/>
  <c r="W112" i="22"/>
  <c r="AI112" i="22" s="1"/>
  <c r="AG111" i="22"/>
  <c r="AS111" i="22" s="1"/>
  <c r="Y109" i="22"/>
  <c r="AK109" i="22" s="1"/>
  <c r="Z108" i="22"/>
  <c r="AL108" i="22" s="1"/>
  <c r="AC107" i="22"/>
  <c r="AO107" i="22" s="1"/>
  <c r="AD106" i="22"/>
  <c r="AP106" i="22" s="1"/>
  <c r="V106" i="22"/>
  <c r="AH106" i="22" s="1"/>
  <c r="AG105" i="22"/>
  <c r="AS105" i="22" s="1"/>
  <c r="Y105" i="22"/>
  <c r="AK105" i="22" s="1"/>
  <c r="Z104" i="22"/>
  <c r="AL104" i="22" s="1"/>
  <c r="AC103" i="22"/>
  <c r="AO103" i="22" s="1"/>
  <c r="W103" i="22"/>
  <c r="AI103" i="22" s="1"/>
  <c r="AF102" i="22"/>
  <c r="AR102" i="22" s="1"/>
  <c r="AA102" i="22"/>
  <c r="AM102" i="22" s="1"/>
  <c r="V102" i="22"/>
  <c r="AH102" i="22" s="1"/>
  <c r="AF101" i="22"/>
  <c r="AR101" i="22" s="1"/>
  <c r="AA101" i="22"/>
  <c r="AM101" i="22" s="1"/>
  <c r="AD100" i="22"/>
  <c r="AP100" i="22" s="1"/>
  <c r="Z100" i="22"/>
  <c r="AL100" i="22" s="1"/>
  <c r="V100" i="22"/>
  <c r="AH100" i="22" s="1"/>
  <c r="AE99" i="22"/>
  <c r="AQ99" i="22" s="1"/>
  <c r="AA99" i="22"/>
  <c r="AM99" i="22" s="1"/>
  <c r="W99" i="22"/>
  <c r="AI99" i="22" s="1"/>
  <c r="AF98" i="22"/>
  <c r="AR98" i="22" s="1"/>
  <c r="AB98" i="22"/>
  <c r="AN98" i="22" s="1"/>
  <c r="X98" i="22"/>
  <c r="AJ98" i="22" s="1"/>
  <c r="AG97" i="22"/>
  <c r="AS97" i="22" s="1"/>
  <c r="AC97" i="22"/>
  <c r="AO97" i="22" s="1"/>
  <c r="Y97" i="22"/>
  <c r="AK97" i="22" s="1"/>
  <c r="AD96" i="22"/>
  <c r="AP96" i="22" s="1"/>
  <c r="Z96" i="22"/>
  <c r="AL96" i="22" s="1"/>
  <c r="V96" i="22"/>
  <c r="AH96" i="22" s="1"/>
  <c r="AE95" i="22"/>
  <c r="AQ95" i="22" s="1"/>
  <c r="AA95" i="22"/>
  <c r="AM95" i="22" s="1"/>
  <c r="W95" i="22"/>
  <c r="AI95" i="22" s="1"/>
  <c r="AF94" i="22"/>
  <c r="AR94" i="22" s="1"/>
  <c r="AB94" i="22"/>
  <c r="AN94" i="22" s="1"/>
  <c r="X94" i="22"/>
  <c r="AJ94" i="22" s="1"/>
  <c r="AG93" i="22"/>
  <c r="AS93" i="22" s="1"/>
  <c r="AC93" i="22"/>
  <c r="AO93" i="22" s="1"/>
  <c r="Y93" i="22"/>
  <c r="AK93" i="22" s="1"/>
  <c r="AD92" i="22"/>
  <c r="AP92" i="22" s="1"/>
  <c r="Z92" i="22"/>
  <c r="AL92" i="22" s="1"/>
  <c r="V92" i="22"/>
  <c r="AH92" i="22" s="1"/>
  <c r="AE91" i="22"/>
  <c r="AQ91" i="22" s="1"/>
  <c r="AA91" i="22"/>
  <c r="AM91" i="22" s="1"/>
  <c r="W91" i="22"/>
  <c r="AI91" i="22" s="1"/>
  <c r="AF90" i="22"/>
  <c r="AR90" i="22" s="1"/>
  <c r="AB90" i="22"/>
  <c r="AN90" i="22" s="1"/>
  <c r="X90" i="22"/>
  <c r="AJ90" i="22" s="1"/>
  <c r="AG89" i="22"/>
  <c r="AS89" i="22" s="1"/>
  <c r="AC89" i="22"/>
  <c r="AO89" i="22" s="1"/>
  <c r="Y89" i="22"/>
  <c r="AK89" i="22" s="1"/>
  <c r="AD88" i="22"/>
  <c r="AP88" i="22" s="1"/>
  <c r="Z88" i="22"/>
  <c r="AL88" i="22" s="1"/>
  <c r="V88" i="22"/>
  <c r="AH88" i="22" s="1"/>
  <c r="AE87" i="22"/>
  <c r="AQ87" i="22" s="1"/>
  <c r="AA87" i="22"/>
  <c r="AM87" i="22" s="1"/>
  <c r="W87" i="22"/>
  <c r="AI87" i="22" s="1"/>
  <c r="AF86" i="22"/>
  <c r="AR86" i="22" s="1"/>
  <c r="AB86" i="22"/>
  <c r="AN86" i="22" s="1"/>
  <c r="X86" i="22"/>
  <c r="AJ86" i="22" s="1"/>
  <c r="AG85" i="22"/>
  <c r="AS85" i="22" s="1"/>
  <c r="AC85" i="22"/>
  <c r="AO85" i="22" s="1"/>
  <c r="Y85" i="22"/>
  <c r="AK85" i="22" s="1"/>
  <c r="AD84" i="22"/>
  <c r="AP84" i="22" s="1"/>
  <c r="Z84" i="22"/>
  <c r="AL84" i="22" s="1"/>
  <c r="V84" i="22"/>
  <c r="AH84" i="22" s="1"/>
  <c r="AE83" i="22"/>
  <c r="AQ83" i="22" s="1"/>
  <c r="AA83" i="22"/>
  <c r="AM83" i="22" s="1"/>
  <c r="W83" i="22"/>
  <c r="AI83" i="22" s="1"/>
  <c r="AF82" i="22"/>
  <c r="AR82" i="22" s="1"/>
  <c r="AB82" i="22"/>
  <c r="AN82" i="22" s="1"/>
  <c r="X82" i="22"/>
  <c r="AJ82" i="22" s="1"/>
  <c r="AG81" i="22"/>
  <c r="AS81" i="22" s="1"/>
  <c r="AC81" i="22"/>
  <c r="AO81" i="22" s="1"/>
  <c r="AA127" i="22"/>
  <c r="AM127" i="22" s="1"/>
  <c r="AB119" i="22"/>
  <c r="AN119" i="22" s="1"/>
  <c r="AB116" i="22"/>
  <c r="AN116" i="22" s="1"/>
  <c r="Z114" i="22"/>
  <c r="AL114" i="22" s="1"/>
  <c r="AD113" i="22"/>
  <c r="AP113" i="22" s="1"/>
  <c r="AB111" i="22"/>
  <c r="AN111" i="22" s="1"/>
  <c r="AF108" i="22"/>
  <c r="AR108" i="22" s="1"/>
  <c r="X108" i="22"/>
  <c r="AJ108" i="22" s="1"/>
  <c r="AA107" i="22"/>
  <c r="AM107" i="22" s="1"/>
  <c r="AB106" i="22"/>
  <c r="AN106" i="22" s="1"/>
  <c r="AE105" i="22"/>
  <c r="AQ105" i="22" s="1"/>
  <c r="W105" i="22"/>
  <c r="AI105" i="22" s="1"/>
  <c r="AF104" i="22"/>
  <c r="AR104" i="22" s="1"/>
  <c r="X104" i="22"/>
  <c r="AJ104" i="22" s="1"/>
  <c r="AG103" i="22"/>
  <c r="AS103" i="22" s="1"/>
  <c r="AA103" i="22"/>
  <c r="AM103" i="22" s="1"/>
  <c r="V103" i="22"/>
  <c r="AH103" i="22" s="1"/>
  <c r="AE102" i="22"/>
  <c r="AQ102" i="22" s="1"/>
  <c r="Z102" i="22"/>
  <c r="AL102" i="22" s="1"/>
  <c r="AE101" i="22"/>
  <c r="AQ101" i="22" s="1"/>
  <c r="Y101" i="22"/>
  <c r="AK101" i="22" s="1"/>
  <c r="AG100" i="22"/>
  <c r="AS100" i="22" s="1"/>
  <c r="AC100" i="22"/>
  <c r="AO100" i="22" s="1"/>
  <c r="Y100" i="22"/>
  <c r="AK100" i="22" s="1"/>
  <c r="AD99" i="22"/>
  <c r="AP99" i="22" s="1"/>
  <c r="Z99" i="22"/>
  <c r="AL99" i="22" s="1"/>
  <c r="V99" i="22"/>
  <c r="AH99" i="22" s="1"/>
  <c r="AE98" i="22"/>
  <c r="AQ98" i="22" s="1"/>
  <c r="AA98" i="22"/>
  <c r="AM98" i="22" s="1"/>
  <c r="W98" i="22"/>
  <c r="AI98" i="22" s="1"/>
  <c r="AF97" i="22"/>
  <c r="AR97" i="22" s="1"/>
  <c r="AB97" i="22"/>
  <c r="AN97" i="22" s="1"/>
  <c r="X97" i="22"/>
  <c r="AJ97" i="22" s="1"/>
  <c r="AG96" i="22"/>
  <c r="AS96" i="22" s="1"/>
  <c r="AC96" i="22"/>
  <c r="AO96" i="22" s="1"/>
  <c r="Y96" i="22"/>
  <c r="AK96" i="22" s="1"/>
  <c r="AD95" i="22"/>
  <c r="AP95" i="22" s="1"/>
  <c r="Z95" i="22"/>
  <c r="AL95" i="22" s="1"/>
  <c r="V95" i="22"/>
  <c r="AH95" i="22" s="1"/>
  <c r="AE94" i="22"/>
  <c r="AQ94" i="22" s="1"/>
  <c r="AA94" i="22"/>
  <c r="AM94" i="22" s="1"/>
  <c r="W94" i="22"/>
  <c r="AI94" i="22" s="1"/>
  <c r="AF93" i="22"/>
  <c r="AR93" i="22" s="1"/>
  <c r="AB93" i="22"/>
  <c r="AN93" i="22" s="1"/>
  <c r="X93" i="22"/>
  <c r="AJ93" i="22" s="1"/>
  <c r="AG92" i="22"/>
  <c r="AS92" i="22" s="1"/>
  <c r="AC92" i="22"/>
  <c r="AO92" i="22" s="1"/>
  <c r="Y92" i="22"/>
  <c r="AK92" i="22" s="1"/>
  <c r="AD91" i="22"/>
  <c r="AP91" i="22" s="1"/>
  <c r="Z91" i="22"/>
  <c r="AL91" i="22" s="1"/>
  <c r="V91" i="22"/>
  <c r="AH91" i="22" s="1"/>
  <c r="AE90" i="22"/>
  <c r="AQ90" i="22" s="1"/>
  <c r="AA90" i="22"/>
  <c r="AM90" i="22" s="1"/>
  <c r="W90" i="22"/>
  <c r="AI90" i="22" s="1"/>
  <c r="AF89" i="22"/>
  <c r="AR89" i="22" s="1"/>
  <c r="AB89" i="22"/>
  <c r="AN89" i="22" s="1"/>
  <c r="X89" i="22"/>
  <c r="AJ89" i="22" s="1"/>
  <c r="AG88" i="22"/>
  <c r="AS88" i="22" s="1"/>
  <c r="AC88" i="22"/>
  <c r="AO88" i="22" s="1"/>
  <c r="Y88" i="22"/>
  <c r="AK88" i="22" s="1"/>
  <c r="AD87" i="22"/>
  <c r="AP87" i="22" s="1"/>
  <c r="Z87" i="22"/>
  <c r="AL87" i="22" s="1"/>
  <c r="V87" i="22"/>
  <c r="AH87" i="22" s="1"/>
  <c r="AE86" i="22"/>
  <c r="AQ86" i="22" s="1"/>
  <c r="AA86" i="22"/>
  <c r="AM86" i="22" s="1"/>
  <c r="W86" i="22"/>
  <c r="AI86" i="22" s="1"/>
  <c r="AF85" i="22"/>
  <c r="AR85" i="22" s="1"/>
  <c r="AB85" i="22"/>
  <c r="AN85" i="22" s="1"/>
  <c r="X85" i="22"/>
  <c r="AJ85" i="22" s="1"/>
  <c r="AG84" i="22"/>
  <c r="AS84" i="22" s="1"/>
  <c r="AC84" i="22"/>
  <c r="AO84" i="22" s="1"/>
  <c r="Y84" i="22"/>
  <c r="AK84" i="22" s="1"/>
  <c r="AD83" i="22"/>
  <c r="AP83" i="22" s="1"/>
  <c r="Z83" i="22"/>
  <c r="AL83" i="22" s="1"/>
  <c r="V83" i="22"/>
  <c r="AH83" i="22" s="1"/>
  <c r="AE82" i="22"/>
  <c r="AQ82" i="22" s="1"/>
  <c r="AA82" i="22"/>
  <c r="AM82" i="22" s="1"/>
  <c r="W119" i="22"/>
  <c r="AI119" i="22" s="1"/>
  <c r="AF118" i="22"/>
  <c r="AR118" i="22" s="1"/>
  <c r="W116" i="22"/>
  <c r="AI116" i="22" s="1"/>
  <c r="AG115" i="22"/>
  <c r="AS115" i="22" s="1"/>
  <c r="Y113" i="22"/>
  <c r="AK113" i="22" s="1"/>
  <c r="W111" i="22"/>
  <c r="AI111" i="22" s="1"/>
  <c r="AF110" i="22"/>
  <c r="AR110" i="22" s="1"/>
  <c r="AD108" i="22"/>
  <c r="AP108" i="22" s="1"/>
  <c r="V108" i="22"/>
  <c r="AH108" i="22" s="1"/>
  <c r="AG107" i="22"/>
  <c r="AS107" i="22" s="1"/>
  <c r="Y107" i="22"/>
  <c r="AK107" i="22" s="1"/>
  <c r="Z106" i="22"/>
  <c r="AL106" i="22" s="1"/>
  <c r="AC105" i="22"/>
  <c r="AO105" i="22" s="1"/>
  <c r="AD104" i="22"/>
  <c r="AP104" i="22" s="1"/>
  <c r="V104" i="22"/>
  <c r="AH104" i="22" s="1"/>
  <c r="AE103" i="22"/>
  <c r="AQ103" i="22" s="1"/>
  <c r="Z103" i="22"/>
  <c r="AL103" i="22" s="1"/>
  <c r="AD102" i="22"/>
  <c r="AP102" i="22" s="1"/>
  <c r="X102" i="22"/>
  <c r="AJ102" i="22" s="1"/>
  <c r="AC101" i="22"/>
  <c r="AO101" i="22" s="1"/>
  <c r="X101" i="22"/>
  <c r="AJ101" i="22" s="1"/>
  <c r="AF100" i="22"/>
  <c r="AR100" i="22" s="1"/>
  <c r="AB100" i="22"/>
  <c r="AN100" i="22" s="1"/>
  <c r="X100" i="22"/>
  <c r="AJ100" i="22" s="1"/>
  <c r="AG99" i="22"/>
  <c r="AS99" i="22" s="1"/>
  <c r="AC99" i="22"/>
  <c r="AO99" i="22" s="1"/>
  <c r="Y99" i="22"/>
  <c r="AK99" i="22" s="1"/>
  <c r="AD98" i="22"/>
  <c r="AP98" i="22" s="1"/>
  <c r="Z98" i="22"/>
  <c r="AL98" i="22" s="1"/>
  <c r="V98" i="22"/>
  <c r="AH98" i="22" s="1"/>
  <c r="AE97" i="22"/>
  <c r="AQ97" i="22" s="1"/>
  <c r="AA97" i="22"/>
  <c r="AM97" i="22" s="1"/>
  <c r="W97" i="22"/>
  <c r="AI97" i="22" s="1"/>
  <c r="AF96" i="22"/>
  <c r="AR96" i="22" s="1"/>
  <c r="AB96" i="22"/>
  <c r="AN96" i="22" s="1"/>
  <c r="X96" i="22"/>
  <c r="AJ96" i="22" s="1"/>
  <c r="AG95" i="22"/>
  <c r="AS95" i="22" s="1"/>
  <c r="AC95" i="22"/>
  <c r="AO95" i="22" s="1"/>
  <c r="Y95" i="22"/>
  <c r="AK95" i="22" s="1"/>
  <c r="AD94" i="22"/>
  <c r="AP94" i="22" s="1"/>
  <c r="Z94" i="22"/>
  <c r="AL94" i="22" s="1"/>
  <c r="V94" i="22"/>
  <c r="AH94" i="22" s="1"/>
  <c r="AE93" i="22"/>
  <c r="AQ93" i="22" s="1"/>
  <c r="AA93" i="22"/>
  <c r="AM93" i="22" s="1"/>
  <c r="W93" i="22"/>
  <c r="AI93" i="22" s="1"/>
  <c r="AF92" i="22"/>
  <c r="AR92" i="22" s="1"/>
  <c r="AB92" i="22"/>
  <c r="AN92" i="22" s="1"/>
  <c r="X92" i="22"/>
  <c r="AJ92" i="22" s="1"/>
  <c r="AG91" i="22"/>
  <c r="AS91" i="22" s="1"/>
  <c r="AC91" i="22"/>
  <c r="AO91" i="22" s="1"/>
  <c r="Y91" i="22"/>
  <c r="AK91" i="22" s="1"/>
  <c r="AD90" i="22"/>
  <c r="AP90" i="22" s="1"/>
  <c r="Z90" i="22"/>
  <c r="AL90" i="22" s="1"/>
  <c r="V90" i="22"/>
  <c r="AH90" i="22" s="1"/>
  <c r="AE89" i="22"/>
  <c r="AQ89" i="22" s="1"/>
  <c r="AA89" i="22"/>
  <c r="AM89" i="22" s="1"/>
  <c r="W89" i="22"/>
  <c r="AI89" i="22" s="1"/>
  <c r="AF88" i="22"/>
  <c r="AR88" i="22" s="1"/>
  <c r="AB88" i="22"/>
  <c r="AN88" i="22" s="1"/>
  <c r="X88" i="22"/>
  <c r="AJ88" i="22" s="1"/>
  <c r="AG87" i="22"/>
  <c r="AS87" i="22" s="1"/>
  <c r="AC87" i="22"/>
  <c r="AO87" i="22" s="1"/>
  <c r="Y87" i="22"/>
  <c r="AK87" i="22" s="1"/>
  <c r="AD86" i="22"/>
  <c r="AP86" i="22" s="1"/>
  <c r="Z86" i="22"/>
  <c r="AL86" i="22" s="1"/>
  <c r="V86" i="22"/>
  <c r="AH86" i="22" s="1"/>
  <c r="AE85" i="22"/>
  <c r="AQ85" i="22" s="1"/>
  <c r="AA85" i="22"/>
  <c r="AM85" i="22" s="1"/>
  <c r="W85" i="22"/>
  <c r="AI85" i="22" s="1"/>
  <c r="AF84" i="22"/>
  <c r="AR84" i="22" s="1"/>
  <c r="AB84" i="22"/>
  <c r="AN84" i="22" s="1"/>
  <c r="X84" i="22"/>
  <c r="AJ84" i="22" s="1"/>
  <c r="AG83" i="22"/>
  <c r="AS83" i="22" s="1"/>
  <c r="AC83" i="22"/>
  <c r="AO83" i="22" s="1"/>
  <c r="Y83" i="22"/>
  <c r="AK83" i="22" s="1"/>
  <c r="AD82" i="22"/>
  <c r="AP82" i="22" s="1"/>
  <c r="Z82" i="22"/>
  <c r="AL82" i="22" s="1"/>
  <c r="V82" i="22"/>
  <c r="AH82" i="22" s="1"/>
  <c r="AB108" i="22"/>
  <c r="AN108" i="22" s="1"/>
  <c r="W107" i="22"/>
  <c r="AI107" i="22" s="1"/>
  <c r="X106" i="22"/>
  <c r="AJ106" i="22" s="1"/>
  <c r="AA105" i="22"/>
  <c r="AM105" i="22" s="1"/>
  <c r="AB104" i="22"/>
  <c r="AN104" i="22" s="1"/>
  <c r="AD103" i="22"/>
  <c r="AP103" i="22" s="1"/>
  <c r="AB101" i="22"/>
  <c r="AN101" i="22" s="1"/>
  <c r="W100" i="22"/>
  <c r="AI100" i="22" s="1"/>
  <c r="AG98" i="22"/>
  <c r="AS98" i="22" s="1"/>
  <c r="Z97" i="22"/>
  <c r="AL97" i="22" s="1"/>
  <c r="W96" i="22"/>
  <c r="AI96" i="22" s="1"/>
  <c r="AG94" i="22"/>
  <c r="AS94" i="22" s="1"/>
  <c r="Z93" i="22"/>
  <c r="AL93" i="22" s="1"/>
  <c r="W92" i="22"/>
  <c r="AI92" i="22" s="1"/>
  <c r="AG90" i="22"/>
  <c r="AS90" i="22" s="1"/>
  <c r="Z89" i="22"/>
  <c r="AL89" i="22" s="1"/>
  <c r="W88" i="22"/>
  <c r="AI88" i="22" s="1"/>
  <c r="AG86" i="22"/>
  <c r="AS86" i="22" s="1"/>
  <c r="Z85" i="22"/>
  <c r="AL85" i="22" s="1"/>
  <c r="W84" i="22"/>
  <c r="AI84" i="22" s="1"/>
  <c r="AG82" i="22"/>
  <c r="AS82" i="22" s="1"/>
  <c r="AE81" i="22"/>
  <c r="AQ81" i="22" s="1"/>
  <c r="Z81" i="22"/>
  <c r="AL81" i="22" s="1"/>
  <c r="V81" i="22"/>
  <c r="AH81" i="22" s="1"/>
  <c r="AE80" i="22"/>
  <c r="AQ80" i="22" s="1"/>
  <c r="AA80" i="22"/>
  <c r="AM80" i="22" s="1"/>
  <c r="W80" i="22"/>
  <c r="AI80" i="22" s="1"/>
  <c r="AF79" i="22"/>
  <c r="AR79" i="22" s="1"/>
  <c r="AB79" i="22"/>
  <c r="AN79" i="22" s="1"/>
  <c r="X79" i="22"/>
  <c r="AJ79" i="22" s="1"/>
  <c r="AG78" i="22"/>
  <c r="AS78" i="22" s="1"/>
  <c r="AC78" i="22"/>
  <c r="AO78" i="22" s="1"/>
  <c r="Y78" i="22"/>
  <c r="AK78" i="22" s="1"/>
  <c r="AD77" i="22"/>
  <c r="AP77" i="22" s="1"/>
  <c r="Z77" i="22"/>
  <c r="AL77" i="22" s="1"/>
  <c r="V77" i="22"/>
  <c r="AH77" i="22" s="1"/>
  <c r="AE76" i="22"/>
  <c r="AQ76" i="22" s="1"/>
  <c r="AA76" i="22"/>
  <c r="AM76" i="22" s="1"/>
  <c r="W76" i="22"/>
  <c r="AI76" i="22" s="1"/>
  <c r="AF75" i="22"/>
  <c r="AR75" i="22" s="1"/>
  <c r="AB75" i="22"/>
  <c r="AN75" i="22" s="1"/>
  <c r="X75" i="22"/>
  <c r="AJ75" i="22" s="1"/>
  <c r="AG74" i="22"/>
  <c r="AS74" i="22" s="1"/>
  <c r="AC74" i="22"/>
  <c r="AO74" i="22" s="1"/>
  <c r="Y74" i="22"/>
  <c r="AK74" i="22" s="1"/>
  <c r="AD73" i="22"/>
  <c r="AP73" i="22" s="1"/>
  <c r="Z73" i="22"/>
  <c r="AL73" i="22" s="1"/>
  <c r="V73" i="22"/>
  <c r="AH73" i="22" s="1"/>
  <c r="AE72" i="22"/>
  <c r="AQ72" i="22" s="1"/>
  <c r="AA72" i="22"/>
  <c r="AM72" i="22" s="1"/>
  <c r="W72" i="22"/>
  <c r="AI72" i="22" s="1"/>
  <c r="AF71" i="22"/>
  <c r="AR71" i="22" s="1"/>
  <c r="AB71" i="22"/>
  <c r="AN71" i="22" s="1"/>
  <c r="X71" i="22"/>
  <c r="AJ71" i="22" s="1"/>
  <c r="AG70" i="22"/>
  <c r="AS70" i="22" s="1"/>
  <c r="AC70" i="22"/>
  <c r="AO70" i="22" s="1"/>
  <c r="Y70" i="22"/>
  <c r="AK70" i="22" s="1"/>
  <c r="AD69" i="22"/>
  <c r="AP69" i="22" s="1"/>
  <c r="Z69" i="22"/>
  <c r="AL69" i="22" s="1"/>
  <c r="V69" i="22"/>
  <c r="AH69" i="22" s="1"/>
  <c r="AE68" i="22"/>
  <c r="AQ68" i="22" s="1"/>
  <c r="AA68" i="22"/>
  <c r="AM68" i="22" s="1"/>
  <c r="W68" i="22"/>
  <c r="AI68" i="22" s="1"/>
  <c r="AF67" i="22"/>
  <c r="AR67" i="22" s="1"/>
  <c r="AB67" i="22"/>
  <c r="AN67" i="22" s="1"/>
  <c r="X67" i="22"/>
  <c r="AJ67" i="22" s="1"/>
  <c r="AG66" i="22"/>
  <c r="AS66" i="22" s="1"/>
  <c r="AC66" i="22"/>
  <c r="AO66" i="22" s="1"/>
  <c r="Y66" i="22"/>
  <c r="AK66" i="22" s="1"/>
  <c r="AD65" i="22"/>
  <c r="AP65" i="22" s="1"/>
  <c r="Z65" i="22"/>
  <c r="AL65" i="22" s="1"/>
  <c r="V65" i="22"/>
  <c r="AH65" i="22" s="1"/>
  <c r="AE64" i="22"/>
  <c r="AQ64" i="22" s="1"/>
  <c r="AA64" i="22"/>
  <c r="AM64" i="22" s="1"/>
  <c r="W64" i="22"/>
  <c r="AI64" i="22" s="1"/>
  <c r="AF63" i="22"/>
  <c r="AR63" i="22" s="1"/>
  <c r="AB63" i="22"/>
  <c r="AN63" i="22" s="1"/>
  <c r="X63" i="22"/>
  <c r="AJ63" i="22" s="1"/>
  <c r="AG62" i="22"/>
  <c r="AS62" i="22" s="1"/>
  <c r="AC62" i="22"/>
  <c r="AO62" i="22" s="1"/>
  <c r="Y62" i="22"/>
  <c r="AK62" i="22" s="1"/>
  <c r="AD61" i="22"/>
  <c r="AP61" i="22" s="1"/>
  <c r="Z61" i="22"/>
  <c r="AL61" i="22" s="1"/>
  <c r="V61" i="22"/>
  <c r="AH61" i="22" s="1"/>
  <c r="AE60" i="22"/>
  <c r="AQ60" i="22" s="1"/>
  <c r="AA60" i="22"/>
  <c r="AM60" i="22" s="1"/>
  <c r="W60" i="22"/>
  <c r="AI60" i="22" s="1"/>
  <c r="AF59" i="22"/>
  <c r="AR59" i="22" s="1"/>
  <c r="AA123" i="22"/>
  <c r="AM123" i="22" s="1"/>
  <c r="AC121" i="22"/>
  <c r="AO121" i="22" s="1"/>
  <c r="AD117" i="22"/>
  <c r="AP117" i="22" s="1"/>
  <c r="AB115" i="22"/>
  <c r="AN115" i="22" s="1"/>
  <c r="AD109" i="22"/>
  <c r="AP109" i="22" s="1"/>
  <c r="Y103" i="22"/>
  <c r="AK103" i="22" s="1"/>
  <c r="W101" i="22"/>
  <c r="AI101" i="22" s="1"/>
  <c r="AF99" i="22"/>
  <c r="AR99" i="22" s="1"/>
  <c r="AC98" i="22"/>
  <c r="AO98" i="22" s="1"/>
  <c r="V97" i="22"/>
  <c r="AH97" i="22" s="1"/>
  <c r="AF95" i="22"/>
  <c r="AR95" i="22" s="1"/>
  <c r="AC94" i="22"/>
  <c r="AO94" i="22" s="1"/>
  <c r="V93" i="22"/>
  <c r="AH93" i="22" s="1"/>
  <c r="AF91" i="22"/>
  <c r="AR91" i="22" s="1"/>
  <c r="AC90" i="22"/>
  <c r="AO90" i="22" s="1"/>
  <c r="V89" i="22"/>
  <c r="AH89" i="22" s="1"/>
  <c r="AF87" i="22"/>
  <c r="AR87" i="22" s="1"/>
  <c r="AC86" i="22"/>
  <c r="AO86" i="22" s="1"/>
  <c r="V85" i="22"/>
  <c r="AH85" i="22" s="1"/>
  <c r="AF83" i="22"/>
  <c r="AR83" i="22" s="1"/>
  <c r="AC82" i="22"/>
  <c r="AO82" i="22" s="1"/>
  <c r="AD81" i="22"/>
  <c r="AP81" i="22" s="1"/>
  <c r="Y81" i="22"/>
  <c r="AK81" i="22" s="1"/>
  <c r="AD80" i="22"/>
  <c r="AP80" i="22" s="1"/>
  <c r="Z80" i="22"/>
  <c r="AL80" i="22" s="1"/>
  <c r="V80" i="22"/>
  <c r="AH80" i="22" s="1"/>
  <c r="AE79" i="22"/>
  <c r="AQ79" i="22" s="1"/>
  <c r="AA79" i="22"/>
  <c r="AM79" i="22" s="1"/>
  <c r="W79" i="22"/>
  <c r="AI79" i="22" s="1"/>
  <c r="AF78" i="22"/>
  <c r="AR78" i="22" s="1"/>
  <c r="AB78" i="22"/>
  <c r="AN78" i="22" s="1"/>
  <c r="X78" i="22"/>
  <c r="AJ78" i="22" s="1"/>
  <c r="AG77" i="22"/>
  <c r="AS77" i="22" s="1"/>
  <c r="AC77" i="22"/>
  <c r="AO77" i="22" s="1"/>
  <c r="Y77" i="22"/>
  <c r="AK77" i="22" s="1"/>
  <c r="AD76" i="22"/>
  <c r="AP76" i="22" s="1"/>
  <c r="Z76" i="22"/>
  <c r="AL76" i="22" s="1"/>
  <c r="V76" i="22"/>
  <c r="AH76" i="22" s="1"/>
  <c r="AE75" i="22"/>
  <c r="AQ75" i="22" s="1"/>
  <c r="AA75" i="22"/>
  <c r="AM75" i="22" s="1"/>
  <c r="W75" i="22"/>
  <c r="AI75" i="22" s="1"/>
  <c r="AF74" i="22"/>
  <c r="AR74" i="22" s="1"/>
  <c r="AB74" i="22"/>
  <c r="AN74" i="22" s="1"/>
  <c r="X74" i="22"/>
  <c r="AJ74" i="22" s="1"/>
  <c r="AG73" i="22"/>
  <c r="AS73" i="22" s="1"/>
  <c r="AC73" i="22"/>
  <c r="AO73" i="22" s="1"/>
  <c r="Y73" i="22"/>
  <c r="AK73" i="22" s="1"/>
  <c r="AD72" i="22"/>
  <c r="AP72" i="22" s="1"/>
  <c r="Z72" i="22"/>
  <c r="AL72" i="22" s="1"/>
  <c r="V72" i="22"/>
  <c r="AH72" i="22" s="1"/>
  <c r="AE71" i="22"/>
  <c r="AQ71" i="22" s="1"/>
  <c r="AA71" i="22"/>
  <c r="AM71" i="22" s="1"/>
  <c r="W71" i="22"/>
  <c r="AI71" i="22" s="1"/>
  <c r="AF70" i="22"/>
  <c r="AR70" i="22" s="1"/>
  <c r="AB70" i="22"/>
  <c r="AN70" i="22" s="1"/>
  <c r="X70" i="22"/>
  <c r="AJ70" i="22" s="1"/>
  <c r="AG69" i="22"/>
  <c r="AS69" i="22" s="1"/>
  <c r="AC69" i="22"/>
  <c r="AO69" i="22" s="1"/>
  <c r="Y69" i="22"/>
  <c r="AK69" i="22" s="1"/>
  <c r="AD68" i="22"/>
  <c r="AP68" i="22" s="1"/>
  <c r="Z68" i="22"/>
  <c r="AL68" i="22" s="1"/>
  <c r="V68" i="22"/>
  <c r="AH68" i="22" s="1"/>
  <c r="AE67" i="22"/>
  <c r="AQ67" i="22" s="1"/>
  <c r="AA67" i="22"/>
  <c r="AM67" i="22" s="1"/>
  <c r="W67" i="22"/>
  <c r="AI67" i="22" s="1"/>
  <c r="AF66" i="22"/>
  <c r="AR66" i="22" s="1"/>
  <c r="AB66" i="22"/>
  <c r="AN66" i="22" s="1"/>
  <c r="X66" i="22"/>
  <c r="AJ66" i="22" s="1"/>
  <c r="AG65" i="22"/>
  <c r="AS65" i="22" s="1"/>
  <c r="AC65" i="22"/>
  <c r="AO65" i="22" s="1"/>
  <c r="Y65" i="22"/>
  <c r="AK65" i="22" s="1"/>
  <c r="AD64" i="22"/>
  <c r="AP64" i="22" s="1"/>
  <c r="Z64" i="22"/>
  <c r="AL64" i="22" s="1"/>
  <c r="V64" i="22"/>
  <c r="AH64" i="22" s="1"/>
  <c r="AE63" i="22"/>
  <c r="AQ63" i="22" s="1"/>
  <c r="AA63" i="22"/>
  <c r="AM63" i="22" s="1"/>
  <c r="W63" i="22"/>
  <c r="AI63" i="22" s="1"/>
  <c r="AF62" i="22"/>
  <c r="AR62" i="22" s="1"/>
  <c r="AB62" i="22"/>
  <c r="AN62" i="22" s="1"/>
  <c r="X62" i="22"/>
  <c r="AJ62" i="22" s="1"/>
  <c r="AG61" i="22"/>
  <c r="AS61" i="22" s="1"/>
  <c r="AC61" i="22"/>
  <c r="AO61" i="22" s="1"/>
  <c r="Y61" i="22"/>
  <c r="AK61" i="22" s="1"/>
  <c r="AD60" i="22"/>
  <c r="AP60" i="22" s="1"/>
  <c r="Z60" i="22"/>
  <c r="AL60" i="22" s="1"/>
  <c r="AB102" i="22"/>
  <c r="AN102" i="22" s="1"/>
  <c r="AE100" i="22"/>
  <c r="AQ100" i="22" s="1"/>
  <c r="AB99" i="22"/>
  <c r="AN99" i="22" s="1"/>
  <c r="Y98" i="22"/>
  <c r="AK98" i="22" s="1"/>
  <c r="AE96" i="22"/>
  <c r="AQ96" i="22" s="1"/>
  <c r="AB95" i="22"/>
  <c r="AN95" i="22" s="1"/>
  <c r="Y94" i="22"/>
  <c r="AK94" i="22" s="1"/>
  <c r="AE92" i="22"/>
  <c r="AQ92" i="22" s="1"/>
  <c r="AB91" i="22"/>
  <c r="AN91" i="22" s="1"/>
  <c r="Y90" i="22"/>
  <c r="AK90" i="22" s="1"/>
  <c r="AE88" i="22"/>
  <c r="AQ88" i="22" s="1"/>
  <c r="AB87" i="22"/>
  <c r="AN87" i="22" s="1"/>
  <c r="Y86" i="22"/>
  <c r="AK86" i="22" s="1"/>
  <c r="AE84" i="22"/>
  <c r="AQ84" i="22" s="1"/>
  <c r="AB83" i="22"/>
  <c r="AN83" i="22" s="1"/>
  <c r="Y82" i="22"/>
  <c r="AK82" i="22" s="1"/>
  <c r="AB81" i="22"/>
  <c r="AN81" i="22" s="1"/>
  <c r="X81" i="22"/>
  <c r="AJ81" i="22" s="1"/>
  <c r="AG80" i="22"/>
  <c r="AS80" i="22" s="1"/>
  <c r="AC80" i="22"/>
  <c r="AO80" i="22" s="1"/>
  <c r="Y80" i="22"/>
  <c r="AK80" i="22" s="1"/>
  <c r="AD79" i="22"/>
  <c r="AP79" i="22" s="1"/>
  <c r="Z79" i="22"/>
  <c r="AL79" i="22" s="1"/>
  <c r="V79" i="22"/>
  <c r="AH79" i="22" s="1"/>
  <c r="AE78" i="22"/>
  <c r="AQ78" i="22" s="1"/>
  <c r="AA78" i="22"/>
  <c r="AM78" i="22" s="1"/>
  <c r="W78" i="22"/>
  <c r="AI78" i="22" s="1"/>
  <c r="AF77" i="22"/>
  <c r="AR77" i="22" s="1"/>
  <c r="AB77" i="22"/>
  <c r="AN77" i="22" s="1"/>
  <c r="X77" i="22"/>
  <c r="AJ77" i="22" s="1"/>
  <c r="AG76" i="22"/>
  <c r="AS76" i="22" s="1"/>
  <c r="AC76" i="22"/>
  <c r="AO76" i="22" s="1"/>
  <c r="Y76" i="22"/>
  <c r="AK76" i="22" s="1"/>
  <c r="AD75" i="22"/>
  <c r="AP75" i="22" s="1"/>
  <c r="Z75" i="22"/>
  <c r="AL75" i="22" s="1"/>
  <c r="V75" i="22"/>
  <c r="AH75" i="22" s="1"/>
  <c r="AE74" i="22"/>
  <c r="AQ74" i="22" s="1"/>
  <c r="AA74" i="22"/>
  <c r="AM74" i="22" s="1"/>
  <c r="W74" i="22"/>
  <c r="AI74" i="22" s="1"/>
  <c r="AF73" i="22"/>
  <c r="AR73" i="22" s="1"/>
  <c r="AB73" i="22"/>
  <c r="AN73" i="22" s="1"/>
  <c r="X73" i="22"/>
  <c r="AJ73" i="22" s="1"/>
  <c r="AG72" i="22"/>
  <c r="AS72" i="22" s="1"/>
  <c r="AC72" i="22"/>
  <c r="AO72" i="22" s="1"/>
  <c r="Y72" i="22"/>
  <c r="AK72" i="22" s="1"/>
  <c r="AD71" i="22"/>
  <c r="AP71" i="22" s="1"/>
  <c r="Z71" i="22"/>
  <c r="AL71" i="22" s="1"/>
  <c r="V71" i="22"/>
  <c r="AH71" i="22" s="1"/>
  <c r="AE70" i="22"/>
  <c r="AQ70" i="22" s="1"/>
  <c r="AA70" i="22"/>
  <c r="AM70" i="22" s="1"/>
  <c r="W70" i="22"/>
  <c r="AI70" i="22" s="1"/>
  <c r="AF69" i="22"/>
  <c r="AR69" i="22" s="1"/>
  <c r="AB69" i="22"/>
  <c r="AN69" i="22" s="1"/>
  <c r="X69" i="22"/>
  <c r="AJ69" i="22" s="1"/>
  <c r="AG68" i="22"/>
  <c r="AS68" i="22" s="1"/>
  <c r="AC68" i="22"/>
  <c r="AO68" i="22" s="1"/>
  <c r="Y68" i="22"/>
  <c r="AK68" i="22" s="1"/>
  <c r="AD67" i="22"/>
  <c r="AP67" i="22" s="1"/>
  <c r="Z67" i="22"/>
  <c r="AL67" i="22" s="1"/>
  <c r="V67" i="22"/>
  <c r="AH67" i="22" s="1"/>
  <c r="AE66" i="22"/>
  <c r="AQ66" i="22" s="1"/>
  <c r="AA66" i="22"/>
  <c r="AM66" i="22" s="1"/>
  <c r="W66" i="22"/>
  <c r="AI66" i="22" s="1"/>
  <c r="AF65" i="22"/>
  <c r="AR65" i="22" s="1"/>
  <c r="AB65" i="22"/>
  <c r="AN65" i="22" s="1"/>
  <c r="X65" i="22"/>
  <c r="AJ65" i="22" s="1"/>
  <c r="AG64" i="22"/>
  <c r="AS64" i="22" s="1"/>
  <c r="AC64" i="22"/>
  <c r="AO64" i="22" s="1"/>
  <c r="Y64" i="22"/>
  <c r="AK64" i="22" s="1"/>
  <c r="AD63" i="22"/>
  <c r="AP63" i="22" s="1"/>
  <c r="Z63" i="22"/>
  <c r="AL63" i="22" s="1"/>
  <c r="V63" i="22"/>
  <c r="AH63" i="22" s="1"/>
  <c r="AE62" i="22"/>
  <c r="AQ62" i="22" s="1"/>
  <c r="AA62" i="22"/>
  <c r="AM62" i="22" s="1"/>
  <c r="W62" i="22"/>
  <c r="AI62" i="22" s="1"/>
  <c r="AF61" i="22"/>
  <c r="AR61" i="22" s="1"/>
  <c r="AB61" i="22"/>
  <c r="AN61" i="22" s="1"/>
  <c r="X61" i="22"/>
  <c r="AJ61" i="22" s="1"/>
  <c r="AG60" i="22"/>
  <c r="AS60" i="22" s="1"/>
  <c r="AC60" i="22"/>
  <c r="AO60" i="22" s="1"/>
  <c r="Y60" i="22"/>
  <c r="AK60" i="22" s="1"/>
  <c r="AD59" i="22"/>
  <c r="AP59" i="22" s="1"/>
  <c r="AB120" i="22"/>
  <c r="AN120" i="22" s="1"/>
  <c r="AB112" i="22"/>
  <c r="AN112" i="22" s="1"/>
  <c r="AE107" i="22"/>
  <c r="AQ107" i="22" s="1"/>
  <c r="AA100" i="22"/>
  <c r="AM100" i="22" s="1"/>
  <c r="AA92" i="22"/>
  <c r="AM92" i="22" s="1"/>
  <c r="AA84" i="22"/>
  <c r="AM84" i="22" s="1"/>
  <c r="AF80" i="22"/>
  <c r="AR80" i="22" s="1"/>
  <c r="AC79" i="22"/>
  <c r="AO79" i="22" s="1"/>
  <c r="V78" i="22"/>
  <c r="AH78" i="22" s="1"/>
  <c r="AF76" i="22"/>
  <c r="AR76" i="22" s="1"/>
  <c r="AC75" i="22"/>
  <c r="AO75" i="22" s="1"/>
  <c r="V74" i="22"/>
  <c r="AH74" i="22" s="1"/>
  <c r="AF72" i="22"/>
  <c r="AR72" i="22" s="1"/>
  <c r="AC71" i="22"/>
  <c r="AO71" i="22" s="1"/>
  <c r="V70" i="22"/>
  <c r="AH70" i="22" s="1"/>
  <c r="AF68" i="22"/>
  <c r="AR68" i="22" s="1"/>
  <c r="AC67" i="22"/>
  <c r="AO67" i="22" s="1"/>
  <c r="V66" i="22"/>
  <c r="AH66" i="22" s="1"/>
  <c r="AF64" i="22"/>
  <c r="AR64" i="22" s="1"/>
  <c r="AC63" i="22"/>
  <c r="AO63" i="22" s="1"/>
  <c r="V62" i="22"/>
  <c r="AH62" i="22" s="1"/>
  <c r="AF60" i="22"/>
  <c r="AR60" i="22" s="1"/>
  <c r="AE59" i="22"/>
  <c r="AQ59" i="22" s="1"/>
  <c r="Z59" i="22"/>
  <c r="AL59" i="22" s="1"/>
  <c r="V59" i="22"/>
  <c r="AH59" i="22" s="1"/>
  <c r="AE58" i="22"/>
  <c r="AQ58" i="22" s="1"/>
  <c r="AA58" i="22"/>
  <c r="AM58" i="22" s="1"/>
  <c r="W58" i="22"/>
  <c r="AI58" i="22" s="1"/>
  <c r="AF57" i="22"/>
  <c r="AR57" i="22" s="1"/>
  <c r="AB57" i="22"/>
  <c r="AN57" i="22" s="1"/>
  <c r="X57" i="22"/>
  <c r="AJ57" i="22" s="1"/>
  <c r="AG56" i="22"/>
  <c r="AS56" i="22" s="1"/>
  <c r="AC56" i="22"/>
  <c r="AO56" i="22" s="1"/>
  <c r="Y56" i="22"/>
  <c r="AK56" i="22" s="1"/>
  <c r="AD55" i="22"/>
  <c r="AP55" i="22" s="1"/>
  <c r="Z55" i="22"/>
  <c r="AL55" i="22" s="1"/>
  <c r="V55" i="22"/>
  <c r="AH55" i="22" s="1"/>
  <c r="AE54" i="22"/>
  <c r="AQ54" i="22" s="1"/>
  <c r="AA54" i="22"/>
  <c r="AM54" i="22" s="1"/>
  <c r="W54" i="22"/>
  <c r="AI54" i="22" s="1"/>
  <c r="AF53" i="22"/>
  <c r="AR53" i="22" s="1"/>
  <c r="AB53" i="22"/>
  <c r="AN53" i="22" s="1"/>
  <c r="X53" i="22"/>
  <c r="AJ53" i="22" s="1"/>
  <c r="AG52" i="22"/>
  <c r="AS52" i="22" s="1"/>
  <c r="AC52" i="22"/>
  <c r="AO52" i="22" s="1"/>
  <c r="Y52" i="22"/>
  <c r="AK52" i="22" s="1"/>
  <c r="AD51" i="22"/>
  <c r="AP51" i="22" s="1"/>
  <c r="Z51" i="22"/>
  <c r="AL51" i="22" s="1"/>
  <c r="V51" i="22"/>
  <c r="AH51" i="22" s="1"/>
  <c r="AE50" i="22"/>
  <c r="AQ50" i="22" s="1"/>
  <c r="AA50" i="22"/>
  <c r="AM50" i="22" s="1"/>
  <c r="W50" i="22"/>
  <c r="AI50" i="22" s="1"/>
  <c r="AF49" i="22"/>
  <c r="AR49" i="22" s="1"/>
  <c r="AB49" i="22"/>
  <c r="AN49" i="22" s="1"/>
  <c r="X49" i="22"/>
  <c r="AJ49" i="22" s="1"/>
  <c r="AG48" i="22"/>
  <c r="AS48" i="22" s="1"/>
  <c r="AC48" i="22"/>
  <c r="AO48" i="22" s="1"/>
  <c r="Y48" i="22"/>
  <c r="AK48" i="22" s="1"/>
  <c r="AD47" i="22"/>
  <c r="AP47" i="22" s="1"/>
  <c r="Z47" i="22"/>
  <c r="AL47" i="22" s="1"/>
  <c r="V47" i="22"/>
  <c r="AH47" i="22" s="1"/>
  <c r="AE46" i="22"/>
  <c r="AQ46" i="22" s="1"/>
  <c r="AA46" i="22"/>
  <c r="AM46" i="22" s="1"/>
  <c r="W46" i="22"/>
  <c r="AI46" i="22" s="1"/>
  <c r="AF45" i="22"/>
  <c r="AR45" i="22" s="1"/>
  <c r="AB45" i="22"/>
  <c r="AN45" i="22" s="1"/>
  <c r="X45" i="22"/>
  <c r="AJ45" i="22" s="1"/>
  <c r="AG44" i="22"/>
  <c r="AS44" i="22" s="1"/>
  <c r="AC44" i="22"/>
  <c r="AO44" i="22" s="1"/>
  <c r="Y44" i="22"/>
  <c r="AK44" i="22" s="1"/>
  <c r="AD43" i="22"/>
  <c r="AP43" i="22" s="1"/>
  <c r="Z43" i="22"/>
  <c r="AL43" i="22" s="1"/>
  <c r="V43" i="22"/>
  <c r="AH43" i="22" s="1"/>
  <c r="AE42" i="22"/>
  <c r="AQ42" i="22" s="1"/>
  <c r="AA42" i="22"/>
  <c r="AM42" i="22" s="1"/>
  <c r="W42" i="22"/>
  <c r="AI42" i="22" s="1"/>
  <c r="AF41" i="22"/>
  <c r="AR41" i="22" s="1"/>
  <c r="AB41" i="22"/>
  <c r="AN41" i="22" s="1"/>
  <c r="X41" i="22"/>
  <c r="AJ41" i="22" s="1"/>
  <c r="AG40" i="22"/>
  <c r="AS40" i="22" s="1"/>
  <c r="AC40" i="22"/>
  <c r="AO40" i="22" s="1"/>
  <c r="Y40" i="22"/>
  <c r="AK40" i="22" s="1"/>
  <c r="AD39" i="22"/>
  <c r="AP39" i="22" s="1"/>
  <c r="Z39" i="22"/>
  <c r="AL39" i="22" s="1"/>
  <c r="V39" i="22"/>
  <c r="AH39" i="22" s="1"/>
  <c r="AE38" i="22"/>
  <c r="AQ38" i="22" s="1"/>
  <c r="AA38" i="22"/>
  <c r="AM38" i="22" s="1"/>
  <c r="W38" i="22"/>
  <c r="AI38" i="22" s="1"/>
  <c r="AF37" i="22"/>
  <c r="AR37" i="22" s="1"/>
  <c r="AB37" i="22"/>
  <c r="AN37" i="22" s="1"/>
  <c r="X37" i="22"/>
  <c r="AJ37" i="22" s="1"/>
  <c r="AG36" i="22"/>
  <c r="AS36" i="22" s="1"/>
  <c r="AC36" i="22"/>
  <c r="AO36" i="22" s="1"/>
  <c r="Y36" i="22"/>
  <c r="AK36" i="22" s="1"/>
  <c r="Z122" i="22"/>
  <c r="AL122" i="22" s="1"/>
  <c r="AG101" i="22"/>
  <c r="AS101" i="22" s="1"/>
  <c r="X95" i="22"/>
  <c r="AJ95" i="22" s="1"/>
  <c r="AD93" i="22"/>
  <c r="AP93" i="22" s="1"/>
  <c r="X87" i="22"/>
  <c r="AJ87" i="22" s="1"/>
  <c r="AD85" i="22"/>
  <c r="AP85" i="22" s="1"/>
  <c r="AF81" i="22"/>
  <c r="AR81" i="22" s="1"/>
  <c r="AB80" i="22"/>
  <c r="AN80" i="22" s="1"/>
  <c r="Y79" i="22"/>
  <c r="AK79" i="22" s="1"/>
  <c r="AE77" i="22"/>
  <c r="AQ77" i="22" s="1"/>
  <c r="AB76" i="22"/>
  <c r="AN76" i="22" s="1"/>
  <c r="Y75" i="22"/>
  <c r="AK75" i="22" s="1"/>
  <c r="AE73" i="22"/>
  <c r="AQ73" i="22" s="1"/>
  <c r="AB72" i="22"/>
  <c r="AN72" i="22" s="1"/>
  <c r="Y71" i="22"/>
  <c r="AK71" i="22" s="1"/>
  <c r="AE69" i="22"/>
  <c r="AQ69" i="22" s="1"/>
  <c r="AB68" i="22"/>
  <c r="AN68" i="22" s="1"/>
  <c r="Y67" i="22"/>
  <c r="AK67" i="22" s="1"/>
  <c r="AE65" i="22"/>
  <c r="AQ65" i="22" s="1"/>
  <c r="AB64" i="22"/>
  <c r="AN64" i="22" s="1"/>
  <c r="Y63" i="22"/>
  <c r="AK63" i="22" s="1"/>
  <c r="AE61" i="22"/>
  <c r="AQ61" i="22" s="1"/>
  <c r="AB60" i="22"/>
  <c r="AN60" i="22" s="1"/>
  <c r="AC59" i="22"/>
  <c r="AO59" i="22" s="1"/>
  <c r="Y59" i="22"/>
  <c r="AK59" i="22" s="1"/>
  <c r="AD58" i="22"/>
  <c r="AP58" i="22" s="1"/>
  <c r="Z58" i="22"/>
  <c r="AL58" i="22" s="1"/>
  <c r="V58" i="22"/>
  <c r="AH58" i="22" s="1"/>
  <c r="AE57" i="22"/>
  <c r="AQ57" i="22" s="1"/>
  <c r="AA57" i="22"/>
  <c r="AM57" i="22" s="1"/>
  <c r="W57" i="22"/>
  <c r="AI57" i="22" s="1"/>
  <c r="AF56" i="22"/>
  <c r="AR56" i="22" s="1"/>
  <c r="AB56" i="22"/>
  <c r="AN56" i="22" s="1"/>
  <c r="X56" i="22"/>
  <c r="AJ56" i="22" s="1"/>
  <c r="AG55" i="22"/>
  <c r="AS55" i="22" s="1"/>
  <c r="AC55" i="22"/>
  <c r="AO55" i="22" s="1"/>
  <c r="Y55" i="22"/>
  <c r="AK55" i="22" s="1"/>
  <c r="AD54" i="22"/>
  <c r="AP54" i="22" s="1"/>
  <c r="Z54" i="22"/>
  <c r="AL54" i="22" s="1"/>
  <c r="V54" i="22"/>
  <c r="AH54" i="22" s="1"/>
  <c r="AE53" i="22"/>
  <c r="AQ53" i="22" s="1"/>
  <c r="AA53" i="22"/>
  <c r="AM53" i="22" s="1"/>
  <c r="W53" i="22"/>
  <c r="AI53" i="22" s="1"/>
  <c r="AF52" i="22"/>
  <c r="AR52" i="22" s="1"/>
  <c r="AB52" i="22"/>
  <c r="AN52" i="22" s="1"/>
  <c r="X52" i="22"/>
  <c r="AJ52" i="22" s="1"/>
  <c r="AG51" i="22"/>
  <c r="AS51" i="22" s="1"/>
  <c r="AC51" i="22"/>
  <c r="AO51" i="22" s="1"/>
  <c r="Y51" i="22"/>
  <c r="AK51" i="22" s="1"/>
  <c r="AD50" i="22"/>
  <c r="AP50" i="22" s="1"/>
  <c r="Z50" i="22"/>
  <c r="AL50" i="22" s="1"/>
  <c r="V50" i="22"/>
  <c r="AH50" i="22" s="1"/>
  <c r="AE49" i="22"/>
  <c r="AQ49" i="22" s="1"/>
  <c r="AA49" i="22"/>
  <c r="AM49" i="22" s="1"/>
  <c r="W49" i="22"/>
  <c r="AI49" i="22" s="1"/>
  <c r="AF48" i="22"/>
  <c r="AR48" i="22" s="1"/>
  <c r="AB48" i="22"/>
  <c r="AN48" i="22" s="1"/>
  <c r="X48" i="22"/>
  <c r="AJ48" i="22" s="1"/>
  <c r="AG47" i="22"/>
  <c r="AS47" i="22" s="1"/>
  <c r="AC47" i="22"/>
  <c r="AO47" i="22" s="1"/>
  <c r="Y47" i="22"/>
  <c r="AK47" i="22" s="1"/>
  <c r="AD46" i="22"/>
  <c r="AP46" i="22" s="1"/>
  <c r="Z46" i="22"/>
  <c r="AL46" i="22" s="1"/>
  <c r="V46" i="22"/>
  <c r="AH46" i="22" s="1"/>
  <c r="AE45" i="22"/>
  <c r="AQ45" i="22" s="1"/>
  <c r="AA45" i="22"/>
  <c r="AM45" i="22" s="1"/>
  <c r="W45" i="22"/>
  <c r="AI45" i="22" s="1"/>
  <c r="AF44" i="22"/>
  <c r="AR44" i="22" s="1"/>
  <c r="AB44" i="22"/>
  <c r="AN44" i="22" s="1"/>
  <c r="X44" i="22"/>
  <c r="AJ44" i="22" s="1"/>
  <c r="AG43" i="22"/>
  <c r="AS43" i="22" s="1"/>
  <c r="AC43" i="22"/>
  <c r="AO43" i="22" s="1"/>
  <c r="Y43" i="22"/>
  <c r="AK43" i="22" s="1"/>
  <c r="AD42" i="22"/>
  <c r="AP42" i="22" s="1"/>
  <c r="Z42" i="22"/>
  <c r="AL42" i="22" s="1"/>
  <c r="V42" i="22"/>
  <c r="AH42" i="22" s="1"/>
  <c r="AE41" i="22"/>
  <c r="AQ41" i="22" s="1"/>
  <c r="AA41" i="22"/>
  <c r="AM41" i="22" s="1"/>
  <c r="W41" i="22"/>
  <c r="AI41" i="22" s="1"/>
  <c r="AF40" i="22"/>
  <c r="AR40" i="22" s="1"/>
  <c r="AB40" i="22"/>
  <c r="AN40" i="22" s="1"/>
  <c r="X40" i="22"/>
  <c r="AJ40" i="22" s="1"/>
  <c r="AG39" i="22"/>
  <c r="AS39" i="22" s="1"/>
  <c r="AC39" i="22"/>
  <c r="AO39" i="22" s="1"/>
  <c r="Y39" i="22"/>
  <c r="AK39" i="22" s="1"/>
  <c r="AF106" i="22"/>
  <c r="AR106" i="22" s="1"/>
  <c r="AA96" i="22"/>
  <c r="AM96" i="22" s="1"/>
  <c r="AA88" i="22"/>
  <c r="AM88" i="22" s="1"/>
  <c r="W82" i="22"/>
  <c r="AI82" i="22" s="1"/>
  <c r="AA81" i="22"/>
  <c r="AM81" i="22" s="1"/>
  <c r="X80" i="22"/>
  <c r="AJ80" i="22" s="1"/>
  <c r="AD78" i="22"/>
  <c r="AP78" i="22" s="1"/>
  <c r="AA77" i="22"/>
  <c r="AM77" i="22" s="1"/>
  <c r="X76" i="22"/>
  <c r="AJ76" i="22" s="1"/>
  <c r="AD74" i="22"/>
  <c r="AP74" i="22" s="1"/>
  <c r="AA73" i="22"/>
  <c r="AM73" i="22" s="1"/>
  <c r="X72" i="22"/>
  <c r="AJ72" i="22" s="1"/>
  <c r="AD70" i="22"/>
  <c r="AP70" i="22" s="1"/>
  <c r="AA69" i="22"/>
  <c r="AM69" i="22" s="1"/>
  <c r="X68" i="22"/>
  <c r="AJ68" i="22" s="1"/>
  <c r="AD66" i="22"/>
  <c r="AP66" i="22" s="1"/>
  <c r="AA65" i="22"/>
  <c r="AM65" i="22" s="1"/>
  <c r="X64" i="22"/>
  <c r="AJ64" i="22" s="1"/>
  <c r="AD62" i="22"/>
  <c r="AP62" i="22" s="1"/>
  <c r="AA61" i="22"/>
  <c r="AM61" i="22" s="1"/>
  <c r="X60" i="22"/>
  <c r="AJ60" i="22" s="1"/>
  <c r="AB59" i="22"/>
  <c r="AN59" i="22" s="1"/>
  <c r="X59" i="22"/>
  <c r="AJ59" i="22" s="1"/>
  <c r="AG58" i="22"/>
  <c r="AS58" i="22" s="1"/>
  <c r="AC58" i="22"/>
  <c r="AO58" i="22" s="1"/>
  <c r="Y58" i="22"/>
  <c r="AK58" i="22" s="1"/>
  <c r="AD57" i="22"/>
  <c r="AP57" i="22" s="1"/>
  <c r="Z57" i="22"/>
  <c r="AL57" i="22" s="1"/>
  <c r="V57" i="22"/>
  <c r="AH57" i="22" s="1"/>
  <c r="AE56" i="22"/>
  <c r="AQ56" i="22" s="1"/>
  <c r="AA56" i="22"/>
  <c r="AM56" i="22" s="1"/>
  <c r="W56" i="22"/>
  <c r="AI56" i="22" s="1"/>
  <c r="AF55" i="22"/>
  <c r="AR55" i="22" s="1"/>
  <c r="AB55" i="22"/>
  <c r="AN55" i="22" s="1"/>
  <c r="X55" i="22"/>
  <c r="AJ55" i="22" s="1"/>
  <c r="AG54" i="22"/>
  <c r="AS54" i="22" s="1"/>
  <c r="AC54" i="22"/>
  <c r="AO54" i="22" s="1"/>
  <c r="Y54" i="22"/>
  <c r="AK54" i="22" s="1"/>
  <c r="AD53" i="22"/>
  <c r="AP53" i="22" s="1"/>
  <c r="Z53" i="22"/>
  <c r="AL53" i="22" s="1"/>
  <c r="V53" i="22"/>
  <c r="AH53" i="22" s="1"/>
  <c r="AE52" i="22"/>
  <c r="AQ52" i="22" s="1"/>
  <c r="AA52" i="22"/>
  <c r="AM52" i="22" s="1"/>
  <c r="W52" i="22"/>
  <c r="AI52" i="22" s="1"/>
  <c r="AF51" i="22"/>
  <c r="AR51" i="22" s="1"/>
  <c r="AB51" i="22"/>
  <c r="AN51" i="22" s="1"/>
  <c r="X51" i="22"/>
  <c r="AJ51" i="22" s="1"/>
  <c r="AG50" i="22"/>
  <c r="AS50" i="22" s="1"/>
  <c r="AC50" i="22"/>
  <c r="AO50" i="22" s="1"/>
  <c r="Y50" i="22"/>
  <c r="AK50" i="22" s="1"/>
  <c r="AD49" i="22"/>
  <c r="AP49" i="22" s="1"/>
  <c r="Z49" i="22"/>
  <c r="AL49" i="22" s="1"/>
  <c r="V49" i="22"/>
  <c r="AH49" i="22" s="1"/>
  <c r="AE48" i="22"/>
  <c r="AQ48" i="22" s="1"/>
  <c r="AA48" i="22"/>
  <c r="AM48" i="22" s="1"/>
  <c r="W48" i="22"/>
  <c r="AI48" i="22" s="1"/>
  <c r="AF47" i="22"/>
  <c r="AR47" i="22" s="1"/>
  <c r="AB47" i="22"/>
  <c r="AN47" i="22" s="1"/>
  <c r="X47" i="22"/>
  <c r="AJ47" i="22" s="1"/>
  <c r="AG46" i="22"/>
  <c r="AS46" i="22" s="1"/>
  <c r="AC46" i="22"/>
  <c r="AO46" i="22" s="1"/>
  <c r="Y46" i="22"/>
  <c r="AK46" i="22" s="1"/>
  <c r="AD45" i="22"/>
  <c r="AP45" i="22" s="1"/>
  <c r="Z45" i="22"/>
  <c r="AL45" i="22" s="1"/>
  <c r="V45" i="22"/>
  <c r="AH45" i="22" s="1"/>
  <c r="AE44" i="22"/>
  <c r="AQ44" i="22" s="1"/>
  <c r="AA44" i="22"/>
  <c r="AM44" i="22" s="1"/>
  <c r="W44" i="22"/>
  <c r="AI44" i="22" s="1"/>
  <c r="AF43" i="22"/>
  <c r="AR43" i="22" s="1"/>
  <c r="AB43" i="22"/>
  <c r="AN43" i="22" s="1"/>
  <c r="X43" i="22"/>
  <c r="AJ43" i="22" s="1"/>
  <c r="AG42" i="22"/>
  <c r="AS42" i="22" s="1"/>
  <c r="AC42" i="22"/>
  <c r="AO42" i="22" s="1"/>
  <c r="Y42" i="22"/>
  <c r="AK42" i="22" s="1"/>
  <c r="AD41" i="22"/>
  <c r="AP41" i="22" s="1"/>
  <c r="Z41" i="22"/>
  <c r="AL41" i="22" s="1"/>
  <c r="V41" i="22"/>
  <c r="AH41" i="22" s="1"/>
  <c r="AE40" i="22"/>
  <c r="AQ40" i="22" s="1"/>
  <c r="AA40" i="22"/>
  <c r="AM40" i="22" s="1"/>
  <c r="W40" i="22"/>
  <c r="AI40" i="22" s="1"/>
  <c r="AF39" i="22"/>
  <c r="AR39" i="22" s="1"/>
  <c r="AB39" i="22"/>
  <c r="AN39" i="22" s="1"/>
  <c r="X39" i="22"/>
  <c r="AJ39" i="22" s="1"/>
  <c r="AG38" i="22"/>
  <c r="AS38" i="22" s="1"/>
  <c r="AC38" i="22"/>
  <c r="AO38" i="22" s="1"/>
  <c r="Y38" i="22"/>
  <c r="AK38" i="22" s="1"/>
  <c r="AD37" i="22"/>
  <c r="AP37" i="22" s="1"/>
  <c r="Z37" i="22"/>
  <c r="AL37" i="22" s="1"/>
  <c r="V37" i="22"/>
  <c r="AH37" i="22" s="1"/>
  <c r="AE36" i="22"/>
  <c r="AQ36" i="22" s="1"/>
  <c r="AA36" i="22"/>
  <c r="AM36" i="22" s="1"/>
  <c r="W36" i="22"/>
  <c r="AI36" i="22" s="1"/>
  <c r="AA14" i="22"/>
  <c r="AM14" i="22" s="1"/>
  <c r="AM140" i="22" s="1"/>
  <c r="V15" i="22"/>
  <c r="AH15" i="22" s="1"/>
  <c r="Z15" i="22"/>
  <c r="AL15" i="22" s="1"/>
  <c r="Y16" i="22"/>
  <c r="AK16" i="22" s="1"/>
  <c r="AB17" i="22"/>
  <c r="AN17" i="22" s="1"/>
  <c r="AA18" i="22"/>
  <c r="AM18" i="22" s="1"/>
  <c r="V19" i="22"/>
  <c r="AH19" i="22" s="1"/>
  <c r="AC20" i="22"/>
  <c r="AO20" i="22" s="1"/>
  <c r="AB21" i="22"/>
  <c r="AN21" i="22" s="1"/>
  <c r="AA22" i="22"/>
  <c r="AM22" i="22" s="1"/>
  <c r="AE22" i="22"/>
  <c r="AQ22" i="22" s="1"/>
  <c r="AG24" i="22"/>
  <c r="AS24" i="22" s="1"/>
  <c r="W26" i="22"/>
  <c r="AI26" i="22" s="1"/>
  <c r="AE26" i="22"/>
  <c r="AQ26" i="22" s="1"/>
  <c r="AD27" i="22"/>
  <c r="AP27" i="22" s="1"/>
  <c r="AB29" i="22"/>
  <c r="AN29" i="22" s="1"/>
  <c r="V31" i="22"/>
  <c r="AH31" i="22" s="1"/>
  <c r="AC32" i="22"/>
  <c r="AO32" i="22" s="1"/>
  <c r="X33" i="22"/>
  <c r="AJ33" i="22" s="1"/>
  <c r="W34" i="22"/>
  <c r="AI34" i="22" s="1"/>
  <c r="AE34" i="22"/>
  <c r="AQ34" i="22" s="1"/>
  <c r="Z35" i="22"/>
  <c r="AL35" i="22" s="1"/>
  <c r="AE43" i="22"/>
  <c r="AQ43" i="22" s="1"/>
  <c r="AE51" i="22"/>
  <c r="AQ51" i="22" s="1"/>
  <c r="Y53" i="22"/>
  <c r="AK53" i="22" s="1"/>
  <c r="AE55" i="22"/>
  <c r="AQ55" i="22" s="1"/>
  <c r="Y57" i="22"/>
  <c r="AK57" i="22" s="1"/>
  <c r="AG59" i="22"/>
  <c r="AS59" i="22" s="1"/>
  <c r="AG63" i="22"/>
  <c r="AS63" i="22" s="1"/>
  <c r="W65" i="22"/>
  <c r="AI65" i="22" s="1"/>
  <c r="W73" i="22"/>
  <c r="AI73" i="22" s="1"/>
  <c r="AG79" i="22"/>
  <c r="AS79" i="22" s="1"/>
  <c r="W81" i="22"/>
  <c r="AI81" i="22" s="1"/>
  <c r="AD89" i="22"/>
  <c r="AP89" i="22" s="1"/>
  <c r="AD97" i="22"/>
  <c r="AP97" i="22" s="1"/>
  <c r="W102" i="22"/>
  <c r="AI102" i="22" s="1"/>
  <c r="V9" i="22"/>
  <c r="Z9" i="22"/>
  <c r="AD9" i="22"/>
  <c r="Y10" i="22"/>
  <c r="AC10" i="22"/>
  <c r="AG10" i="22"/>
  <c r="X14" i="22"/>
  <c r="AJ14" i="22" s="1"/>
  <c r="AB14" i="22"/>
  <c r="AN14" i="22" s="1"/>
  <c r="AN140" i="22" s="1"/>
  <c r="AF14" i="22"/>
  <c r="AR14" i="22" s="1"/>
  <c r="AR140" i="22" s="1"/>
  <c r="W15" i="22"/>
  <c r="AI15" i="22" s="1"/>
  <c r="AA15" i="22"/>
  <c r="AM15" i="22" s="1"/>
  <c r="AE15" i="22"/>
  <c r="AQ15" i="22" s="1"/>
  <c r="V16" i="22"/>
  <c r="AH16" i="22" s="1"/>
  <c r="Z16" i="22"/>
  <c r="AL16" i="22" s="1"/>
  <c r="AD16" i="22"/>
  <c r="AP16" i="22" s="1"/>
  <c r="Y17" i="22"/>
  <c r="AK17" i="22" s="1"/>
  <c r="AC17" i="22"/>
  <c r="AO17" i="22" s="1"/>
  <c r="AG17" i="22"/>
  <c r="AS17" i="22" s="1"/>
  <c r="X18" i="22"/>
  <c r="AJ18" i="22" s="1"/>
  <c r="AB18" i="22"/>
  <c r="AN18" i="22" s="1"/>
  <c r="AF18" i="22"/>
  <c r="AR18" i="22" s="1"/>
  <c r="W19" i="22"/>
  <c r="AI19" i="22" s="1"/>
  <c r="AA19" i="22"/>
  <c r="AM19" i="22" s="1"/>
  <c r="AE19" i="22"/>
  <c r="AQ19" i="22" s="1"/>
  <c r="V20" i="22"/>
  <c r="AH20" i="22" s="1"/>
  <c r="Z20" i="22"/>
  <c r="AL20" i="22" s="1"/>
  <c r="AD20" i="22"/>
  <c r="AP20" i="22" s="1"/>
  <c r="Y21" i="22"/>
  <c r="AK21" i="22" s="1"/>
  <c r="AC21" i="22"/>
  <c r="AO21" i="22" s="1"/>
  <c r="AG21" i="22"/>
  <c r="AS21" i="22" s="1"/>
  <c r="X22" i="22"/>
  <c r="AJ22" i="22" s="1"/>
  <c r="AB22" i="22"/>
  <c r="AN22" i="22" s="1"/>
  <c r="AF22" i="22"/>
  <c r="AR22" i="22" s="1"/>
  <c r="W23" i="22"/>
  <c r="AI23" i="22" s="1"/>
  <c r="AA23" i="22"/>
  <c r="AM23" i="22" s="1"/>
  <c r="AE23" i="22"/>
  <c r="AQ23" i="22" s="1"/>
  <c r="V24" i="22"/>
  <c r="AH24" i="22" s="1"/>
  <c r="Z24" i="22"/>
  <c r="AL24" i="22" s="1"/>
  <c r="AD24" i="22"/>
  <c r="AP24" i="22" s="1"/>
  <c r="Y25" i="22"/>
  <c r="AK25" i="22" s="1"/>
  <c r="AC25" i="22"/>
  <c r="AO25" i="22" s="1"/>
  <c r="AG25" i="22"/>
  <c r="AS25" i="22" s="1"/>
  <c r="X26" i="22"/>
  <c r="AJ26" i="22" s="1"/>
  <c r="AB26" i="22"/>
  <c r="AN26" i="22" s="1"/>
  <c r="AF26" i="22"/>
  <c r="AR26" i="22" s="1"/>
  <c r="W27" i="22"/>
  <c r="AI27" i="22" s="1"/>
  <c r="AA27" i="22"/>
  <c r="AM27" i="22" s="1"/>
  <c r="AE27" i="22"/>
  <c r="AQ27" i="22" s="1"/>
  <c r="V28" i="22"/>
  <c r="AH28" i="22" s="1"/>
  <c r="Z28" i="22"/>
  <c r="AL28" i="22" s="1"/>
  <c r="AD28" i="22"/>
  <c r="AP28" i="22" s="1"/>
  <c r="Y29" i="22"/>
  <c r="AK29" i="22" s="1"/>
  <c r="AC29" i="22"/>
  <c r="AO29" i="22" s="1"/>
  <c r="AG29" i="22"/>
  <c r="AS29" i="22" s="1"/>
  <c r="X30" i="22"/>
  <c r="AJ30" i="22" s="1"/>
  <c r="AB30" i="22"/>
  <c r="AN30" i="22" s="1"/>
  <c r="AF30" i="22"/>
  <c r="AR30" i="22" s="1"/>
  <c r="W31" i="22"/>
  <c r="AI31" i="22" s="1"/>
  <c r="AA31" i="22"/>
  <c r="AM31" i="22" s="1"/>
  <c r="AE31" i="22"/>
  <c r="AQ31" i="22" s="1"/>
  <c r="V32" i="22"/>
  <c r="AH32" i="22" s="1"/>
  <c r="Z32" i="22"/>
  <c r="AL32" i="22" s="1"/>
  <c r="AD32" i="22"/>
  <c r="AP32" i="22" s="1"/>
  <c r="Y33" i="22"/>
  <c r="AK33" i="22" s="1"/>
  <c r="AC33" i="22"/>
  <c r="AO33" i="22" s="1"/>
  <c r="AG33" i="22"/>
  <c r="AS33" i="22" s="1"/>
  <c r="X34" i="22"/>
  <c r="AJ34" i="22" s="1"/>
  <c r="AB34" i="22"/>
  <c r="AN34" i="22" s="1"/>
  <c r="AF34" i="22"/>
  <c r="AR34" i="22" s="1"/>
  <c r="W35" i="22"/>
  <c r="AI35" i="22" s="1"/>
  <c r="AA35" i="22"/>
  <c r="AM35" i="22" s="1"/>
  <c r="AE35" i="22"/>
  <c r="AQ35" i="22" s="1"/>
  <c r="X36" i="22"/>
  <c r="AJ36" i="22" s="1"/>
  <c r="AF36" i="22"/>
  <c r="AR36" i="22" s="1"/>
  <c r="W37" i="22"/>
  <c r="AI37" i="22" s="1"/>
  <c r="AE37" i="22"/>
  <c r="AQ37" i="22" s="1"/>
  <c r="AB38" i="22"/>
  <c r="AN38" i="22" s="1"/>
  <c r="V40" i="22"/>
  <c r="AH40" i="22" s="1"/>
  <c r="AC41" i="22"/>
  <c r="AO41" i="22" s="1"/>
  <c r="AF42" i="22"/>
  <c r="AR42" i="22" s="1"/>
  <c r="V44" i="22"/>
  <c r="AH44" i="22" s="1"/>
  <c r="AC45" i="22"/>
  <c r="AO45" i="22" s="1"/>
  <c r="AF46" i="22"/>
  <c r="AR46" i="22" s="1"/>
  <c r="V48" i="22"/>
  <c r="AH48" i="22" s="1"/>
  <c r="AC49" i="22"/>
  <c r="AO49" i="22" s="1"/>
  <c r="AF50" i="22"/>
  <c r="AR50" i="22" s="1"/>
  <c r="V52" i="22"/>
  <c r="AH52" i="22" s="1"/>
  <c r="AC53" i="22"/>
  <c r="AO53" i="22" s="1"/>
  <c r="AF54" i="22"/>
  <c r="AR54" i="22" s="1"/>
  <c r="V56" i="22"/>
  <c r="AH56" i="22" s="1"/>
  <c r="AC57" i="22"/>
  <c r="AO57" i="22" s="1"/>
  <c r="AF58" i="22"/>
  <c r="AR58" i="22" s="1"/>
  <c r="Z62" i="22"/>
  <c r="AL62" i="22" s="1"/>
  <c r="Z70" i="22"/>
  <c r="AL70" i="22" s="1"/>
  <c r="Z78" i="22"/>
  <c r="AL78" i="22" s="1"/>
  <c r="Z110" i="22"/>
  <c r="AL110" i="22" s="1"/>
  <c r="AE14" i="22"/>
  <c r="AQ14" i="22" s="1"/>
  <c r="AQ140" i="22" s="1"/>
  <c r="AC16" i="22"/>
  <c r="AO16" i="22" s="1"/>
  <c r="AG16" i="22"/>
  <c r="AS16" i="22" s="1"/>
  <c r="AF17" i="22"/>
  <c r="AR17" i="22" s="1"/>
  <c r="AE18" i="22"/>
  <c r="AQ18" i="22" s="1"/>
  <c r="Z19" i="22"/>
  <c r="AL19" i="22" s="1"/>
  <c r="X21" i="22"/>
  <c r="AJ21" i="22" s="1"/>
  <c r="AF21" i="22"/>
  <c r="AR21" i="22" s="1"/>
  <c r="W22" i="22"/>
  <c r="AI22" i="22" s="1"/>
  <c r="Z23" i="22"/>
  <c r="AL23" i="22" s="1"/>
  <c r="AC24" i="22"/>
  <c r="AO24" i="22" s="1"/>
  <c r="AB25" i="22"/>
  <c r="AN25" i="22" s="1"/>
  <c r="AA26" i="22"/>
  <c r="AM26" i="22" s="1"/>
  <c r="Z27" i="22"/>
  <c r="AL27" i="22" s="1"/>
  <c r="Y28" i="22"/>
  <c r="AK28" i="22" s="1"/>
  <c r="AC28" i="22"/>
  <c r="AO28" i="22" s="1"/>
  <c r="AG28" i="22"/>
  <c r="AS28" i="22" s="1"/>
  <c r="AF29" i="22"/>
  <c r="AR29" i="22" s="1"/>
  <c r="AA30" i="22"/>
  <c r="AM30" i="22" s="1"/>
  <c r="Z31" i="22"/>
  <c r="AL31" i="22" s="1"/>
  <c r="AG32" i="22"/>
  <c r="AS32" i="22" s="1"/>
  <c r="AF33" i="22"/>
  <c r="AR33" i="22" s="1"/>
  <c r="AD36" i="22"/>
  <c r="AP36" i="22" s="1"/>
  <c r="AC37" i="22"/>
  <c r="AO37" i="22" s="1"/>
  <c r="Z38" i="22"/>
  <c r="AL38" i="22" s="1"/>
  <c r="Y45" i="22"/>
  <c r="AK45" i="22" s="1"/>
  <c r="W9" i="22"/>
  <c r="AE9" i="22"/>
  <c r="V10" i="22"/>
  <c r="Z10" i="22"/>
  <c r="AD10" i="22"/>
  <c r="Y14" i="22"/>
  <c r="AK14" i="22" s="1"/>
  <c r="AK140" i="22" s="1"/>
  <c r="AC14" i="22"/>
  <c r="AO14" i="22" s="1"/>
  <c r="AO140" i="22" s="1"/>
  <c r="AG14" i="22"/>
  <c r="AS14" i="22" s="1"/>
  <c r="X15" i="22"/>
  <c r="AJ15" i="22" s="1"/>
  <c r="AB15" i="22"/>
  <c r="AN15" i="22" s="1"/>
  <c r="AF15" i="22"/>
  <c r="AR15" i="22" s="1"/>
  <c r="W16" i="22"/>
  <c r="AI16" i="22" s="1"/>
  <c r="AA16" i="22"/>
  <c r="AM16" i="22" s="1"/>
  <c r="AE16" i="22"/>
  <c r="AQ16" i="22" s="1"/>
  <c r="V17" i="22"/>
  <c r="AH17" i="22" s="1"/>
  <c r="Z17" i="22"/>
  <c r="AL17" i="22" s="1"/>
  <c r="AD17" i="22"/>
  <c r="AP17" i="22" s="1"/>
  <c r="Y18" i="22"/>
  <c r="AK18" i="22" s="1"/>
  <c r="AC18" i="22"/>
  <c r="AO18" i="22" s="1"/>
  <c r="AG18" i="22"/>
  <c r="AS18" i="22" s="1"/>
  <c r="X19" i="22"/>
  <c r="AJ19" i="22" s="1"/>
  <c r="AB19" i="22"/>
  <c r="AN19" i="22" s="1"/>
  <c r="AF19" i="22"/>
  <c r="AR19" i="22" s="1"/>
  <c r="W20" i="22"/>
  <c r="AI20" i="22" s="1"/>
  <c r="AA20" i="22"/>
  <c r="AM20" i="22" s="1"/>
  <c r="AE20" i="22"/>
  <c r="AQ20" i="22" s="1"/>
  <c r="V21" i="22"/>
  <c r="AH21" i="22" s="1"/>
  <c r="Z21" i="22"/>
  <c r="AL21" i="22" s="1"/>
  <c r="AD21" i="22"/>
  <c r="AP21" i="22" s="1"/>
  <c r="Y22" i="22"/>
  <c r="AK22" i="22" s="1"/>
  <c r="AC22" i="22"/>
  <c r="AO22" i="22" s="1"/>
  <c r="AG22" i="22"/>
  <c r="AS22" i="22" s="1"/>
  <c r="X23" i="22"/>
  <c r="AJ23" i="22" s="1"/>
  <c r="AB23" i="22"/>
  <c r="AN23" i="22" s="1"/>
  <c r="AF23" i="22"/>
  <c r="AR23" i="22" s="1"/>
  <c r="W24" i="22"/>
  <c r="AI24" i="22" s="1"/>
  <c r="AA24" i="22"/>
  <c r="AM24" i="22" s="1"/>
  <c r="AE24" i="22"/>
  <c r="AQ24" i="22" s="1"/>
  <c r="V25" i="22"/>
  <c r="AH25" i="22" s="1"/>
  <c r="Z25" i="22"/>
  <c r="AL25" i="22" s="1"/>
  <c r="AD25" i="22"/>
  <c r="AP25" i="22" s="1"/>
  <c r="Y26" i="22"/>
  <c r="AK26" i="22" s="1"/>
  <c r="AC26" i="22"/>
  <c r="AO26" i="22" s="1"/>
  <c r="AG26" i="22"/>
  <c r="AS26" i="22" s="1"/>
  <c r="X27" i="22"/>
  <c r="AJ27" i="22" s="1"/>
  <c r="AB27" i="22"/>
  <c r="AN27" i="22" s="1"/>
  <c r="AF27" i="22"/>
  <c r="AR27" i="22" s="1"/>
  <c r="W28" i="22"/>
  <c r="AI28" i="22" s="1"/>
  <c r="AA28" i="22"/>
  <c r="AM28" i="22" s="1"/>
  <c r="AE28" i="22"/>
  <c r="AQ28" i="22" s="1"/>
  <c r="V29" i="22"/>
  <c r="AH29" i="22" s="1"/>
  <c r="Z29" i="22"/>
  <c r="AL29" i="22" s="1"/>
  <c r="AD29" i="22"/>
  <c r="AP29" i="22" s="1"/>
  <c r="Y30" i="22"/>
  <c r="AK30" i="22" s="1"/>
  <c r="AC30" i="22"/>
  <c r="AO30" i="22" s="1"/>
  <c r="AG30" i="22"/>
  <c r="AS30" i="22" s="1"/>
  <c r="X31" i="22"/>
  <c r="AJ31" i="22" s="1"/>
  <c r="AB31" i="22"/>
  <c r="AN31" i="22" s="1"/>
  <c r="AF31" i="22"/>
  <c r="AR31" i="22" s="1"/>
  <c r="W32" i="22"/>
  <c r="AI32" i="22" s="1"/>
  <c r="AA32" i="22"/>
  <c r="AM32" i="22" s="1"/>
  <c r="AE32" i="22"/>
  <c r="AQ32" i="22" s="1"/>
  <c r="V33" i="22"/>
  <c r="AH33" i="22" s="1"/>
  <c r="Z33" i="22"/>
  <c r="AL33" i="22" s="1"/>
  <c r="AD33" i="22"/>
  <c r="AP33" i="22" s="1"/>
  <c r="Y34" i="22"/>
  <c r="AK34" i="22" s="1"/>
  <c r="AC34" i="22"/>
  <c r="AO34" i="22" s="1"/>
  <c r="AG34" i="22"/>
  <c r="AS34" i="22" s="1"/>
  <c r="X35" i="22"/>
  <c r="AJ35" i="22" s="1"/>
  <c r="AB35" i="22"/>
  <c r="AN35" i="22" s="1"/>
  <c r="AF35" i="22"/>
  <c r="AR35" i="22" s="1"/>
  <c r="Z36" i="22"/>
  <c r="AL36" i="22" s="1"/>
  <c r="Y37" i="22"/>
  <c r="AK37" i="22" s="1"/>
  <c r="AG37" i="22"/>
  <c r="AS37" i="22" s="1"/>
  <c r="V38" i="22"/>
  <c r="AH38" i="22" s="1"/>
  <c r="AD38" i="22"/>
  <c r="AP38" i="22" s="1"/>
  <c r="W39" i="22"/>
  <c r="AI39" i="22" s="1"/>
  <c r="Z40" i="22"/>
  <c r="AL40" i="22" s="1"/>
  <c r="AG41" i="22"/>
  <c r="AS41" i="22" s="1"/>
  <c r="W43" i="22"/>
  <c r="AI43" i="22" s="1"/>
  <c r="Z44" i="22"/>
  <c r="AL44" i="22" s="1"/>
  <c r="AG45" i="22"/>
  <c r="AS45" i="22" s="1"/>
  <c r="W47" i="22"/>
  <c r="AI47" i="22" s="1"/>
  <c r="Z48" i="22"/>
  <c r="AL48" i="22" s="1"/>
  <c r="AG49" i="22"/>
  <c r="AS49" i="22" s="1"/>
  <c r="W51" i="22"/>
  <c r="AI51" i="22" s="1"/>
  <c r="Z52" i="22"/>
  <c r="AL52" i="22" s="1"/>
  <c r="AG53" i="22"/>
  <c r="AS53" i="22" s="1"/>
  <c r="W55" i="22"/>
  <c r="AI55" i="22" s="1"/>
  <c r="Z56" i="22"/>
  <c r="AL56" i="22" s="1"/>
  <c r="AG57" i="22"/>
  <c r="AS57" i="22" s="1"/>
  <c r="W59" i="22"/>
  <c r="AI59" i="22" s="1"/>
  <c r="W61" i="22"/>
  <c r="AI61" i="22" s="1"/>
  <c r="AG67" i="22"/>
  <c r="AS67" i="22" s="1"/>
  <c r="W69" i="22"/>
  <c r="AI69" i="22" s="1"/>
  <c r="AG75" i="22"/>
  <c r="AS75" i="22" s="1"/>
  <c r="W77" i="22"/>
  <c r="AI77" i="22" s="1"/>
  <c r="Z118" i="22"/>
  <c r="AL118" i="22" s="1"/>
  <c r="W14" i="22"/>
  <c r="AI14" i="22" s="1"/>
  <c r="AI140" i="22" s="1"/>
  <c r="AD15" i="22"/>
  <c r="AP15" i="22" s="1"/>
  <c r="X17" i="22"/>
  <c r="AJ17" i="22" s="1"/>
  <c r="W18" i="22"/>
  <c r="AI18" i="22" s="1"/>
  <c r="AD19" i="22"/>
  <c r="AP19" i="22" s="1"/>
  <c r="Y20" i="22"/>
  <c r="AK20" i="22" s="1"/>
  <c r="AG20" i="22"/>
  <c r="AS20" i="22" s="1"/>
  <c r="V23" i="22"/>
  <c r="AH23" i="22" s="1"/>
  <c r="AD23" i="22"/>
  <c r="AP23" i="22" s="1"/>
  <c r="Y24" i="22"/>
  <c r="AK24" i="22" s="1"/>
  <c r="X25" i="22"/>
  <c r="AJ25" i="22" s="1"/>
  <c r="AF25" i="22"/>
  <c r="AR25" i="22" s="1"/>
  <c r="V27" i="22"/>
  <c r="AH27" i="22" s="1"/>
  <c r="X29" i="22"/>
  <c r="AJ29" i="22" s="1"/>
  <c r="W30" i="22"/>
  <c r="AI30" i="22" s="1"/>
  <c r="AE30" i="22"/>
  <c r="AQ30" i="22" s="1"/>
  <c r="AD31" i="22"/>
  <c r="AP31" i="22" s="1"/>
  <c r="Y32" i="22"/>
  <c r="AK32" i="22" s="1"/>
  <c r="AB33" i="22"/>
  <c r="AN33" i="22" s="1"/>
  <c r="AA34" i="22"/>
  <c r="AM34" i="22" s="1"/>
  <c r="V35" i="22"/>
  <c r="AH35" i="22" s="1"/>
  <c r="AD35" i="22"/>
  <c r="AP35" i="22" s="1"/>
  <c r="V36" i="22"/>
  <c r="AH36" i="22" s="1"/>
  <c r="AE39" i="22"/>
  <c r="AQ39" i="22" s="1"/>
  <c r="Y41" i="22"/>
  <c r="AK41" i="22" s="1"/>
  <c r="AB42" i="22"/>
  <c r="AN42" i="22" s="1"/>
  <c r="AB46" i="22"/>
  <c r="AN46" i="22" s="1"/>
  <c r="AE47" i="22"/>
  <c r="AQ47" i="22" s="1"/>
  <c r="Y49" i="22"/>
  <c r="AK49" i="22" s="1"/>
  <c r="AB50" i="22"/>
  <c r="AN50" i="22" s="1"/>
  <c r="AB54" i="22"/>
  <c r="AN54" i="22" s="1"/>
  <c r="AB58" i="22"/>
  <c r="AN58" i="22" s="1"/>
  <c r="AG71" i="22"/>
  <c r="AS71" i="22" s="1"/>
  <c r="AA9" i="22"/>
  <c r="X9" i="22"/>
  <c r="AB9" i="22"/>
  <c r="AF9" i="22"/>
  <c r="W10" i="22"/>
  <c r="AA10" i="22"/>
  <c r="AE10" i="22"/>
  <c r="V14" i="22"/>
  <c r="AH14" i="22" s="1"/>
  <c r="AH140" i="22" s="1"/>
  <c r="Z14" i="22"/>
  <c r="AL14" i="22" s="1"/>
  <c r="AD14" i="22"/>
  <c r="AP14" i="22" s="1"/>
  <c r="AP140" i="22" s="1"/>
  <c r="Y15" i="22"/>
  <c r="AK15" i="22" s="1"/>
  <c r="AC15" i="22"/>
  <c r="AO15" i="22" s="1"/>
  <c r="AG15" i="22"/>
  <c r="AS15" i="22" s="1"/>
  <c r="X16" i="22"/>
  <c r="AJ16" i="22" s="1"/>
  <c r="AB16" i="22"/>
  <c r="AN16" i="22" s="1"/>
  <c r="AF16" i="22"/>
  <c r="AR16" i="22" s="1"/>
  <c r="W17" i="22"/>
  <c r="AI17" i="22" s="1"/>
  <c r="AA17" i="22"/>
  <c r="AM17" i="22" s="1"/>
  <c r="AE17" i="22"/>
  <c r="AQ17" i="22" s="1"/>
  <c r="V18" i="22"/>
  <c r="AH18" i="22" s="1"/>
  <c r="Z18" i="22"/>
  <c r="AL18" i="22" s="1"/>
  <c r="AD18" i="22"/>
  <c r="AP18" i="22" s="1"/>
  <c r="Y19" i="22"/>
  <c r="AK19" i="22" s="1"/>
  <c r="AC19" i="22"/>
  <c r="AO19" i="22" s="1"/>
  <c r="AG19" i="22"/>
  <c r="AS19" i="22" s="1"/>
  <c r="X20" i="22"/>
  <c r="AJ20" i="22" s="1"/>
  <c r="AB20" i="22"/>
  <c r="AN20" i="22" s="1"/>
  <c r="AF20" i="22"/>
  <c r="AR20" i="22" s="1"/>
  <c r="W21" i="22"/>
  <c r="AI21" i="22" s="1"/>
  <c r="AA21" i="22"/>
  <c r="AM21" i="22" s="1"/>
  <c r="AE21" i="22"/>
  <c r="AQ21" i="22" s="1"/>
  <c r="V22" i="22"/>
  <c r="AH22" i="22" s="1"/>
  <c r="Z22" i="22"/>
  <c r="AL22" i="22" s="1"/>
  <c r="AD22" i="22"/>
  <c r="AP22" i="22" s="1"/>
  <c r="Y23" i="22"/>
  <c r="AK23" i="22" s="1"/>
  <c r="AC23" i="22"/>
  <c r="AO23" i="22" s="1"/>
  <c r="AG23" i="22"/>
  <c r="AS23" i="22" s="1"/>
  <c r="X24" i="22"/>
  <c r="AJ24" i="22" s="1"/>
  <c r="AB24" i="22"/>
  <c r="AN24" i="22" s="1"/>
  <c r="AF24" i="22"/>
  <c r="AR24" i="22" s="1"/>
  <c r="W25" i="22"/>
  <c r="AI25" i="22" s="1"/>
  <c r="AA25" i="22"/>
  <c r="AM25" i="22" s="1"/>
  <c r="AE25" i="22"/>
  <c r="AQ25" i="22" s="1"/>
  <c r="V26" i="22"/>
  <c r="AH26" i="22" s="1"/>
  <c r="Z26" i="22"/>
  <c r="AL26" i="22" s="1"/>
  <c r="AD26" i="22"/>
  <c r="AP26" i="22" s="1"/>
  <c r="Y27" i="22"/>
  <c r="AK27" i="22" s="1"/>
  <c r="AC27" i="22"/>
  <c r="AO27" i="22" s="1"/>
  <c r="AG27" i="22"/>
  <c r="AS27" i="22" s="1"/>
  <c r="X28" i="22"/>
  <c r="AJ28" i="22" s="1"/>
  <c r="AB28" i="22"/>
  <c r="AN28" i="22" s="1"/>
  <c r="AF28" i="22"/>
  <c r="AR28" i="22" s="1"/>
  <c r="W29" i="22"/>
  <c r="AI29" i="22" s="1"/>
  <c r="AA29" i="22"/>
  <c r="AM29" i="22" s="1"/>
  <c r="AE29" i="22"/>
  <c r="AQ29" i="22" s="1"/>
  <c r="V30" i="22"/>
  <c r="AH30" i="22" s="1"/>
  <c r="Z30" i="22"/>
  <c r="AL30" i="22" s="1"/>
  <c r="AD30" i="22"/>
  <c r="AP30" i="22" s="1"/>
  <c r="Y31" i="22"/>
  <c r="AK31" i="22" s="1"/>
  <c r="AC31" i="22"/>
  <c r="AO31" i="22" s="1"/>
  <c r="AG31" i="22"/>
  <c r="AS31" i="22" s="1"/>
  <c r="X32" i="22"/>
  <c r="AJ32" i="22" s="1"/>
  <c r="AB32" i="22"/>
  <c r="AN32" i="22" s="1"/>
  <c r="AF32" i="22"/>
  <c r="AR32" i="22" s="1"/>
  <c r="W33" i="22"/>
  <c r="AI33" i="22" s="1"/>
  <c r="AA33" i="22"/>
  <c r="AM33" i="22" s="1"/>
  <c r="AE33" i="22"/>
  <c r="AQ33" i="22" s="1"/>
  <c r="V34" i="22"/>
  <c r="AH34" i="22" s="1"/>
  <c r="Z34" i="22"/>
  <c r="AL34" i="22" s="1"/>
  <c r="AD34" i="22"/>
  <c r="AP34" i="22" s="1"/>
  <c r="Y35" i="22"/>
  <c r="AK35" i="22" s="1"/>
  <c r="AC35" i="22"/>
  <c r="AO35" i="22" s="1"/>
  <c r="AG35" i="22"/>
  <c r="AS35" i="22" s="1"/>
  <c r="AB36" i="22"/>
  <c r="AN36" i="22" s="1"/>
  <c r="AA37" i="22"/>
  <c r="AM37" i="22" s="1"/>
  <c r="X38" i="22"/>
  <c r="AJ38" i="22" s="1"/>
  <c r="AF38" i="22"/>
  <c r="AR38" i="22" s="1"/>
  <c r="AA39" i="22"/>
  <c r="AM39" i="22" s="1"/>
  <c r="AD40" i="22"/>
  <c r="AP40" i="22" s="1"/>
  <c r="X42" i="22"/>
  <c r="AJ42" i="22" s="1"/>
  <c r="AA43" i="22"/>
  <c r="AM43" i="22" s="1"/>
  <c r="AD44" i="22"/>
  <c r="AP44" i="22" s="1"/>
  <c r="X46" i="22"/>
  <c r="AJ46" i="22" s="1"/>
  <c r="AA47" i="22"/>
  <c r="AM47" i="22" s="1"/>
  <c r="AD48" i="22"/>
  <c r="AP48" i="22" s="1"/>
  <c r="X50" i="22"/>
  <c r="AJ50" i="22" s="1"/>
  <c r="AA51" i="22"/>
  <c r="AM51" i="22" s="1"/>
  <c r="AD52" i="22"/>
  <c r="AP52" i="22" s="1"/>
  <c r="X54" i="22"/>
  <c r="AJ54" i="22" s="1"/>
  <c r="AA55" i="22"/>
  <c r="AM55" i="22" s="1"/>
  <c r="AD56" i="22"/>
  <c r="AP56" i="22" s="1"/>
  <c r="X58" i="22"/>
  <c r="AJ58" i="22" s="1"/>
  <c r="AA59" i="22"/>
  <c r="AM59" i="22" s="1"/>
  <c r="V60" i="22"/>
  <c r="AH60" i="22" s="1"/>
  <c r="Z66" i="22"/>
  <c r="AL66" i="22" s="1"/>
  <c r="Z74" i="22"/>
  <c r="AL74" i="22" s="1"/>
  <c r="X83" i="22"/>
  <c r="AJ83" i="22" s="1"/>
  <c r="X91" i="22"/>
  <c r="AJ91" i="22" s="1"/>
  <c r="X99" i="22"/>
  <c r="AJ99" i="22" s="1"/>
  <c r="I39" i="7"/>
  <c r="J39" i="7"/>
  <c r="K39" i="7"/>
  <c r="L39" i="7"/>
  <c r="M39" i="7"/>
  <c r="N39" i="7"/>
  <c r="O39" i="7"/>
  <c r="P39" i="7"/>
  <c r="Q39" i="7"/>
  <c r="R39" i="7"/>
  <c r="S39" i="7"/>
  <c r="T39" i="7"/>
  <c r="U39" i="7"/>
  <c r="V39" i="7"/>
  <c r="H39" i="7"/>
  <c r="AJ140" i="22" l="1"/>
  <c r="AS140" i="22"/>
  <c r="AS142" i="22"/>
  <c r="AS143" i="22" s="1"/>
  <c r="AS144" i="22" s="1"/>
  <c r="D22" i="17" s="1"/>
  <c r="AM142" i="22"/>
  <c r="AM143" i="22" s="1"/>
  <c r="AN142" i="22"/>
  <c r="AN143" i="22" s="1"/>
  <c r="AI142" i="22"/>
  <c r="AI143" i="22" s="1"/>
  <c r="AK142" i="22"/>
  <c r="AK143" i="22" s="1"/>
  <c r="AO142" i="22"/>
  <c r="AO143" i="22" s="1"/>
  <c r="AH142" i="22"/>
  <c r="AH143" i="22" s="1"/>
  <c r="AJ142" i="22"/>
  <c r="AJ143" i="22" s="1"/>
  <c r="AJ144" i="22" s="1"/>
  <c r="D13" i="17" s="1"/>
  <c r="AR142" i="22"/>
  <c r="AR143" i="22" s="1"/>
  <c r="AQ142" i="22"/>
  <c r="AQ143" i="22" s="1"/>
  <c r="AP142" i="22"/>
  <c r="AP143" i="22" s="1"/>
  <c r="AL140" i="22"/>
  <c r="AL142" i="22"/>
  <c r="AL143" i="22" s="1"/>
  <c r="B10" i="19"/>
  <c r="P9" i="19"/>
  <c r="O9" i="19"/>
  <c r="N9" i="19"/>
  <c r="O5" i="19"/>
  <c r="C11" i="15" l="1"/>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C54" i="15"/>
  <c r="C55" i="15"/>
  <c r="C56" i="15"/>
  <c r="C57" i="15"/>
  <c r="C58" i="15"/>
  <c r="C59" i="15"/>
  <c r="C60" i="15"/>
  <c r="C61" i="15"/>
  <c r="C62" i="15"/>
  <c r="C63" i="15"/>
  <c r="C64" i="15"/>
  <c r="C65" i="15"/>
  <c r="C66" i="15"/>
  <c r="C67" i="15"/>
  <c r="C68" i="15"/>
  <c r="C69" i="15"/>
  <c r="C70" i="15"/>
  <c r="C71" i="15"/>
  <c r="C72" i="15"/>
  <c r="C73" i="15"/>
  <c r="C74" i="15"/>
  <c r="C75" i="15"/>
  <c r="C76" i="15"/>
  <c r="C77" i="15"/>
  <c r="C78" i="15"/>
  <c r="C79" i="15"/>
  <c r="C80" i="15"/>
  <c r="C81" i="15"/>
  <c r="C82" i="15"/>
  <c r="C83" i="15"/>
  <c r="C84" i="15"/>
  <c r="C85" i="15"/>
  <c r="C86" i="15"/>
  <c r="C87" i="15"/>
  <c r="C88" i="15"/>
  <c r="C89" i="15"/>
  <c r="C90" i="15"/>
  <c r="C91" i="15"/>
  <c r="C92" i="15"/>
  <c r="C93" i="15"/>
  <c r="C94" i="15"/>
  <c r="C95" i="15"/>
  <c r="C96" i="15"/>
  <c r="C97" i="15"/>
  <c r="C98" i="15"/>
  <c r="C99" i="15"/>
  <c r="C100" i="15"/>
  <c r="C101" i="15"/>
  <c r="C102" i="15"/>
  <c r="C103" i="15"/>
  <c r="C104" i="15"/>
  <c r="C105" i="15"/>
  <c r="C106" i="15"/>
  <c r="C107" i="15"/>
  <c r="C108" i="15"/>
  <c r="C109" i="15"/>
  <c r="C110" i="15"/>
  <c r="C111" i="15"/>
  <c r="C112" i="15"/>
  <c r="C113" i="15"/>
  <c r="C114" i="15"/>
  <c r="C115" i="15"/>
  <c r="C116" i="15"/>
  <c r="C117" i="15"/>
  <c r="C118" i="15"/>
  <c r="C119" i="15"/>
  <c r="C120" i="15"/>
  <c r="C121" i="15"/>
  <c r="C122" i="15"/>
  <c r="C123" i="15"/>
  <c r="C124" i="15"/>
  <c r="C125" i="15"/>
  <c r="C126" i="15"/>
  <c r="C127" i="15"/>
  <c r="C128" i="15"/>
  <c r="C129" i="15"/>
  <c r="C130" i="15"/>
  <c r="C131" i="15"/>
  <c r="C132" i="15"/>
  <c r="C133" i="15"/>
  <c r="C134" i="15"/>
  <c r="C135" i="15"/>
  <c r="C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0" i="15"/>
  <c r="G1" i="7" l="1"/>
  <c r="A3" i="12" s="1"/>
  <c r="A30" i="7"/>
  <c r="A16" i="14" l="1"/>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5" i="14"/>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A70" i="15"/>
  <c r="A71" i="15"/>
  <c r="A72" i="15"/>
  <c r="A73" i="15"/>
  <c r="A74" i="15"/>
  <c r="A75" i="15"/>
  <c r="A76" i="15"/>
  <c r="A77" i="15"/>
  <c r="A78" i="15"/>
  <c r="A79" i="15"/>
  <c r="A80" i="15"/>
  <c r="A81" i="15"/>
  <c r="A82" i="15"/>
  <c r="A83" i="15"/>
  <c r="A84" i="15"/>
  <c r="A85" i="15"/>
  <c r="A86" i="15"/>
  <c r="A87" i="15"/>
  <c r="A88" i="15"/>
  <c r="A89" i="15"/>
  <c r="A90" i="15"/>
  <c r="A91" i="15"/>
  <c r="A92" i="15"/>
  <c r="A93" i="15"/>
  <c r="A94" i="15"/>
  <c r="A95" i="15"/>
  <c r="A96" i="15"/>
  <c r="A97" i="15"/>
  <c r="A98" i="15"/>
  <c r="A99" i="15"/>
  <c r="A100" i="15"/>
  <c r="A101" i="15"/>
  <c r="A102" i="15"/>
  <c r="A103" i="15"/>
  <c r="A104" i="15"/>
  <c r="A105" i="15"/>
  <c r="A106" i="15"/>
  <c r="A107" i="15"/>
  <c r="A108" i="15"/>
  <c r="A109" i="15"/>
  <c r="A110" i="15"/>
  <c r="A111" i="15"/>
  <c r="A112" i="15"/>
  <c r="A113" i="15"/>
  <c r="A114" i="15"/>
  <c r="A115" i="15"/>
  <c r="A116" i="15"/>
  <c r="A117" i="15"/>
  <c r="A118" i="15"/>
  <c r="A119" i="15"/>
  <c r="A120" i="15"/>
  <c r="A121" i="15"/>
  <c r="A122" i="15"/>
  <c r="A123" i="15"/>
  <c r="A124" i="15"/>
  <c r="A125" i="15"/>
  <c r="A126" i="15"/>
  <c r="A127" i="15"/>
  <c r="A128" i="15"/>
  <c r="A129" i="15"/>
  <c r="A130" i="15"/>
  <c r="A131" i="15"/>
  <c r="A132" i="15"/>
  <c r="A133" i="15"/>
  <c r="A134" i="15"/>
  <c r="A135" i="15"/>
  <c r="A10" i="15"/>
  <c r="L1" i="7" l="1"/>
  <c r="D6" i="17" s="1"/>
  <c r="T2" i="7" l="1"/>
  <c r="S2" i="7"/>
  <c r="R2" i="7"/>
  <c r="Q2" i="7"/>
  <c r="Q1" i="7"/>
  <c r="E6" i="17" s="1"/>
  <c r="O2" i="7"/>
  <c r="N2" i="7"/>
  <c r="L2" i="7"/>
  <c r="C6" i="17"/>
  <c r="U21" i="21" l="1"/>
  <c r="A11" i="19" l="1"/>
  <c r="A12" i="19"/>
  <c r="A13" i="19"/>
  <c r="A14" i="19"/>
  <c r="A15" i="19"/>
  <c r="A16" i="19"/>
  <c r="A10" i="19"/>
  <c r="U94" i="21"/>
  <c r="U56" i="21"/>
  <c r="G28" i="7" l="1"/>
  <c r="G29" i="7"/>
  <c r="G30" i="7"/>
  <c r="G31" i="7"/>
  <c r="G32" i="7"/>
  <c r="G27" i="7"/>
  <c r="M6" i="19" l="1"/>
  <c r="B11" i="17"/>
  <c r="L4" i="14"/>
  <c r="T13" i="21"/>
  <c r="T12" i="21"/>
  <c r="T11" i="21"/>
  <c r="T10" i="21"/>
  <c r="S13" i="21"/>
  <c r="S12" i="21"/>
  <c r="S11" i="21"/>
  <c r="S10" i="21"/>
  <c r="R13" i="21"/>
  <c r="R12" i="21"/>
  <c r="R11" i="21"/>
  <c r="R10" i="21"/>
  <c r="Q13" i="21"/>
  <c r="Q12" i="21"/>
  <c r="Q11" i="21"/>
  <c r="Q10" i="21"/>
  <c r="P13" i="21"/>
  <c r="P12" i="21"/>
  <c r="P11" i="21"/>
  <c r="P10" i="21"/>
  <c r="O13" i="21"/>
  <c r="O12" i="21"/>
  <c r="O11" i="21"/>
  <c r="O10" i="21"/>
  <c r="N13" i="21"/>
  <c r="N12" i="21"/>
  <c r="N11" i="21"/>
  <c r="N10" i="21"/>
  <c r="M13" i="21"/>
  <c r="M12" i="21"/>
  <c r="M11" i="21"/>
  <c r="M10" i="21"/>
  <c r="L13" i="21"/>
  <c r="L12" i="21"/>
  <c r="L11" i="21"/>
  <c r="L10" i="21"/>
  <c r="K13" i="21"/>
  <c r="K12" i="21"/>
  <c r="K11" i="21"/>
  <c r="K10" i="21"/>
  <c r="J13" i="21"/>
  <c r="J12" i="21"/>
  <c r="J11" i="21"/>
  <c r="J10" i="21"/>
  <c r="I13" i="21"/>
  <c r="I12" i="21"/>
  <c r="I11" i="21"/>
  <c r="I10" i="21"/>
  <c r="H13" i="21"/>
  <c r="H12" i="21"/>
  <c r="H11" i="21"/>
  <c r="H10" i="21"/>
  <c r="E11" i="21"/>
  <c r="E10" i="21"/>
  <c r="F13" i="21"/>
  <c r="F12" i="21"/>
  <c r="G13" i="21"/>
  <c r="G12" i="21"/>
  <c r="G11" i="21"/>
  <c r="G10" i="21"/>
  <c r="F11" i="21"/>
  <c r="F10" i="21"/>
  <c r="E13" i="21"/>
  <c r="E12" i="21"/>
  <c r="D10" i="21"/>
  <c r="D13" i="21"/>
  <c r="D12" i="21"/>
  <c r="D11" i="21"/>
  <c r="AN141" i="21"/>
  <c r="AM141" i="21"/>
  <c r="AL141" i="21"/>
  <c r="AK141" i="21"/>
  <c r="AJ141" i="21"/>
  <c r="AI141" i="21"/>
  <c r="AH141" i="21"/>
  <c r="U139" i="21"/>
  <c r="C139" i="21"/>
  <c r="B139" i="21"/>
  <c r="U138" i="21"/>
  <c r="C138" i="21"/>
  <c r="B138" i="21"/>
  <c r="U137" i="21"/>
  <c r="C137" i="21"/>
  <c r="B137" i="21"/>
  <c r="U136" i="21"/>
  <c r="C136" i="21"/>
  <c r="B136" i="21"/>
  <c r="U135" i="21"/>
  <c r="C135" i="21"/>
  <c r="B135" i="21"/>
  <c r="U134" i="21"/>
  <c r="C134" i="21"/>
  <c r="B134" i="21"/>
  <c r="U133" i="21"/>
  <c r="C133" i="21"/>
  <c r="B133" i="21"/>
  <c r="U132" i="21"/>
  <c r="C132" i="21"/>
  <c r="B132" i="21"/>
  <c r="U131" i="21"/>
  <c r="C131" i="21"/>
  <c r="B131" i="21"/>
  <c r="U130" i="21"/>
  <c r="C130" i="21"/>
  <c r="B130" i="21"/>
  <c r="U129" i="21"/>
  <c r="C129" i="21"/>
  <c r="B129" i="21"/>
  <c r="U128" i="21"/>
  <c r="C128" i="21"/>
  <c r="B128" i="21"/>
  <c r="U127" i="21"/>
  <c r="C127" i="21"/>
  <c r="B127" i="21"/>
  <c r="U126" i="21"/>
  <c r="C126" i="21"/>
  <c r="B126" i="21"/>
  <c r="U125" i="21"/>
  <c r="C125" i="21"/>
  <c r="B125" i="21"/>
  <c r="U124" i="21"/>
  <c r="C124" i="21"/>
  <c r="B124" i="21"/>
  <c r="U123" i="21"/>
  <c r="C123" i="21"/>
  <c r="B123" i="21"/>
  <c r="U122" i="21"/>
  <c r="C122" i="21"/>
  <c r="B122" i="21"/>
  <c r="U121" i="21"/>
  <c r="C121" i="21"/>
  <c r="B121" i="21"/>
  <c r="U120" i="21"/>
  <c r="C120" i="21"/>
  <c r="B120" i="21"/>
  <c r="U119" i="21"/>
  <c r="C119" i="21"/>
  <c r="B119" i="21"/>
  <c r="U118" i="21"/>
  <c r="C118" i="21"/>
  <c r="B118" i="21"/>
  <c r="U117" i="21"/>
  <c r="C117" i="21"/>
  <c r="B117" i="21"/>
  <c r="U116" i="21"/>
  <c r="C116" i="21"/>
  <c r="B116" i="21"/>
  <c r="U115" i="21"/>
  <c r="C115" i="21"/>
  <c r="B115" i="21"/>
  <c r="U114" i="21"/>
  <c r="C114" i="21"/>
  <c r="B114" i="21"/>
  <c r="U113" i="21"/>
  <c r="C113" i="21"/>
  <c r="B113" i="21"/>
  <c r="U112" i="21"/>
  <c r="C112" i="21"/>
  <c r="B112" i="21"/>
  <c r="U111" i="21"/>
  <c r="C111" i="21"/>
  <c r="B111" i="21"/>
  <c r="U110" i="21"/>
  <c r="C110" i="21"/>
  <c r="B110" i="21"/>
  <c r="U109" i="21"/>
  <c r="C109" i="21"/>
  <c r="B109" i="21"/>
  <c r="U108" i="21"/>
  <c r="C108" i="21"/>
  <c r="B108" i="21"/>
  <c r="U107" i="21"/>
  <c r="C107" i="21"/>
  <c r="B107" i="21"/>
  <c r="U106" i="21"/>
  <c r="C106" i="21"/>
  <c r="B106" i="21"/>
  <c r="U105" i="21"/>
  <c r="C105" i="21"/>
  <c r="B105" i="21"/>
  <c r="U104" i="21"/>
  <c r="C104" i="21"/>
  <c r="B104" i="21"/>
  <c r="U103" i="21"/>
  <c r="C103" i="21"/>
  <c r="B103" i="21"/>
  <c r="U102" i="21"/>
  <c r="C102" i="21"/>
  <c r="B102" i="21"/>
  <c r="U101" i="21"/>
  <c r="C101" i="21"/>
  <c r="B101" i="21"/>
  <c r="U100" i="21"/>
  <c r="C100" i="21"/>
  <c r="B100" i="21"/>
  <c r="U99" i="21"/>
  <c r="C99" i="21"/>
  <c r="B99" i="21"/>
  <c r="U98" i="21"/>
  <c r="C98" i="21"/>
  <c r="B98" i="21"/>
  <c r="U97" i="21"/>
  <c r="C97" i="21"/>
  <c r="B97" i="21"/>
  <c r="U96" i="21"/>
  <c r="C96" i="21"/>
  <c r="B96" i="21"/>
  <c r="U95" i="21"/>
  <c r="C95" i="21"/>
  <c r="B95" i="21"/>
  <c r="C94" i="21"/>
  <c r="B94" i="21"/>
  <c r="U93" i="21"/>
  <c r="C93" i="21"/>
  <c r="B93" i="21"/>
  <c r="U92" i="21"/>
  <c r="C92" i="21"/>
  <c r="B92" i="21"/>
  <c r="U91" i="21"/>
  <c r="C91" i="21"/>
  <c r="B91" i="21"/>
  <c r="U90" i="21"/>
  <c r="C90" i="21"/>
  <c r="B90" i="21"/>
  <c r="U89" i="21"/>
  <c r="C89" i="21"/>
  <c r="B89" i="21"/>
  <c r="U88" i="21"/>
  <c r="C88" i="21"/>
  <c r="B88" i="21"/>
  <c r="U87" i="21"/>
  <c r="C87" i="21"/>
  <c r="B87" i="21"/>
  <c r="U86" i="21"/>
  <c r="C86" i="21"/>
  <c r="B86" i="21"/>
  <c r="U85" i="21"/>
  <c r="C85" i="21"/>
  <c r="B85" i="21"/>
  <c r="U84" i="21"/>
  <c r="C84" i="21"/>
  <c r="B84" i="21"/>
  <c r="U83" i="21"/>
  <c r="C83" i="21"/>
  <c r="B83" i="21"/>
  <c r="U82" i="21"/>
  <c r="C82" i="21"/>
  <c r="B82" i="21"/>
  <c r="U81" i="21"/>
  <c r="C81" i="21"/>
  <c r="B81" i="21"/>
  <c r="U80" i="21"/>
  <c r="C80" i="21"/>
  <c r="B80" i="21"/>
  <c r="U79" i="21"/>
  <c r="C79" i="21"/>
  <c r="B79" i="21"/>
  <c r="U78" i="21"/>
  <c r="C78" i="21"/>
  <c r="B78" i="21"/>
  <c r="U77" i="21"/>
  <c r="C77" i="21"/>
  <c r="B77" i="21"/>
  <c r="U76" i="21"/>
  <c r="C76" i="21"/>
  <c r="B76" i="21"/>
  <c r="U75" i="21"/>
  <c r="C75" i="21"/>
  <c r="B75" i="21"/>
  <c r="U74" i="21"/>
  <c r="C74" i="21"/>
  <c r="B74" i="21"/>
  <c r="U73" i="21"/>
  <c r="C73" i="21"/>
  <c r="B73" i="21"/>
  <c r="U72" i="21"/>
  <c r="C72" i="21"/>
  <c r="B72" i="21"/>
  <c r="U71" i="21"/>
  <c r="C71" i="21"/>
  <c r="B71" i="21"/>
  <c r="U70" i="21"/>
  <c r="C70" i="21"/>
  <c r="B70" i="21"/>
  <c r="U69" i="21"/>
  <c r="C69" i="21"/>
  <c r="B69" i="21"/>
  <c r="U68" i="21"/>
  <c r="C68" i="21"/>
  <c r="B68" i="21"/>
  <c r="U67" i="21"/>
  <c r="C67" i="21"/>
  <c r="B67" i="21"/>
  <c r="U66" i="21"/>
  <c r="C66" i="21"/>
  <c r="B66" i="21"/>
  <c r="U65" i="21"/>
  <c r="C65" i="21"/>
  <c r="B65" i="21"/>
  <c r="U64" i="21"/>
  <c r="C64" i="21"/>
  <c r="B64" i="21"/>
  <c r="U63" i="21"/>
  <c r="C63" i="21"/>
  <c r="B63" i="21"/>
  <c r="U62" i="21"/>
  <c r="C62" i="21"/>
  <c r="B62" i="21"/>
  <c r="U61" i="21"/>
  <c r="C61" i="21"/>
  <c r="B61" i="21"/>
  <c r="U60" i="21"/>
  <c r="C60" i="21"/>
  <c r="B60" i="21"/>
  <c r="U59" i="21"/>
  <c r="C59" i="21"/>
  <c r="B59" i="21"/>
  <c r="U58" i="21"/>
  <c r="C58" i="21"/>
  <c r="B58" i="21"/>
  <c r="U57" i="21"/>
  <c r="C57" i="21"/>
  <c r="B57" i="21"/>
  <c r="C56" i="21"/>
  <c r="B56" i="21"/>
  <c r="U55" i="21"/>
  <c r="C55" i="21"/>
  <c r="B55" i="21"/>
  <c r="U54" i="21"/>
  <c r="C54" i="21"/>
  <c r="B54" i="21"/>
  <c r="U53" i="21"/>
  <c r="C53" i="21"/>
  <c r="B53" i="21"/>
  <c r="U52" i="21"/>
  <c r="C52" i="21"/>
  <c r="B52" i="21"/>
  <c r="U51" i="21"/>
  <c r="C51" i="21"/>
  <c r="B51" i="21"/>
  <c r="U50" i="21"/>
  <c r="C50" i="21"/>
  <c r="B50" i="21"/>
  <c r="U49" i="21"/>
  <c r="C49" i="21"/>
  <c r="B49" i="21"/>
  <c r="U48" i="21"/>
  <c r="C48" i="21"/>
  <c r="B48" i="21"/>
  <c r="U47" i="21"/>
  <c r="C47" i="21"/>
  <c r="B47" i="21"/>
  <c r="U46" i="21"/>
  <c r="C46" i="21"/>
  <c r="B46" i="21"/>
  <c r="U45" i="21"/>
  <c r="C45" i="21"/>
  <c r="B45" i="21"/>
  <c r="U44" i="21"/>
  <c r="C44" i="21"/>
  <c r="B44" i="21"/>
  <c r="U43" i="21"/>
  <c r="C43" i="21"/>
  <c r="B43" i="21"/>
  <c r="U42" i="21"/>
  <c r="C42" i="21"/>
  <c r="B42" i="21"/>
  <c r="U41" i="21"/>
  <c r="C41" i="21"/>
  <c r="B41" i="21"/>
  <c r="U40" i="21"/>
  <c r="C40" i="21"/>
  <c r="B40" i="21"/>
  <c r="U39" i="21"/>
  <c r="C39" i="21"/>
  <c r="B39" i="21"/>
  <c r="U38" i="21"/>
  <c r="C38" i="21"/>
  <c r="B38" i="21"/>
  <c r="U37" i="21"/>
  <c r="C37" i="21"/>
  <c r="B37" i="21"/>
  <c r="U36" i="21"/>
  <c r="C36" i="21"/>
  <c r="B36" i="21"/>
  <c r="U35" i="21"/>
  <c r="C35" i="21"/>
  <c r="B35" i="21"/>
  <c r="U34" i="21"/>
  <c r="C34" i="21"/>
  <c r="B34" i="21"/>
  <c r="U33" i="21"/>
  <c r="C33" i="21"/>
  <c r="B33" i="21"/>
  <c r="U32" i="21"/>
  <c r="C32" i="21"/>
  <c r="B32" i="21"/>
  <c r="U31" i="21"/>
  <c r="C31" i="21"/>
  <c r="B31" i="21"/>
  <c r="U30" i="21"/>
  <c r="C30" i="21"/>
  <c r="B30" i="21"/>
  <c r="U29" i="21"/>
  <c r="C29" i="21"/>
  <c r="B29" i="21"/>
  <c r="U28" i="21"/>
  <c r="C28" i="21"/>
  <c r="B28" i="21"/>
  <c r="U27" i="21"/>
  <c r="C27" i="21"/>
  <c r="B27" i="21"/>
  <c r="U26" i="21"/>
  <c r="C26" i="21"/>
  <c r="B26" i="21"/>
  <c r="U25" i="21"/>
  <c r="C25" i="21"/>
  <c r="B25" i="21"/>
  <c r="U24" i="21"/>
  <c r="C24" i="21"/>
  <c r="B24" i="21"/>
  <c r="U23" i="21"/>
  <c r="C23" i="21"/>
  <c r="B23" i="21"/>
  <c r="U22" i="21"/>
  <c r="C22" i="21"/>
  <c r="B22" i="21"/>
  <c r="C21" i="21"/>
  <c r="B21" i="21"/>
  <c r="U20" i="21"/>
  <c r="C20" i="21"/>
  <c r="B20" i="21"/>
  <c r="U19" i="21"/>
  <c r="C19" i="21"/>
  <c r="B19" i="21"/>
  <c r="U18" i="21"/>
  <c r="C18" i="21"/>
  <c r="B18" i="21"/>
  <c r="U17" i="21"/>
  <c r="C17" i="21"/>
  <c r="B17" i="21"/>
  <c r="U16" i="21"/>
  <c r="C16" i="21"/>
  <c r="B16" i="21"/>
  <c r="U15" i="21"/>
  <c r="C15" i="21"/>
  <c r="B15" i="21"/>
  <c r="U14" i="21"/>
  <c r="C14" i="21"/>
  <c r="B14" i="21"/>
  <c r="A9" i="21"/>
  <c r="R7" i="21"/>
  <c r="C7" i="21"/>
  <c r="R6" i="21"/>
  <c r="H6" i="21"/>
  <c r="C6" i="21"/>
  <c r="A2" i="21"/>
  <c r="O12" i="12"/>
  <c r="O11" i="12"/>
  <c r="O10" i="12"/>
  <c r="AO144" i="21" l="1"/>
  <c r="E18" i="17" s="1"/>
  <c r="AQ144" i="21"/>
  <c r="E20" i="17" s="1"/>
  <c r="AR144" i="21"/>
  <c r="E21" i="17" s="1"/>
  <c r="AN144" i="21"/>
  <c r="E17" i="17" s="1"/>
  <c r="AP144" i="21"/>
  <c r="E19" i="17" s="1"/>
  <c r="AG18" i="21"/>
  <c r="AS18" i="21" s="1"/>
  <c r="AG22" i="21"/>
  <c r="AS22" i="21" s="1"/>
  <c r="AG26" i="21"/>
  <c r="AS26" i="21" s="1"/>
  <c r="AG30" i="21"/>
  <c r="AS30" i="21" s="1"/>
  <c r="AG34" i="21"/>
  <c r="AS34" i="21" s="1"/>
  <c r="AG38" i="21"/>
  <c r="AS38" i="21" s="1"/>
  <c r="AG42" i="21"/>
  <c r="AS42" i="21" s="1"/>
  <c r="AG46" i="21"/>
  <c r="AS46" i="21" s="1"/>
  <c r="AG50" i="21"/>
  <c r="AS50" i="21" s="1"/>
  <c r="AG54" i="21"/>
  <c r="AS54" i="21" s="1"/>
  <c r="AG58" i="21"/>
  <c r="AS58" i="21" s="1"/>
  <c r="AG62" i="21"/>
  <c r="AS62" i="21" s="1"/>
  <c r="AG66" i="21"/>
  <c r="AS66" i="21" s="1"/>
  <c r="AG70" i="21"/>
  <c r="AS70" i="21" s="1"/>
  <c r="AG74" i="21"/>
  <c r="AS74" i="21" s="1"/>
  <c r="AG78" i="21"/>
  <c r="AS78" i="21" s="1"/>
  <c r="AG82" i="21"/>
  <c r="AS82" i="21" s="1"/>
  <c r="AG86" i="21"/>
  <c r="AS86" i="21" s="1"/>
  <c r="AG90" i="21"/>
  <c r="AS90" i="21" s="1"/>
  <c r="AG94" i="21"/>
  <c r="AS94" i="21" s="1"/>
  <c r="AG98" i="21"/>
  <c r="AS98" i="21" s="1"/>
  <c r="AG102" i="21"/>
  <c r="AS102" i="21" s="1"/>
  <c r="AG106" i="21"/>
  <c r="AS106" i="21" s="1"/>
  <c r="AG110" i="21"/>
  <c r="AS110" i="21" s="1"/>
  <c r="AG114" i="21"/>
  <c r="AS114" i="21" s="1"/>
  <c r="AG118" i="21"/>
  <c r="AS118" i="21" s="1"/>
  <c r="AG122" i="21"/>
  <c r="AS122" i="21" s="1"/>
  <c r="AG126" i="21"/>
  <c r="AS126" i="21" s="1"/>
  <c r="AG130" i="21"/>
  <c r="AS130" i="21" s="1"/>
  <c r="AG134" i="21"/>
  <c r="AS134" i="21" s="1"/>
  <c r="AG138" i="21"/>
  <c r="AS138" i="21" s="1"/>
  <c r="AF16" i="21"/>
  <c r="AR16" i="21" s="1"/>
  <c r="AF20" i="21"/>
  <c r="AR20" i="21" s="1"/>
  <c r="AF24" i="21"/>
  <c r="AR24" i="21" s="1"/>
  <c r="AF28" i="21"/>
  <c r="AR28" i="21" s="1"/>
  <c r="AF32" i="21"/>
  <c r="AR32" i="21" s="1"/>
  <c r="AF36" i="21"/>
  <c r="AR36" i="21" s="1"/>
  <c r="AF40" i="21"/>
  <c r="AR40" i="21" s="1"/>
  <c r="AF44" i="21"/>
  <c r="AR44" i="21" s="1"/>
  <c r="AF48" i="21"/>
  <c r="AR48" i="21" s="1"/>
  <c r="AF52" i="21"/>
  <c r="AR52" i="21" s="1"/>
  <c r="AF56" i="21"/>
  <c r="AR56" i="21" s="1"/>
  <c r="AF60" i="21"/>
  <c r="AR60" i="21" s="1"/>
  <c r="AF64" i="21"/>
  <c r="AR64" i="21" s="1"/>
  <c r="AF68" i="21"/>
  <c r="AR68" i="21" s="1"/>
  <c r="AF72" i="21"/>
  <c r="AR72" i="21" s="1"/>
  <c r="AF76" i="21"/>
  <c r="AR76" i="21" s="1"/>
  <c r="AF80" i="21"/>
  <c r="AR80" i="21" s="1"/>
  <c r="AF84" i="21"/>
  <c r="AR84" i="21" s="1"/>
  <c r="AF88" i="21"/>
  <c r="AR88" i="21" s="1"/>
  <c r="AF92" i="21"/>
  <c r="AR92" i="21" s="1"/>
  <c r="AF96" i="21"/>
  <c r="AR96" i="21" s="1"/>
  <c r="AF100" i="21"/>
  <c r="AR100" i="21" s="1"/>
  <c r="AF104" i="21"/>
  <c r="AR104" i="21" s="1"/>
  <c r="AF108" i="21"/>
  <c r="AR108" i="21" s="1"/>
  <c r="AF112" i="21"/>
  <c r="AR112" i="21" s="1"/>
  <c r="AF116" i="21"/>
  <c r="AR116" i="21" s="1"/>
  <c r="AF120" i="21"/>
  <c r="AR120" i="21" s="1"/>
  <c r="AF124" i="21"/>
  <c r="AR124" i="21" s="1"/>
  <c r="AF128" i="21"/>
  <c r="AR128" i="21" s="1"/>
  <c r="AF132" i="21"/>
  <c r="AR132" i="21" s="1"/>
  <c r="AF136" i="21"/>
  <c r="AR136" i="21" s="1"/>
  <c r="AF14" i="21"/>
  <c r="AR14" i="21" s="1"/>
  <c r="AE18" i="21"/>
  <c r="AQ18" i="21" s="1"/>
  <c r="AE22" i="21"/>
  <c r="AQ22" i="21" s="1"/>
  <c r="AE26" i="21"/>
  <c r="AQ26" i="21" s="1"/>
  <c r="AE30" i="21"/>
  <c r="AQ30" i="21" s="1"/>
  <c r="AE34" i="21"/>
  <c r="AQ34" i="21" s="1"/>
  <c r="AE38" i="21"/>
  <c r="AQ38" i="21" s="1"/>
  <c r="AE42" i="21"/>
  <c r="AQ42" i="21" s="1"/>
  <c r="AE46" i="21"/>
  <c r="AQ46" i="21" s="1"/>
  <c r="AE50" i="21"/>
  <c r="AQ50" i="21" s="1"/>
  <c r="AE54" i="21"/>
  <c r="AQ54" i="21" s="1"/>
  <c r="AE58" i="21"/>
  <c r="AQ58" i="21" s="1"/>
  <c r="AE62" i="21"/>
  <c r="AQ62" i="21" s="1"/>
  <c r="AE66" i="21"/>
  <c r="AQ66" i="21" s="1"/>
  <c r="AE70" i="21"/>
  <c r="AQ70" i="21" s="1"/>
  <c r="AE74" i="21"/>
  <c r="AQ74" i="21" s="1"/>
  <c r="AE78" i="21"/>
  <c r="AQ78" i="21" s="1"/>
  <c r="AE82" i="21"/>
  <c r="AQ82" i="21" s="1"/>
  <c r="AE86" i="21"/>
  <c r="AQ86" i="21" s="1"/>
  <c r="AE90" i="21"/>
  <c r="AQ90" i="21" s="1"/>
  <c r="AE94" i="21"/>
  <c r="AQ94" i="21" s="1"/>
  <c r="AE98" i="21"/>
  <c r="AQ98" i="21" s="1"/>
  <c r="AE102" i="21"/>
  <c r="AQ102" i="21" s="1"/>
  <c r="AG15" i="21"/>
  <c r="AS15" i="21" s="1"/>
  <c r="AG19" i="21"/>
  <c r="AS19" i="21" s="1"/>
  <c r="AG23" i="21"/>
  <c r="AS23" i="21" s="1"/>
  <c r="AG27" i="21"/>
  <c r="AS27" i="21" s="1"/>
  <c r="AG31" i="21"/>
  <c r="AS31" i="21" s="1"/>
  <c r="AG35" i="21"/>
  <c r="AS35" i="21" s="1"/>
  <c r="AG39" i="21"/>
  <c r="AS39" i="21" s="1"/>
  <c r="AG43" i="21"/>
  <c r="AS43" i="21" s="1"/>
  <c r="AG47" i="21"/>
  <c r="AS47" i="21" s="1"/>
  <c r="AG51" i="21"/>
  <c r="AS51" i="21" s="1"/>
  <c r="AG55" i="21"/>
  <c r="AS55" i="21" s="1"/>
  <c r="AG59" i="21"/>
  <c r="AS59" i="21" s="1"/>
  <c r="AG63" i="21"/>
  <c r="AS63" i="21" s="1"/>
  <c r="AG67" i="21"/>
  <c r="AS67" i="21" s="1"/>
  <c r="AG71" i="21"/>
  <c r="AS71" i="21" s="1"/>
  <c r="AG75" i="21"/>
  <c r="AS75" i="21" s="1"/>
  <c r="AG79" i="21"/>
  <c r="AS79" i="21" s="1"/>
  <c r="AG83" i="21"/>
  <c r="AS83" i="21" s="1"/>
  <c r="AG87" i="21"/>
  <c r="AS87" i="21" s="1"/>
  <c r="AG91" i="21"/>
  <c r="AS91" i="21" s="1"/>
  <c r="AG95" i="21"/>
  <c r="AS95" i="21" s="1"/>
  <c r="AG99" i="21"/>
  <c r="AS99" i="21" s="1"/>
  <c r="AG103" i="21"/>
  <c r="AS103" i="21" s="1"/>
  <c r="AG107" i="21"/>
  <c r="AS107" i="21" s="1"/>
  <c r="AG111" i="21"/>
  <c r="AS111" i="21" s="1"/>
  <c r="AG115" i="21"/>
  <c r="AS115" i="21" s="1"/>
  <c r="AG119" i="21"/>
  <c r="AS119" i="21" s="1"/>
  <c r="AG123" i="21"/>
  <c r="AS123" i="21" s="1"/>
  <c r="AG127" i="21"/>
  <c r="AS127" i="21" s="1"/>
  <c r="AG131" i="21"/>
  <c r="AS131" i="21" s="1"/>
  <c r="AG135" i="21"/>
  <c r="AS135" i="21" s="1"/>
  <c r="AG139" i="21"/>
  <c r="AS139" i="21" s="1"/>
  <c r="AF17" i="21"/>
  <c r="AR17" i="21" s="1"/>
  <c r="AF21" i="21"/>
  <c r="AR21" i="21" s="1"/>
  <c r="AF25" i="21"/>
  <c r="AR25" i="21" s="1"/>
  <c r="AF29" i="21"/>
  <c r="AR29" i="21" s="1"/>
  <c r="AF33" i="21"/>
  <c r="AR33" i="21" s="1"/>
  <c r="AF37" i="21"/>
  <c r="AR37" i="21" s="1"/>
  <c r="AF41" i="21"/>
  <c r="AR41" i="21" s="1"/>
  <c r="AF45" i="21"/>
  <c r="AR45" i="21" s="1"/>
  <c r="AF49" i="21"/>
  <c r="AR49" i="21" s="1"/>
  <c r="AF53" i="21"/>
  <c r="AR53" i="21" s="1"/>
  <c r="AF57" i="21"/>
  <c r="AR57" i="21" s="1"/>
  <c r="AF61" i="21"/>
  <c r="AR61" i="21" s="1"/>
  <c r="AF65" i="21"/>
  <c r="AR65" i="21" s="1"/>
  <c r="AF69" i="21"/>
  <c r="AR69" i="21" s="1"/>
  <c r="AF73" i="21"/>
  <c r="AR73" i="21" s="1"/>
  <c r="AF77" i="21"/>
  <c r="AR77" i="21" s="1"/>
  <c r="AF81" i="21"/>
  <c r="AR81" i="21" s="1"/>
  <c r="AF85" i="21"/>
  <c r="AR85" i="21" s="1"/>
  <c r="AF89" i="21"/>
  <c r="AR89" i="21" s="1"/>
  <c r="AF93" i="21"/>
  <c r="AR93" i="21" s="1"/>
  <c r="AF97" i="21"/>
  <c r="AR97" i="21" s="1"/>
  <c r="AF101" i="21"/>
  <c r="AR101" i="21" s="1"/>
  <c r="AF105" i="21"/>
  <c r="AR105" i="21" s="1"/>
  <c r="AF109" i="21"/>
  <c r="AR109" i="21" s="1"/>
  <c r="AF113" i="21"/>
  <c r="AR113" i="21" s="1"/>
  <c r="AF117" i="21"/>
  <c r="AR117" i="21" s="1"/>
  <c r="AF121" i="21"/>
  <c r="AR121" i="21" s="1"/>
  <c r="AF125" i="21"/>
  <c r="AR125" i="21" s="1"/>
  <c r="AF129" i="21"/>
  <c r="AR129" i="21" s="1"/>
  <c r="AG21" i="21"/>
  <c r="AS21" i="21" s="1"/>
  <c r="AG29" i="21"/>
  <c r="AS29" i="21" s="1"/>
  <c r="AG37" i="21"/>
  <c r="AS37" i="21" s="1"/>
  <c r="AG45" i="21"/>
  <c r="AS45" i="21" s="1"/>
  <c r="AG53" i="21"/>
  <c r="AS53" i="21" s="1"/>
  <c r="AG61" i="21"/>
  <c r="AS61" i="21" s="1"/>
  <c r="AG69" i="21"/>
  <c r="AS69" i="21" s="1"/>
  <c r="AG77" i="21"/>
  <c r="AS77" i="21" s="1"/>
  <c r="AG85" i="21"/>
  <c r="AS85" i="21" s="1"/>
  <c r="AG93" i="21"/>
  <c r="AS93" i="21" s="1"/>
  <c r="AG101" i="21"/>
  <c r="AS101" i="21" s="1"/>
  <c r="AG109" i="21"/>
  <c r="AS109" i="21" s="1"/>
  <c r="AG117" i="21"/>
  <c r="AS117" i="21" s="1"/>
  <c r="AG125" i="21"/>
  <c r="AS125" i="21" s="1"/>
  <c r="AG133" i="21"/>
  <c r="AS133" i="21" s="1"/>
  <c r="AF15" i="21"/>
  <c r="AR15" i="21" s="1"/>
  <c r="AF23" i="21"/>
  <c r="AR23" i="21" s="1"/>
  <c r="AF31" i="21"/>
  <c r="AR31" i="21" s="1"/>
  <c r="AF39" i="21"/>
  <c r="AR39" i="21" s="1"/>
  <c r="AF47" i="21"/>
  <c r="AR47" i="21" s="1"/>
  <c r="AF55" i="21"/>
  <c r="AR55" i="21" s="1"/>
  <c r="AF63" i="21"/>
  <c r="AR63" i="21" s="1"/>
  <c r="AF71" i="21"/>
  <c r="AR71" i="21" s="1"/>
  <c r="AF79" i="21"/>
  <c r="AR79" i="21" s="1"/>
  <c r="AF87" i="21"/>
  <c r="AR87" i="21" s="1"/>
  <c r="AF95" i="21"/>
  <c r="AR95" i="21" s="1"/>
  <c r="AF103" i="21"/>
  <c r="AR103" i="21" s="1"/>
  <c r="AF111" i="21"/>
  <c r="AR111" i="21" s="1"/>
  <c r="AF119" i="21"/>
  <c r="AR119" i="21" s="1"/>
  <c r="AF127" i="21"/>
  <c r="AR127" i="21" s="1"/>
  <c r="AF134" i="21"/>
  <c r="AR134" i="21" s="1"/>
  <c r="AF139" i="21"/>
  <c r="AR139" i="21" s="1"/>
  <c r="AE19" i="21"/>
  <c r="AQ19" i="21" s="1"/>
  <c r="AE24" i="21"/>
  <c r="AQ24" i="21" s="1"/>
  <c r="AE29" i="21"/>
  <c r="AQ29" i="21" s="1"/>
  <c r="AE35" i="21"/>
  <c r="AQ35" i="21" s="1"/>
  <c r="AE40" i="21"/>
  <c r="AQ40" i="21" s="1"/>
  <c r="AE45" i="21"/>
  <c r="AQ45" i="21" s="1"/>
  <c r="AE51" i="21"/>
  <c r="AQ51" i="21" s="1"/>
  <c r="AE56" i="21"/>
  <c r="AQ56" i="21" s="1"/>
  <c r="AE61" i="21"/>
  <c r="AQ61" i="21" s="1"/>
  <c r="AE67" i="21"/>
  <c r="AQ67" i="21" s="1"/>
  <c r="AE72" i="21"/>
  <c r="AQ72" i="21" s="1"/>
  <c r="AE77" i="21"/>
  <c r="AQ77" i="21" s="1"/>
  <c r="AE83" i="21"/>
  <c r="AQ83" i="21" s="1"/>
  <c r="AE88" i="21"/>
  <c r="AQ88" i="21" s="1"/>
  <c r="AE93" i="21"/>
  <c r="AQ93" i="21" s="1"/>
  <c r="AE99" i="21"/>
  <c r="AQ99" i="21" s="1"/>
  <c r="AE104" i="21"/>
  <c r="AQ104" i="21" s="1"/>
  <c r="AE108" i="21"/>
  <c r="AQ108" i="21" s="1"/>
  <c r="AE112" i="21"/>
  <c r="AQ112" i="21" s="1"/>
  <c r="AE116" i="21"/>
  <c r="AQ116" i="21" s="1"/>
  <c r="AE120" i="21"/>
  <c r="AQ120" i="21" s="1"/>
  <c r="AE124" i="21"/>
  <c r="AQ124" i="21" s="1"/>
  <c r="AE128" i="21"/>
  <c r="AQ128" i="21" s="1"/>
  <c r="AE132" i="21"/>
  <c r="AQ132" i="21" s="1"/>
  <c r="AE136" i="21"/>
  <c r="AQ136" i="21" s="1"/>
  <c r="AE14" i="21"/>
  <c r="AQ14" i="21" s="1"/>
  <c r="AD18" i="21"/>
  <c r="AP18" i="21" s="1"/>
  <c r="AD22" i="21"/>
  <c r="AP22" i="21" s="1"/>
  <c r="AD26" i="21"/>
  <c r="AP26" i="21" s="1"/>
  <c r="AD30" i="21"/>
  <c r="AP30" i="21" s="1"/>
  <c r="AD34" i="21"/>
  <c r="AP34" i="21" s="1"/>
  <c r="AD38" i="21"/>
  <c r="AP38" i="21" s="1"/>
  <c r="AD42" i="21"/>
  <c r="AP42" i="21" s="1"/>
  <c r="AD46" i="21"/>
  <c r="AP46" i="21" s="1"/>
  <c r="AD50" i="21"/>
  <c r="AP50" i="21" s="1"/>
  <c r="AD54" i="21"/>
  <c r="AP54" i="21" s="1"/>
  <c r="AD58" i="21"/>
  <c r="AP58" i="21" s="1"/>
  <c r="AD62" i="21"/>
  <c r="AP62" i="21" s="1"/>
  <c r="AD66" i="21"/>
  <c r="AP66" i="21" s="1"/>
  <c r="AD70" i="21"/>
  <c r="AP70" i="21" s="1"/>
  <c r="AD74" i="21"/>
  <c r="AP74" i="21" s="1"/>
  <c r="AD78" i="21"/>
  <c r="AP78" i="21" s="1"/>
  <c r="AD82" i="21"/>
  <c r="AP82" i="21" s="1"/>
  <c r="AD86" i="21"/>
  <c r="AP86" i="21" s="1"/>
  <c r="AD90" i="21"/>
  <c r="AP90" i="21" s="1"/>
  <c r="AD94" i="21"/>
  <c r="AP94" i="21" s="1"/>
  <c r="AD98" i="21"/>
  <c r="AP98" i="21" s="1"/>
  <c r="AD102" i="21"/>
  <c r="AP102" i="21" s="1"/>
  <c r="AD106" i="21"/>
  <c r="AP106" i="21" s="1"/>
  <c r="AD110" i="21"/>
  <c r="AP110" i="21" s="1"/>
  <c r="AD114" i="21"/>
  <c r="AP114" i="21" s="1"/>
  <c r="AD118" i="21"/>
  <c r="AP118" i="21" s="1"/>
  <c r="AD122" i="21"/>
  <c r="AP122" i="21" s="1"/>
  <c r="AD126" i="21"/>
  <c r="AP126" i="21" s="1"/>
  <c r="AD130" i="21"/>
  <c r="AP130" i="21" s="1"/>
  <c r="AD134" i="21"/>
  <c r="AP134" i="21" s="1"/>
  <c r="AD138" i="21"/>
  <c r="AP138" i="21" s="1"/>
  <c r="AC16" i="21"/>
  <c r="AO16" i="21" s="1"/>
  <c r="AC20" i="21"/>
  <c r="AO20" i="21" s="1"/>
  <c r="AC24" i="21"/>
  <c r="AO24" i="21" s="1"/>
  <c r="AC28" i="21"/>
  <c r="AO28" i="21" s="1"/>
  <c r="AC32" i="21"/>
  <c r="AO32" i="21" s="1"/>
  <c r="AC36" i="21"/>
  <c r="AO36" i="21" s="1"/>
  <c r="AC40" i="21"/>
  <c r="AO40" i="21" s="1"/>
  <c r="AC44" i="21"/>
  <c r="AO44" i="21" s="1"/>
  <c r="AC48" i="21"/>
  <c r="AO48" i="21" s="1"/>
  <c r="AC52" i="21"/>
  <c r="AO52" i="21" s="1"/>
  <c r="AC56" i="21"/>
  <c r="AO56" i="21" s="1"/>
  <c r="AC60" i="21"/>
  <c r="AO60" i="21" s="1"/>
  <c r="AC64" i="21"/>
  <c r="AO64" i="21" s="1"/>
  <c r="AC68" i="21"/>
  <c r="AO68" i="21" s="1"/>
  <c r="AC72" i="21"/>
  <c r="AO72" i="21" s="1"/>
  <c r="AC76" i="21"/>
  <c r="AO76" i="21" s="1"/>
  <c r="AC80" i="21"/>
  <c r="AO80" i="21" s="1"/>
  <c r="AC84" i="21"/>
  <c r="AO84" i="21" s="1"/>
  <c r="AC88" i="21"/>
  <c r="AO88" i="21" s="1"/>
  <c r="AC92" i="21"/>
  <c r="AO92" i="21" s="1"/>
  <c r="AC96" i="21"/>
  <c r="AO96" i="21" s="1"/>
  <c r="AC100" i="21"/>
  <c r="AO100" i="21" s="1"/>
  <c r="AC104" i="21"/>
  <c r="AO104" i="21" s="1"/>
  <c r="AC108" i="21"/>
  <c r="AO108" i="21" s="1"/>
  <c r="AC112" i="21"/>
  <c r="AO112" i="21" s="1"/>
  <c r="AC116" i="21"/>
  <c r="AO116" i="21" s="1"/>
  <c r="AC120" i="21"/>
  <c r="AO120" i="21" s="1"/>
  <c r="AC124" i="21"/>
  <c r="AO124" i="21" s="1"/>
  <c r="AC128" i="21"/>
  <c r="AO128" i="21" s="1"/>
  <c r="AC132" i="21"/>
  <c r="AO132" i="21" s="1"/>
  <c r="AC136" i="21"/>
  <c r="AO136" i="21" s="1"/>
  <c r="AC14" i="21"/>
  <c r="AO14" i="21" s="1"/>
  <c r="AG16" i="21"/>
  <c r="AS16" i="21" s="1"/>
  <c r="AG24" i="21"/>
  <c r="AS24" i="21" s="1"/>
  <c r="AG32" i="21"/>
  <c r="AS32" i="21" s="1"/>
  <c r="AG40" i="21"/>
  <c r="AS40" i="21" s="1"/>
  <c r="AG48" i="21"/>
  <c r="AS48" i="21" s="1"/>
  <c r="AG56" i="21"/>
  <c r="AS56" i="21" s="1"/>
  <c r="AG64" i="21"/>
  <c r="AS64" i="21" s="1"/>
  <c r="AG72" i="21"/>
  <c r="AS72" i="21" s="1"/>
  <c r="AG80" i="21"/>
  <c r="AS80" i="21" s="1"/>
  <c r="AG88" i="21"/>
  <c r="AS88" i="21" s="1"/>
  <c r="AG96" i="21"/>
  <c r="AS96" i="21" s="1"/>
  <c r="AG104" i="21"/>
  <c r="AS104" i="21" s="1"/>
  <c r="AG112" i="21"/>
  <c r="AS112" i="21" s="1"/>
  <c r="AG120" i="21"/>
  <c r="AS120" i="21" s="1"/>
  <c r="AG128" i="21"/>
  <c r="AS128" i="21" s="1"/>
  <c r="AG136" i="21"/>
  <c r="AS136" i="21" s="1"/>
  <c r="AF18" i="21"/>
  <c r="AR18" i="21" s="1"/>
  <c r="AF26" i="21"/>
  <c r="AR26" i="21" s="1"/>
  <c r="AF34" i="21"/>
  <c r="AR34" i="21" s="1"/>
  <c r="AF42" i="21"/>
  <c r="AR42" i="21" s="1"/>
  <c r="AF50" i="21"/>
  <c r="AR50" i="21" s="1"/>
  <c r="AF58" i="21"/>
  <c r="AR58" i="21" s="1"/>
  <c r="AF66" i="21"/>
  <c r="AR66" i="21" s="1"/>
  <c r="AF74" i="21"/>
  <c r="AR74" i="21" s="1"/>
  <c r="AF82" i="21"/>
  <c r="AR82" i="21" s="1"/>
  <c r="AF90" i="21"/>
  <c r="AR90" i="21" s="1"/>
  <c r="AF98" i="21"/>
  <c r="AR98" i="21" s="1"/>
  <c r="AF106" i="21"/>
  <c r="AR106" i="21" s="1"/>
  <c r="AF114" i="21"/>
  <c r="AR114" i="21" s="1"/>
  <c r="AF122" i="21"/>
  <c r="AR122" i="21" s="1"/>
  <c r="AF130" i="21"/>
  <c r="AR130" i="21" s="1"/>
  <c r="AF135" i="21"/>
  <c r="AR135" i="21" s="1"/>
  <c r="AE15" i="21"/>
  <c r="AQ15" i="21" s="1"/>
  <c r="AE20" i="21"/>
  <c r="AQ20" i="21" s="1"/>
  <c r="AE25" i="21"/>
  <c r="AQ25" i="21" s="1"/>
  <c r="AE31" i="21"/>
  <c r="AQ31" i="21" s="1"/>
  <c r="AE36" i="21"/>
  <c r="AQ36" i="21" s="1"/>
  <c r="AE41" i="21"/>
  <c r="AQ41" i="21" s="1"/>
  <c r="AE47" i="21"/>
  <c r="AQ47" i="21" s="1"/>
  <c r="AE52" i="21"/>
  <c r="AQ52" i="21" s="1"/>
  <c r="AE57" i="21"/>
  <c r="AQ57" i="21" s="1"/>
  <c r="AE63" i="21"/>
  <c r="AQ63" i="21" s="1"/>
  <c r="AE68" i="21"/>
  <c r="AQ68" i="21" s="1"/>
  <c r="AE73" i="21"/>
  <c r="AQ73" i="21" s="1"/>
  <c r="AE79" i="21"/>
  <c r="AQ79" i="21" s="1"/>
  <c r="AE84" i="21"/>
  <c r="AQ84" i="21" s="1"/>
  <c r="AE89" i="21"/>
  <c r="AQ89" i="21" s="1"/>
  <c r="AE95" i="21"/>
  <c r="AQ95" i="21" s="1"/>
  <c r="AE100" i="21"/>
  <c r="AQ100" i="21" s="1"/>
  <c r="AE105" i="21"/>
  <c r="AQ105" i="21" s="1"/>
  <c r="AE109" i="21"/>
  <c r="AQ109" i="21" s="1"/>
  <c r="AE113" i="21"/>
  <c r="AQ113" i="21" s="1"/>
  <c r="AE117" i="21"/>
  <c r="AQ117" i="21" s="1"/>
  <c r="AE121" i="21"/>
  <c r="AQ121" i="21" s="1"/>
  <c r="AE125" i="21"/>
  <c r="AQ125" i="21" s="1"/>
  <c r="AE129" i="21"/>
  <c r="AQ129" i="21" s="1"/>
  <c r="AE133" i="21"/>
  <c r="AQ133" i="21" s="1"/>
  <c r="AE137" i="21"/>
  <c r="AQ137" i="21" s="1"/>
  <c r="AD15" i="21"/>
  <c r="AP15" i="21" s="1"/>
  <c r="AD19" i="21"/>
  <c r="AP19" i="21" s="1"/>
  <c r="AD23" i="21"/>
  <c r="AP23" i="21" s="1"/>
  <c r="AD27" i="21"/>
  <c r="AP27" i="21" s="1"/>
  <c r="AD31" i="21"/>
  <c r="AP31" i="21" s="1"/>
  <c r="AD35" i="21"/>
  <c r="AP35" i="21" s="1"/>
  <c r="AD39" i="21"/>
  <c r="AP39" i="21" s="1"/>
  <c r="AD43" i="21"/>
  <c r="AP43" i="21" s="1"/>
  <c r="AD47" i="21"/>
  <c r="AP47" i="21" s="1"/>
  <c r="AD51" i="21"/>
  <c r="AP51" i="21" s="1"/>
  <c r="AD55" i="21"/>
  <c r="AP55" i="21" s="1"/>
  <c r="AD59" i="21"/>
  <c r="AP59" i="21" s="1"/>
  <c r="AD63" i="21"/>
  <c r="AP63" i="21" s="1"/>
  <c r="AD67" i="21"/>
  <c r="AP67" i="21" s="1"/>
  <c r="AD71" i="21"/>
  <c r="AP71" i="21" s="1"/>
  <c r="AD75" i="21"/>
  <c r="AP75" i="21" s="1"/>
  <c r="AD79" i="21"/>
  <c r="AP79" i="21" s="1"/>
  <c r="AD83" i="21"/>
  <c r="AP83" i="21" s="1"/>
  <c r="AD87" i="21"/>
  <c r="AP87" i="21" s="1"/>
  <c r="AD91" i="21"/>
  <c r="AP91" i="21" s="1"/>
  <c r="AD95" i="21"/>
  <c r="AP95" i="21" s="1"/>
  <c r="AD99" i="21"/>
  <c r="AP99" i="21" s="1"/>
  <c r="AD103" i="21"/>
  <c r="AP103" i="21" s="1"/>
  <c r="AD107" i="21"/>
  <c r="AP107" i="21" s="1"/>
  <c r="AD111" i="21"/>
  <c r="AP111" i="21" s="1"/>
  <c r="AD115" i="21"/>
  <c r="AP115" i="21" s="1"/>
  <c r="AD119" i="21"/>
  <c r="AP119" i="21" s="1"/>
  <c r="AG28" i="21"/>
  <c r="AS28" i="21" s="1"/>
  <c r="AG44" i="21"/>
  <c r="AS44" i="21" s="1"/>
  <c r="AG60" i="21"/>
  <c r="AS60" i="21" s="1"/>
  <c r="AG76" i="21"/>
  <c r="AS76" i="21" s="1"/>
  <c r="AG92" i="21"/>
  <c r="AS92" i="21" s="1"/>
  <c r="AG108" i="21"/>
  <c r="AS108" i="21" s="1"/>
  <c r="AG124" i="21"/>
  <c r="AS124" i="21" s="1"/>
  <c r="AG14" i="21"/>
  <c r="AS14" i="21" s="1"/>
  <c r="AF30" i="21"/>
  <c r="AR30" i="21" s="1"/>
  <c r="AF46" i="21"/>
  <c r="AR46" i="21" s="1"/>
  <c r="AF62" i="21"/>
  <c r="AR62" i="21" s="1"/>
  <c r="AF78" i="21"/>
  <c r="AR78" i="21" s="1"/>
  <c r="AF94" i="21"/>
  <c r="AR94" i="21" s="1"/>
  <c r="AF110" i="21"/>
  <c r="AR110" i="21" s="1"/>
  <c r="AF126" i="21"/>
  <c r="AR126" i="21" s="1"/>
  <c r="AF138" i="21"/>
  <c r="AR138" i="21" s="1"/>
  <c r="AE23" i="21"/>
  <c r="AQ23" i="21" s="1"/>
  <c r="AE33" i="21"/>
  <c r="AQ33" i="21" s="1"/>
  <c r="AE44" i="21"/>
  <c r="AQ44" i="21" s="1"/>
  <c r="AE55" i="21"/>
  <c r="AQ55" i="21" s="1"/>
  <c r="AE65" i="21"/>
  <c r="AQ65" i="21" s="1"/>
  <c r="AE76" i="21"/>
  <c r="AQ76" i="21" s="1"/>
  <c r="AE87" i="21"/>
  <c r="AQ87" i="21" s="1"/>
  <c r="AE97" i="21"/>
  <c r="AQ97" i="21" s="1"/>
  <c r="AE107" i="21"/>
  <c r="AQ107" i="21" s="1"/>
  <c r="AE115" i="21"/>
  <c r="AQ115" i="21" s="1"/>
  <c r="AE123" i="21"/>
  <c r="AQ123" i="21" s="1"/>
  <c r="AE131" i="21"/>
  <c r="AQ131" i="21" s="1"/>
  <c r="AE139" i="21"/>
  <c r="AQ139" i="21" s="1"/>
  <c r="AD21" i="21"/>
  <c r="AP21" i="21" s="1"/>
  <c r="AD29" i="21"/>
  <c r="AP29" i="21" s="1"/>
  <c r="AD37" i="21"/>
  <c r="AP37" i="21" s="1"/>
  <c r="AD45" i="21"/>
  <c r="AP45" i="21" s="1"/>
  <c r="AD53" i="21"/>
  <c r="AP53" i="21" s="1"/>
  <c r="AD61" i="21"/>
  <c r="AP61" i="21" s="1"/>
  <c r="AD69" i="21"/>
  <c r="AP69" i="21" s="1"/>
  <c r="AD77" i="21"/>
  <c r="AP77" i="21" s="1"/>
  <c r="AD85" i="21"/>
  <c r="AP85" i="21" s="1"/>
  <c r="AD93" i="21"/>
  <c r="AP93" i="21" s="1"/>
  <c r="AD101" i="21"/>
  <c r="AP101" i="21" s="1"/>
  <c r="AD109" i="21"/>
  <c r="AP109" i="21" s="1"/>
  <c r="AD117" i="21"/>
  <c r="AP117" i="21" s="1"/>
  <c r="AD124" i="21"/>
  <c r="AP124" i="21" s="1"/>
  <c r="AD129" i="21"/>
  <c r="AP129" i="21" s="1"/>
  <c r="AD135" i="21"/>
  <c r="AP135" i="21" s="1"/>
  <c r="AD14" i="21"/>
  <c r="AP14" i="21" s="1"/>
  <c r="AC19" i="21"/>
  <c r="AO19" i="21" s="1"/>
  <c r="AC25" i="21"/>
  <c r="AO25" i="21" s="1"/>
  <c r="AC30" i="21"/>
  <c r="AO30" i="21" s="1"/>
  <c r="AC35" i="21"/>
  <c r="AO35" i="21" s="1"/>
  <c r="AC41" i="21"/>
  <c r="AO41" i="21" s="1"/>
  <c r="AC46" i="21"/>
  <c r="AO46" i="21" s="1"/>
  <c r="AC51" i="21"/>
  <c r="AO51" i="21" s="1"/>
  <c r="AC57" i="21"/>
  <c r="AO57" i="21" s="1"/>
  <c r="AC62" i="21"/>
  <c r="AO62" i="21" s="1"/>
  <c r="AC67" i="21"/>
  <c r="AO67" i="21" s="1"/>
  <c r="AC73" i="21"/>
  <c r="AO73" i="21" s="1"/>
  <c r="AC78" i="21"/>
  <c r="AO78" i="21" s="1"/>
  <c r="AC83" i="21"/>
  <c r="AO83" i="21" s="1"/>
  <c r="AC89" i="21"/>
  <c r="AO89" i="21" s="1"/>
  <c r="AC94" i="21"/>
  <c r="AO94" i="21" s="1"/>
  <c r="AC99" i="21"/>
  <c r="AO99" i="21" s="1"/>
  <c r="AC105" i="21"/>
  <c r="AO105" i="21" s="1"/>
  <c r="AC110" i="21"/>
  <c r="AO110" i="21" s="1"/>
  <c r="AC115" i="21"/>
  <c r="AO115" i="21" s="1"/>
  <c r="AC121" i="21"/>
  <c r="AO121" i="21" s="1"/>
  <c r="AC126" i="21"/>
  <c r="AO126" i="21" s="1"/>
  <c r="AC131" i="21"/>
  <c r="AO131" i="21" s="1"/>
  <c r="AC137" i="21"/>
  <c r="AO137" i="21" s="1"/>
  <c r="AG17" i="21"/>
  <c r="AS17" i="21" s="1"/>
  <c r="AG33" i="21"/>
  <c r="AS33" i="21" s="1"/>
  <c r="AG49" i="21"/>
  <c r="AS49" i="21" s="1"/>
  <c r="AG65" i="21"/>
  <c r="AS65" i="21" s="1"/>
  <c r="AG81" i="21"/>
  <c r="AS81" i="21" s="1"/>
  <c r="AG97" i="21"/>
  <c r="AS97" i="21" s="1"/>
  <c r="AG113" i="21"/>
  <c r="AS113" i="21" s="1"/>
  <c r="AG129" i="21"/>
  <c r="AS129" i="21" s="1"/>
  <c r="AF19" i="21"/>
  <c r="AR19" i="21" s="1"/>
  <c r="AF35" i="21"/>
  <c r="AR35" i="21" s="1"/>
  <c r="AF51" i="21"/>
  <c r="AR51" i="21" s="1"/>
  <c r="AF67" i="21"/>
  <c r="AR67" i="21" s="1"/>
  <c r="AF83" i="21"/>
  <c r="AR83" i="21" s="1"/>
  <c r="AF99" i="21"/>
  <c r="AR99" i="21" s="1"/>
  <c r="AF115" i="21"/>
  <c r="AR115" i="21" s="1"/>
  <c r="AF131" i="21"/>
  <c r="AR131" i="21" s="1"/>
  <c r="AE16" i="21"/>
  <c r="AQ16" i="21" s="1"/>
  <c r="AE27" i="21"/>
  <c r="AQ27" i="21" s="1"/>
  <c r="AE37" i="21"/>
  <c r="AQ37" i="21" s="1"/>
  <c r="AE48" i="21"/>
  <c r="AQ48" i="21" s="1"/>
  <c r="AE59" i="21"/>
  <c r="AQ59" i="21" s="1"/>
  <c r="AE69" i="21"/>
  <c r="AQ69" i="21" s="1"/>
  <c r="AE80" i="21"/>
  <c r="AQ80" i="21" s="1"/>
  <c r="AE91" i="21"/>
  <c r="AQ91" i="21" s="1"/>
  <c r="AE101" i="21"/>
  <c r="AQ101" i="21" s="1"/>
  <c r="AE110" i="21"/>
  <c r="AQ110" i="21" s="1"/>
  <c r="AE118" i="21"/>
  <c r="AQ118" i="21" s="1"/>
  <c r="AE126" i="21"/>
  <c r="AQ126" i="21" s="1"/>
  <c r="AE134" i="21"/>
  <c r="AQ134" i="21" s="1"/>
  <c r="AD16" i="21"/>
  <c r="AP16" i="21" s="1"/>
  <c r="AD24" i="21"/>
  <c r="AP24" i="21" s="1"/>
  <c r="AD32" i="21"/>
  <c r="AP32" i="21" s="1"/>
  <c r="AD40" i="21"/>
  <c r="AP40" i="21" s="1"/>
  <c r="AD48" i="21"/>
  <c r="AP48" i="21" s="1"/>
  <c r="AD56" i="21"/>
  <c r="AP56" i="21" s="1"/>
  <c r="AD64" i="21"/>
  <c r="AP64" i="21" s="1"/>
  <c r="AD72" i="21"/>
  <c r="AP72" i="21" s="1"/>
  <c r="AD80" i="21"/>
  <c r="AP80" i="21" s="1"/>
  <c r="AD88" i="21"/>
  <c r="AP88" i="21" s="1"/>
  <c r="AD96" i="21"/>
  <c r="AP96" i="21" s="1"/>
  <c r="AD104" i="21"/>
  <c r="AP104" i="21" s="1"/>
  <c r="AD112" i="21"/>
  <c r="AP112" i="21" s="1"/>
  <c r="AD120" i="21"/>
  <c r="AP120" i="21" s="1"/>
  <c r="AD125" i="21"/>
  <c r="AP125" i="21" s="1"/>
  <c r="AD131" i="21"/>
  <c r="AP131" i="21" s="1"/>
  <c r="AD136" i="21"/>
  <c r="AP136" i="21" s="1"/>
  <c r="AC15" i="21"/>
  <c r="AO15" i="21" s="1"/>
  <c r="AC21" i="21"/>
  <c r="AO21" i="21" s="1"/>
  <c r="AC26" i="21"/>
  <c r="AO26" i="21" s="1"/>
  <c r="AC31" i="21"/>
  <c r="AO31" i="21" s="1"/>
  <c r="AC37" i="21"/>
  <c r="AO37" i="21" s="1"/>
  <c r="AC42" i="21"/>
  <c r="AO42" i="21" s="1"/>
  <c r="AC47" i="21"/>
  <c r="AO47" i="21" s="1"/>
  <c r="AC53" i="21"/>
  <c r="AO53" i="21" s="1"/>
  <c r="AC58" i="21"/>
  <c r="AO58" i="21" s="1"/>
  <c r="AC63" i="21"/>
  <c r="AO63" i="21" s="1"/>
  <c r="AC69" i="21"/>
  <c r="AO69" i="21" s="1"/>
  <c r="AC74" i="21"/>
  <c r="AO74" i="21" s="1"/>
  <c r="AC79" i="21"/>
  <c r="AO79" i="21" s="1"/>
  <c r="AC85" i="21"/>
  <c r="AO85" i="21" s="1"/>
  <c r="AC90" i="21"/>
  <c r="AO90" i="21" s="1"/>
  <c r="AC95" i="21"/>
  <c r="AO95" i="21" s="1"/>
  <c r="AC101" i="21"/>
  <c r="AO101" i="21" s="1"/>
  <c r="AC106" i="21"/>
  <c r="AO106" i="21" s="1"/>
  <c r="AC111" i="21"/>
  <c r="AO111" i="21" s="1"/>
  <c r="AC117" i="21"/>
  <c r="AO117" i="21" s="1"/>
  <c r="AC122" i="21"/>
  <c r="AO122" i="21" s="1"/>
  <c r="AC127" i="21"/>
  <c r="AO127" i="21" s="1"/>
  <c r="AC133" i="21"/>
  <c r="AO133" i="21" s="1"/>
  <c r="AC138" i="21"/>
  <c r="AO138" i="21" s="1"/>
  <c r="AG20" i="21"/>
  <c r="AS20" i="21" s="1"/>
  <c r="AG36" i="21"/>
  <c r="AS36" i="21" s="1"/>
  <c r="AG52" i="21"/>
  <c r="AS52" i="21" s="1"/>
  <c r="AG68" i="21"/>
  <c r="AS68" i="21" s="1"/>
  <c r="AG84" i="21"/>
  <c r="AS84" i="21" s="1"/>
  <c r="AG100" i="21"/>
  <c r="AS100" i="21" s="1"/>
  <c r="AG116" i="21"/>
  <c r="AS116" i="21" s="1"/>
  <c r="AG132" i="21"/>
  <c r="AS132" i="21" s="1"/>
  <c r="AF22" i="21"/>
  <c r="AR22" i="21" s="1"/>
  <c r="AF38" i="21"/>
  <c r="AR38" i="21" s="1"/>
  <c r="AF54" i="21"/>
  <c r="AR54" i="21" s="1"/>
  <c r="AF70" i="21"/>
  <c r="AR70" i="21" s="1"/>
  <c r="AF86" i="21"/>
  <c r="AR86" i="21" s="1"/>
  <c r="AF102" i="21"/>
  <c r="AR102" i="21" s="1"/>
  <c r="AF118" i="21"/>
  <c r="AR118" i="21" s="1"/>
  <c r="AF133" i="21"/>
  <c r="AR133" i="21" s="1"/>
  <c r="AE17" i="21"/>
  <c r="AQ17" i="21" s="1"/>
  <c r="AE28" i="21"/>
  <c r="AQ28" i="21" s="1"/>
  <c r="AE39" i="21"/>
  <c r="AQ39" i="21" s="1"/>
  <c r="AE49" i="21"/>
  <c r="AQ49" i="21" s="1"/>
  <c r="AE60" i="21"/>
  <c r="AQ60" i="21" s="1"/>
  <c r="AE71" i="21"/>
  <c r="AQ71" i="21" s="1"/>
  <c r="AE81" i="21"/>
  <c r="AQ81" i="21" s="1"/>
  <c r="AE92" i="21"/>
  <c r="AQ92" i="21" s="1"/>
  <c r="AE103" i="21"/>
  <c r="AQ103" i="21" s="1"/>
  <c r="AE111" i="21"/>
  <c r="AQ111" i="21" s="1"/>
  <c r="AE119" i="21"/>
  <c r="AQ119" i="21" s="1"/>
  <c r="AE127" i="21"/>
  <c r="AQ127" i="21" s="1"/>
  <c r="AE135" i="21"/>
  <c r="AQ135" i="21" s="1"/>
  <c r="AD17" i="21"/>
  <c r="AP17" i="21" s="1"/>
  <c r="AD25" i="21"/>
  <c r="AP25" i="21" s="1"/>
  <c r="AD33" i="21"/>
  <c r="AP33" i="21" s="1"/>
  <c r="AD41" i="21"/>
  <c r="AP41" i="21" s="1"/>
  <c r="AD49" i="21"/>
  <c r="AP49" i="21" s="1"/>
  <c r="AD57" i="21"/>
  <c r="AP57" i="21" s="1"/>
  <c r="AD65" i="21"/>
  <c r="AP65" i="21" s="1"/>
  <c r="AD73" i="21"/>
  <c r="AP73" i="21" s="1"/>
  <c r="AD81" i="21"/>
  <c r="AP81" i="21" s="1"/>
  <c r="AD89" i="21"/>
  <c r="AP89" i="21" s="1"/>
  <c r="AD97" i="21"/>
  <c r="AP97" i="21" s="1"/>
  <c r="AD105" i="21"/>
  <c r="AP105" i="21" s="1"/>
  <c r="AD113" i="21"/>
  <c r="AP113" i="21" s="1"/>
  <c r="AD121" i="21"/>
  <c r="AP121" i="21" s="1"/>
  <c r="AD127" i="21"/>
  <c r="AP127" i="21" s="1"/>
  <c r="AD132" i="21"/>
  <c r="AP132" i="21" s="1"/>
  <c r="AD137" i="21"/>
  <c r="AP137" i="21" s="1"/>
  <c r="AC17" i="21"/>
  <c r="AO17" i="21" s="1"/>
  <c r="AC22" i="21"/>
  <c r="AO22" i="21" s="1"/>
  <c r="AC27" i="21"/>
  <c r="AO27" i="21" s="1"/>
  <c r="AC33" i="21"/>
  <c r="AO33" i="21" s="1"/>
  <c r="AC38" i="21"/>
  <c r="AO38" i="21" s="1"/>
  <c r="AC43" i="21"/>
  <c r="AO43" i="21" s="1"/>
  <c r="AC49" i="21"/>
  <c r="AO49" i="21" s="1"/>
  <c r="AC54" i="21"/>
  <c r="AO54" i="21" s="1"/>
  <c r="AC59" i="21"/>
  <c r="AO59" i="21" s="1"/>
  <c r="AC65" i="21"/>
  <c r="AO65" i="21" s="1"/>
  <c r="AC70" i="21"/>
  <c r="AO70" i="21" s="1"/>
  <c r="AC75" i="21"/>
  <c r="AO75" i="21" s="1"/>
  <c r="AC81" i="21"/>
  <c r="AO81" i="21" s="1"/>
  <c r="AC86" i="21"/>
  <c r="AO86" i="21" s="1"/>
  <c r="AC91" i="21"/>
  <c r="AO91" i="21" s="1"/>
  <c r="AC97" i="21"/>
  <c r="AO97" i="21" s="1"/>
  <c r="AC102" i="21"/>
  <c r="AO102" i="21" s="1"/>
  <c r="AC107" i="21"/>
  <c r="AO107" i="21" s="1"/>
  <c r="AC113" i="21"/>
  <c r="AO113" i="21" s="1"/>
  <c r="AC118" i="21"/>
  <c r="AO118" i="21" s="1"/>
  <c r="AC123" i="21"/>
  <c r="AO123" i="21" s="1"/>
  <c r="AC129" i="21"/>
  <c r="AO129" i="21" s="1"/>
  <c r="AC134" i="21"/>
  <c r="AO134" i="21" s="1"/>
  <c r="AC139" i="21"/>
  <c r="AO139" i="21" s="1"/>
  <c r="AG41" i="21"/>
  <c r="AS41" i="21" s="1"/>
  <c r="AG105" i="21"/>
  <c r="AS105" i="21" s="1"/>
  <c r="AF43" i="21"/>
  <c r="AR43" i="21" s="1"/>
  <c r="AF107" i="21"/>
  <c r="AR107" i="21" s="1"/>
  <c r="AE32" i="21"/>
  <c r="AQ32" i="21" s="1"/>
  <c r="AE75" i="21"/>
  <c r="AQ75" i="21" s="1"/>
  <c r="AE114" i="21"/>
  <c r="AQ114" i="21" s="1"/>
  <c r="AD20" i="21"/>
  <c r="AP20" i="21" s="1"/>
  <c r="AD52" i="21"/>
  <c r="AP52" i="21" s="1"/>
  <c r="AD84" i="21"/>
  <c r="AP84" i="21" s="1"/>
  <c r="AD116" i="21"/>
  <c r="AP116" i="21" s="1"/>
  <c r="AD139" i="21"/>
  <c r="AP139" i="21" s="1"/>
  <c r="AC34" i="21"/>
  <c r="AO34" i="21" s="1"/>
  <c r="AC55" i="21"/>
  <c r="AO55" i="21" s="1"/>
  <c r="AC77" i="21"/>
  <c r="AO77" i="21" s="1"/>
  <c r="AC98" i="21"/>
  <c r="AO98" i="21" s="1"/>
  <c r="AC119" i="21"/>
  <c r="AO119" i="21" s="1"/>
  <c r="AD9" i="21"/>
  <c r="AE10" i="21"/>
  <c r="AF75" i="21"/>
  <c r="AR75" i="21" s="1"/>
  <c r="AE53" i="21"/>
  <c r="AQ53" i="21" s="1"/>
  <c r="AD36" i="21"/>
  <c r="AP36" i="21" s="1"/>
  <c r="AD100" i="21"/>
  <c r="AP100" i="21" s="1"/>
  <c r="AC23" i="21"/>
  <c r="AO23" i="21" s="1"/>
  <c r="AC66" i="21"/>
  <c r="AO66" i="21" s="1"/>
  <c r="AC109" i="21"/>
  <c r="AO109" i="21" s="1"/>
  <c r="AG10" i="21"/>
  <c r="AD44" i="21"/>
  <c r="AP44" i="21" s="1"/>
  <c r="AC114" i="21"/>
  <c r="AO114" i="21" s="1"/>
  <c r="AE9" i="21"/>
  <c r="AG57" i="21"/>
  <c r="AS57" i="21" s="1"/>
  <c r="AG121" i="21"/>
  <c r="AS121" i="21" s="1"/>
  <c r="AF59" i="21"/>
  <c r="AR59" i="21" s="1"/>
  <c r="AF123" i="21"/>
  <c r="AR123" i="21" s="1"/>
  <c r="AE43" i="21"/>
  <c r="AQ43" i="21" s="1"/>
  <c r="AE85" i="21"/>
  <c r="AQ85" i="21" s="1"/>
  <c r="AE122" i="21"/>
  <c r="AQ122" i="21" s="1"/>
  <c r="AD28" i="21"/>
  <c r="AP28" i="21" s="1"/>
  <c r="AD60" i="21"/>
  <c r="AP60" i="21" s="1"/>
  <c r="AD92" i="21"/>
  <c r="AP92" i="21" s="1"/>
  <c r="AD123" i="21"/>
  <c r="AP123" i="21" s="1"/>
  <c r="AC18" i="21"/>
  <c r="AO18" i="21" s="1"/>
  <c r="AC39" i="21"/>
  <c r="AO39" i="21" s="1"/>
  <c r="AC61" i="21"/>
  <c r="AO61" i="21" s="1"/>
  <c r="AC82" i="21"/>
  <c r="AO82" i="21" s="1"/>
  <c r="AC103" i="21"/>
  <c r="AO103" i="21" s="1"/>
  <c r="AC125" i="21"/>
  <c r="AO125" i="21" s="1"/>
  <c r="AG9" i="21"/>
  <c r="AC9" i="21"/>
  <c r="AD10" i="21"/>
  <c r="AG73" i="21"/>
  <c r="AS73" i="21" s="1"/>
  <c r="AG137" i="21"/>
  <c r="AS137" i="21" s="1"/>
  <c r="AF137" i="21"/>
  <c r="AR137" i="21" s="1"/>
  <c r="AE96" i="21"/>
  <c r="AQ96" i="21" s="1"/>
  <c r="AE130" i="21"/>
  <c r="AQ130" i="21" s="1"/>
  <c r="AD68" i="21"/>
  <c r="AP68" i="21" s="1"/>
  <c r="AD128" i="21"/>
  <c r="AP128" i="21" s="1"/>
  <c r="AC45" i="21"/>
  <c r="AO45" i="21" s="1"/>
  <c r="AC87" i="21"/>
  <c r="AO87" i="21" s="1"/>
  <c r="AC130" i="21"/>
  <c r="AO130" i="21" s="1"/>
  <c r="AF9" i="21"/>
  <c r="AC10" i="21"/>
  <c r="AG25" i="21"/>
  <c r="AS25" i="21" s="1"/>
  <c r="AG89" i="21"/>
  <c r="AS89" i="21" s="1"/>
  <c r="AF27" i="21"/>
  <c r="AR27" i="21" s="1"/>
  <c r="AF91" i="21"/>
  <c r="AR91" i="21" s="1"/>
  <c r="AE21" i="21"/>
  <c r="AQ21" i="21" s="1"/>
  <c r="AE64" i="21"/>
  <c r="AQ64" i="21" s="1"/>
  <c r="AE106" i="21"/>
  <c r="AQ106" i="21" s="1"/>
  <c r="AE138" i="21"/>
  <c r="AQ138" i="21" s="1"/>
  <c r="AD76" i="21"/>
  <c r="AP76" i="21" s="1"/>
  <c r="AD108" i="21"/>
  <c r="AP108" i="21" s="1"/>
  <c r="AD133" i="21"/>
  <c r="AP133" i="21" s="1"/>
  <c r="AC29" i="21"/>
  <c r="AO29" i="21" s="1"/>
  <c r="AC50" i="21"/>
  <c r="AO50" i="21" s="1"/>
  <c r="AC71" i="21"/>
  <c r="AO71" i="21" s="1"/>
  <c r="AC93" i="21"/>
  <c r="AO93" i="21" s="1"/>
  <c r="AC135" i="21"/>
  <c r="AO135" i="21" s="1"/>
  <c r="AF10" i="21"/>
  <c r="AB30" i="21"/>
  <c r="AN30" i="21" s="1"/>
  <c r="U11" i="21"/>
  <c r="Z16" i="21"/>
  <c r="AL16" i="21" s="1"/>
  <c r="Y21" i="21"/>
  <c r="AK21" i="21" s="1"/>
  <c r="W23" i="21"/>
  <c r="AI23" i="21" s="1"/>
  <c r="X26" i="21"/>
  <c r="AJ26" i="21" s="1"/>
  <c r="Y29" i="21"/>
  <c r="AK29" i="21" s="1"/>
  <c r="V10" i="21"/>
  <c r="AA15" i="21"/>
  <c r="AM15" i="21" s="1"/>
  <c r="AB18" i="21"/>
  <c r="AN18" i="21" s="1"/>
  <c r="V20" i="21"/>
  <c r="AH20" i="21" s="1"/>
  <c r="AA23" i="21"/>
  <c r="AM23" i="21" s="1"/>
  <c r="AB26" i="21"/>
  <c r="AN26" i="21" s="1"/>
  <c r="V28" i="21"/>
  <c r="AH28" i="21" s="1"/>
  <c r="V9" i="21"/>
  <c r="Z10" i="21"/>
  <c r="X14" i="21"/>
  <c r="AJ14" i="21" s="1"/>
  <c r="AJ140" i="21" s="1"/>
  <c r="Y17" i="21"/>
  <c r="AK17" i="21" s="1"/>
  <c r="W19" i="21"/>
  <c r="AI19" i="21" s="1"/>
  <c r="Z20" i="21"/>
  <c r="AL20" i="21" s="1"/>
  <c r="X22" i="21"/>
  <c r="AJ22" i="21" s="1"/>
  <c r="W27" i="21"/>
  <c r="AI27" i="21" s="1"/>
  <c r="Z28" i="21"/>
  <c r="AL28" i="21" s="1"/>
  <c r="X30" i="21"/>
  <c r="AJ30" i="21" s="1"/>
  <c r="Z9" i="21"/>
  <c r="AB14" i="21"/>
  <c r="AN14" i="21" s="1"/>
  <c r="AN140" i="21" s="1"/>
  <c r="V16" i="21"/>
  <c r="AH16" i="21" s="1"/>
  <c r="AA19" i="21"/>
  <c r="AM19" i="21" s="1"/>
  <c r="AB22" i="21"/>
  <c r="AN22" i="21" s="1"/>
  <c r="V24" i="21"/>
  <c r="AH24" i="21" s="1"/>
  <c r="AA27" i="21"/>
  <c r="AM27" i="21" s="1"/>
  <c r="AA10" i="21"/>
  <c r="AA9" i="21"/>
  <c r="AA139" i="21"/>
  <c r="AM139" i="21" s="1"/>
  <c r="W127" i="21"/>
  <c r="AI127" i="21" s="1"/>
  <c r="W119" i="21"/>
  <c r="AI119" i="21" s="1"/>
  <c r="V108" i="21"/>
  <c r="AH108" i="21" s="1"/>
  <c r="AA103" i="21"/>
  <c r="AM103" i="21" s="1"/>
  <c r="W97" i="21"/>
  <c r="AI97" i="21" s="1"/>
  <c r="W94" i="21"/>
  <c r="AI94" i="21" s="1"/>
  <c r="W89" i="21"/>
  <c r="AI89" i="21" s="1"/>
  <c r="Y84" i="21"/>
  <c r="AK84" i="21" s="1"/>
  <c r="W78" i="21"/>
  <c r="AI78" i="21" s="1"/>
  <c r="W73" i="21"/>
  <c r="AI73" i="21" s="1"/>
  <c r="W70" i="21"/>
  <c r="AI70" i="21" s="1"/>
  <c r="X64" i="21"/>
  <c r="AJ64" i="21" s="1"/>
  <c r="AA61" i="21"/>
  <c r="AM61" i="21" s="1"/>
  <c r="AB59" i="21"/>
  <c r="AN59" i="21" s="1"/>
  <c r="AA57" i="21"/>
  <c r="AM57" i="21" s="1"/>
  <c r="AB55" i="21"/>
  <c r="AN55" i="21" s="1"/>
  <c r="V54" i="21"/>
  <c r="AH54" i="21" s="1"/>
  <c r="AB51" i="21"/>
  <c r="AN51" i="21" s="1"/>
  <c r="V50" i="21"/>
  <c r="AH50" i="21" s="1"/>
  <c r="X48" i="21"/>
  <c r="AJ48" i="21" s="1"/>
  <c r="AA45" i="21"/>
  <c r="AM45" i="21" s="1"/>
  <c r="AB43" i="21"/>
  <c r="AN43" i="21" s="1"/>
  <c r="AA41" i="21"/>
  <c r="AM41" i="21" s="1"/>
  <c r="AA40" i="21"/>
  <c r="AM40" i="21" s="1"/>
  <c r="AA39" i="21"/>
  <c r="AM39" i="21" s="1"/>
  <c r="AB38" i="21"/>
  <c r="AN38" i="21" s="1"/>
  <c r="Z36" i="21"/>
  <c r="AL36" i="21" s="1"/>
  <c r="W35" i="21"/>
  <c r="AI35" i="21" s="1"/>
  <c r="AB34" i="21"/>
  <c r="AN34" i="21" s="1"/>
  <c r="Z32" i="21"/>
  <c r="AL32" i="21" s="1"/>
  <c r="AA31" i="21"/>
  <c r="AM31" i="21" s="1"/>
  <c r="W10" i="21"/>
  <c r="W9" i="21"/>
  <c r="X138" i="21"/>
  <c r="AJ138" i="21" s="1"/>
  <c r="Z120" i="21"/>
  <c r="AL120" i="21" s="1"/>
  <c r="AB113" i="21"/>
  <c r="AN113" i="21" s="1"/>
  <c r="AA102" i="21"/>
  <c r="AM102" i="21" s="1"/>
  <c r="Y100" i="21"/>
  <c r="AK100" i="21" s="1"/>
  <c r="Y92" i="21"/>
  <c r="AK92" i="21" s="1"/>
  <c r="W86" i="21"/>
  <c r="AI86" i="21" s="1"/>
  <c r="W81" i="21"/>
  <c r="AI81" i="21" s="1"/>
  <c r="Y76" i="21"/>
  <c r="AK76" i="21" s="1"/>
  <c r="Y68" i="21"/>
  <c r="AK68" i="21" s="1"/>
  <c r="AB65" i="21"/>
  <c r="AN65" i="21" s="1"/>
  <c r="AB63" i="21"/>
  <c r="AN63" i="21" s="1"/>
  <c r="V62" i="21"/>
  <c r="AH62" i="21" s="1"/>
  <c r="X60" i="21"/>
  <c r="AJ60" i="21" s="1"/>
  <c r="V58" i="21"/>
  <c r="AH58" i="21" s="1"/>
  <c r="X56" i="21"/>
  <c r="AJ56" i="21" s="1"/>
  <c r="AA53" i="21"/>
  <c r="AM53" i="21" s="1"/>
  <c r="X52" i="21"/>
  <c r="AJ52" i="21" s="1"/>
  <c r="AA49" i="21"/>
  <c r="AM49" i="21" s="1"/>
  <c r="AB47" i="21"/>
  <c r="AN47" i="21" s="1"/>
  <c r="V46" i="21"/>
  <c r="AH46" i="21" s="1"/>
  <c r="X44" i="21"/>
  <c r="AJ44" i="21" s="1"/>
  <c r="V42" i="21"/>
  <c r="AH42" i="21" s="1"/>
  <c r="V40" i="21"/>
  <c r="AH40" i="21" s="1"/>
  <c r="W39" i="21"/>
  <c r="AI39" i="21" s="1"/>
  <c r="X38" i="21"/>
  <c r="AJ38" i="21" s="1"/>
  <c r="Y37" i="21"/>
  <c r="AK37" i="21" s="1"/>
  <c r="V36" i="21"/>
  <c r="AH36" i="21" s="1"/>
  <c r="AA35" i="21"/>
  <c r="AM35" i="21" s="1"/>
  <c r="X34" i="21"/>
  <c r="AJ34" i="21" s="1"/>
  <c r="Y33" i="21"/>
  <c r="AK33" i="21" s="1"/>
  <c r="V32" i="21"/>
  <c r="AH32" i="21" s="1"/>
  <c r="W31" i="21"/>
  <c r="AI31" i="21" s="1"/>
  <c r="W15" i="21"/>
  <c r="AI15" i="21" s="1"/>
  <c r="X18" i="21"/>
  <c r="AJ18" i="21" s="1"/>
  <c r="Z24" i="21"/>
  <c r="AL24" i="21" s="1"/>
  <c r="Y25" i="21"/>
  <c r="AK25" i="21" s="1"/>
  <c r="Z139" i="21"/>
  <c r="AL139" i="21" s="1"/>
  <c r="V139" i="21"/>
  <c r="AH139" i="21" s="1"/>
  <c r="AA138" i="21"/>
  <c r="AM138" i="21" s="1"/>
  <c r="W138" i="21"/>
  <c r="AI138" i="21" s="1"/>
  <c r="AB137" i="21"/>
  <c r="AN137" i="21" s="1"/>
  <c r="X137" i="21"/>
  <c r="AJ137" i="21" s="1"/>
  <c r="Y136" i="21"/>
  <c r="AK136" i="21" s="1"/>
  <c r="Z135" i="21"/>
  <c r="AL135" i="21" s="1"/>
  <c r="V135" i="21"/>
  <c r="AH135" i="21" s="1"/>
  <c r="AA134" i="21"/>
  <c r="AM134" i="21" s="1"/>
  <c r="W134" i="21"/>
  <c r="AI134" i="21" s="1"/>
  <c r="AB133" i="21"/>
  <c r="AN133" i="21" s="1"/>
  <c r="X133" i="21"/>
  <c r="AJ133" i="21" s="1"/>
  <c r="Y132" i="21"/>
  <c r="AK132" i="21" s="1"/>
  <c r="Z131" i="21"/>
  <c r="AL131" i="21" s="1"/>
  <c r="V131" i="21"/>
  <c r="AH131" i="21" s="1"/>
  <c r="AA130" i="21"/>
  <c r="AM130" i="21" s="1"/>
  <c r="W130" i="21"/>
  <c r="AI130" i="21" s="1"/>
  <c r="AB129" i="21"/>
  <c r="AN129" i="21" s="1"/>
  <c r="X129" i="21"/>
  <c r="AJ129" i="21" s="1"/>
  <c r="Y128" i="21"/>
  <c r="AK128" i="21" s="1"/>
  <c r="Z127" i="21"/>
  <c r="AL127" i="21" s="1"/>
  <c r="V127" i="21"/>
  <c r="AH127" i="21" s="1"/>
  <c r="AA126" i="21"/>
  <c r="AM126" i="21" s="1"/>
  <c r="W126" i="21"/>
  <c r="AI126" i="21" s="1"/>
  <c r="AB125" i="21"/>
  <c r="AN125" i="21" s="1"/>
  <c r="X125" i="21"/>
  <c r="AJ125" i="21" s="1"/>
  <c r="Y124" i="21"/>
  <c r="AK124" i="21" s="1"/>
  <c r="Z123" i="21"/>
  <c r="AL123" i="21" s="1"/>
  <c r="V123" i="21"/>
  <c r="AH123" i="21" s="1"/>
  <c r="AA122" i="21"/>
  <c r="AM122" i="21" s="1"/>
  <c r="W122" i="21"/>
  <c r="AI122" i="21" s="1"/>
  <c r="AB121" i="21"/>
  <c r="AN121" i="21" s="1"/>
  <c r="X121" i="21"/>
  <c r="AJ121" i="21" s="1"/>
  <c r="Y120" i="21"/>
  <c r="AK120" i="21" s="1"/>
  <c r="Y139" i="21"/>
  <c r="AK139" i="21" s="1"/>
  <c r="Z138" i="21"/>
  <c r="AL138" i="21" s="1"/>
  <c r="V138" i="21"/>
  <c r="AH138" i="21" s="1"/>
  <c r="AA137" i="21"/>
  <c r="AM137" i="21" s="1"/>
  <c r="W137" i="21"/>
  <c r="AI137" i="21" s="1"/>
  <c r="AB136" i="21"/>
  <c r="AN136" i="21" s="1"/>
  <c r="X136" i="21"/>
  <c r="AJ136" i="21" s="1"/>
  <c r="Y135" i="21"/>
  <c r="AK135" i="21" s="1"/>
  <c r="Z134" i="21"/>
  <c r="AL134" i="21" s="1"/>
  <c r="V134" i="21"/>
  <c r="AH134" i="21" s="1"/>
  <c r="AA133" i="21"/>
  <c r="AM133" i="21" s="1"/>
  <c r="W133" i="21"/>
  <c r="AI133" i="21" s="1"/>
  <c r="AB132" i="21"/>
  <c r="AN132" i="21" s="1"/>
  <c r="X132" i="21"/>
  <c r="AJ132" i="21" s="1"/>
  <c r="Y131" i="21"/>
  <c r="AK131" i="21" s="1"/>
  <c r="Z130" i="21"/>
  <c r="AL130" i="21" s="1"/>
  <c r="V130" i="21"/>
  <c r="AH130" i="21" s="1"/>
  <c r="AA129" i="21"/>
  <c r="AM129" i="21" s="1"/>
  <c r="W129" i="21"/>
  <c r="AI129" i="21" s="1"/>
  <c r="AB128" i="21"/>
  <c r="AN128" i="21" s="1"/>
  <c r="X128" i="21"/>
  <c r="AJ128" i="21" s="1"/>
  <c r="Y127" i="21"/>
  <c r="AK127" i="21" s="1"/>
  <c r="Z126" i="21"/>
  <c r="AL126" i="21" s="1"/>
  <c r="V126" i="21"/>
  <c r="AH126" i="21" s="1"/>
  <c r="AA125" i="21"/>
  <c r="AM125" i="21" s="1"/>
  <c r="W125" i="21"/>
  <c r="AI125" i="21" s="1"/>
  <c r="AB124" i="21"/>
  <c r="AN124" i="21" s="1"/>
  <c r="X124" i="21"/>
  <c r="AJ124" i="21" s="1"/>
  <c r="Y123" i="21"/>
  <c r="AK123" i="21" s="1"/>
  <c r="Z122" i="21"/>
  <c r="AL122" i="21" s="1"/>
  <c r="V122" i="21"/>
  <c r="AH122" i="21" s="1"/>
  <c r="AA121" i="21"/>
  <c r="AM121" i="21" s="1"/>
  <c r="W121" i="21"/>
  <c r="AI121" i="21" s="1"/>
  <c r="AB120" i="21"/>
  <c r="AN120" i="21" s="1"/>
  <c r="X120" i="21"/>
  <c r="AJ120" i="21" s="1"/>
  <c r="Y119" i="21"/>
  <c r="AK119" i="21" s="1"/>
  <c r="Z118" i="21"/>
  <c r="AL118" i="21" s="1"/>
  <c r="V118" i="21"/>
  <c r="AH118" i="21" s="1"/>
  <c r="AB139" i="21"/>
  <c r="AN139" i="21" s="1"/>
  <c r="X139" i="21"/>
  <c r="AJ139" i="21" s="1"/>
  <c r="Y138" i="21"/>
  <c r="AK138" i="21" s="1"/>
  <c r="Z137" i="21"/>
  <c r="AL137" i="21" s="1"/>
  <c r="V137" i="21"/>
  <c r="AH137" i="21" s="1"/>
  <c r="AA136" i="21"/>
  <c r="AM136" i="21" s="1"/>
  <c r="W136" i="21"/>
  <c r="AI136" i="21" s="1"/>
  <c r="AB135" i="21"/>
  <c r="AN135" i="21" s="1"/>
  <c r="X135" i="21"/>
  <c r="AJ135" i="21" s="1"/>
  <c r="Y134" i="21"/>
  <c r="AK134" i="21" s="1"/>
  <c r="Z133" i="21"/>
  <c r="AL133" i="21" s="1"/>
  <c r="V133" i="21"/>
  <c r="AH133" i="21" s="1"/>
  <c r="AA132" i="21"/>
  <c r="AM132" i="21" s="1"/>
  <c r="W132" i="21"/>
  <c r="AI132" i="21" s="1"/>
  <c r="AB131" i="21"/>
  <c r="AN131" i="21" s="1"/>
  <c r="X131" i="21"/>
  <c r="AJ131" i="21" s="1"/>
  <c r="Y130" i="21"/>
  <c r="AK130" i="21" s="1"/>
  <c r="Z129" i="21"/>
  <c r="AL129" i="21" s="1"/>
  <c r="V129" i="21"/>
  <c r="AH129" i="21" s="1"/>
  <c r="AA128" i="21"/>
  <c r="AM128" i="21" s="1"/>
  <c r="W128" i="21"/>
  <c r="AI128" i="21" s="1"/>
  <c r="AB127" i="21"/>
  <c r="AN127" i="21" s="1"/>
  <c r="X127" i="21"/>
  <c r="AJ127" i="21" s="1"/>
  <c r="Y126" i="21"/>
  <c r="AK126" i="21" s="1"/>
  <c r="Z125" i="21"/>
  <c r="AL125" i="21" s="1"/>
  <c r="V125" i="21"/>
  <c r="AH125" i="21" s="1"/>
  <c r="AA124" i="21"/>
  <c r="AM124" i="21" s="1"/>
  <c r="W124" i="21"/>
  <c r="AI124" i="21" s="1"/>
  <c r="AB123" i="21"/>
  <c r="AN123" i="21" s="1"/>
  <c r="X123" i="21"/>
  <c r="AJ123" i="21" s="1"/>
  <c r="Y122" i="21"/>
  <c r="AK122" i="21" s="1"/>
  <c r="Z121" i="21"/>
  <c r="AL121" i="21" s="1"/>
  <c r="V121" i="21"/>
  <c r="AH121" i="21" s="1"/>
  <c r="AA120" i="21"/>
  <c r="AM120" i="21" s="1"/>
  <c r="W120" i="21"/>
  <c r="AI120" i="21" s="1"/>
  <c r="AB119" i="21"/>
  <c r="AN119" i="21" s="1"/>
  <c r="X119" i="21"/>
  <c r="AJ119" i="21" s="1"/>
  <c r="Y118" i="21"/>
  <c r="AK118" i="21" s="1"/>
  <c r="W139" i="21"/>
  <c r="AI139" i="21" s="1"/>
  <c r="Y137" i="21"/>
  <c r="AK137" i="21" s="1"/>
  <c r="X134" i="21"/>
  <c r="AJ134" i="21" s="1"/>
  <c r="Z132" i="21"/>
  <c r="AL132" i="21" s="1"/>
  <c r="W131" i="21"/>
  <c r="AI131" i="21" s="1"/>
  <c r="Y129" i="21"/>
  <c r="AK129" i="21" s="1"/>
  <c r="X126" i="21"/>
  <c r="AJ126" i="21" s="1"/>
  <c r="Z124" i="21"/>
  <c r="AL124" i="21" s="1"/>
  <c r="W123" i="21"/>
  <c r="AI123" i="21" s="1"/>
  <c r="Y121" i="21"/>
  <c r="AK121" i="21" s="1"/>
  <c r="V119" i="21"/>
  <c r="AH119" i="21" s="1"/>
  <c r="AA118" i="21"/>
  <c r="AM118" i="21" s="1"/>
  <c r="AA117" i="21"/>
  <c r="AM117" i="21" s="1"/>
  <c r="W117" i="21"/>
  <c r="AI117" i="21" s="1"/>
  <c r="AB116" i="21"/>
  <c r="AN116" i="21" s="1"/>
  <c r="X116" i="21"/>
  <c r="AJ116" i="21" s="1"/>
  <c r="Y115" i="21"/>
  <c r="AK115" i="21" s="1"/>
  <c r="Z114" i="21"/>
  <c r="AL114" i="21" s="1"/>
  <c r="V114" i="21"/>
  <c r="AH114" i="21" s="1"/>
  <c r="AA113" i="21"/>
  <c r="AM113" i="21" s="1"/>
  <c r="W113" i="21"/>
  <c r="AI113" i="21" s="1"/>
  <c r="AB112" i="21"/>
  <c r="AN112" i="21" s="1"/>
  <c r="X112" i="21"/>
  <c r="AJ112" i="21" s="1"/>
  <c r="Y111" i="21"/>
  <c r="AK111" i="21" s="1"/>
  <c r="Z110" i="21"/>
  <c r="AL110" i="21" s="1"/>
  <c r="V110" i="21"/>
  <c r="AH110" i="21" s="1"/>
  <c r="AA109" i="21"/>
  <c r="AM109" i="21" s="1"/>
  <c r="W109" i="21"/>
  <c r="AI109" i="21" s="1"/>
  <c r="AB108" i="21"/>
  <c r="AN108" i="21" s="1"/>
  <c r="X108" i="21"/>
  <c r="AJ108" i="21" s="1"/>
  <c r="Y107" i="21"/>
  <c r="AK107" i="21" s="1"/>
  <c r="Z106" i="21"/>
  <c r="AL106" i="21" s="1"/>
  <c r="V106" i="21"/>
  <c r="AH106" i="21" s="1"/>
  <c r="AA105" i="21"/>
  <c r="AM105" i="21" s="1"/>
  <c r="W105" i="21"/>
  <c r="AI105" i="21" s="1"/>
  <c r="AB104" i="21"/>
  <c r="AN104" i="21" s="1"/>
  <c r="X104" i="21"/>
  <c r="AJ104" i="21" s="1"/>
  <c r="Y103" i="21"/>
  <c r="AK103" i="21" s="1"/>
  <c r="Z102" i="21"/>
  <c r="AL102" i="21" s="1"/>
  <c r="V102" i="21"/>
  <c r="AH102" i="21" s="1"/>
  <c r="AB138" i="21"/>
  <c r="AN138" i="21" s="1"/>
  <c r="AA135" i="21"/>
  <c r="AM135" i="21" s="1"/>
  <c r="V132" i="21"/>
  <c r="AH132" i="21" s="1"/>
  <c r="AB130" i="21"/>
  <c r="AN130" i="21" s="1"/>
  <c r="AA127" i="21"/>
  <c r="AM127" i="21" s="1"/>
  <c r="V124" i="21"/>
  <c r="AH124" i="21" s="1"/>
  <c r="AB122" i="21"/>
  <c r="AN122" i="21" s="1"/>
  <c r="AA119" i="21"/>
  <c r="AM119" i="21" s="1"/>
  <c r="X118" i="21"/>
  <c r="AJ118" i="21" s="1"/>
  <c r="Z117" i="21"/>
  <c r="AL117" i="21" s="1"/>
  <c r="V117" i="21"/>
  <c r="AH117" i="21" s="1"/>
  <c r="AA116" i="21"/>
  <c r="AM116" i="21" s="1"/>
  <c r="W116" i="21"/>
  <c r="AI116" i="21" s="1"/>
  <c r="AB115" i="21"/>
  <c r="AN115" i="21" s="1"/>
  <c r="X115" i="21"/>
  <c r="AJ115" i="21" s="1"/>
  <c r="Y114" i="21"/>
  <c r="AK114" i="21" s="1"/>
  <c r="Z113" i="21"/>
  <c r="AL113" i="21" s="1"/>
  <c r="V113" i="21"/>
  <c r="AH113" i="21" s="1"/>
  <c r="AA112" i="21"/>
  <c r="AM112" i="21" s="1"/>
  <c r="W112" i="21"/>
  <c r="AI112" i="21" s="1"/>
  <c r="AB111" i="21"/>
  <c r="AN111" i="21" s="1"/>
  <c r="X111" i="21"/>
  <c r="AJ111" i="21" s="1"/>
  <c r="Y110" i="21"/>
  <c r="AK110" i="21" s="1"/>
  <c r="Z109" i="21"/>
  <c r="AL109" i="21" s="1"/>
  <c r="V109" i="21"/>
  <c r="AH109" i="21" s="1"/>
  <c r="AA108" i="21"/>
  <c r="AM108" i="21" s="1"/>
  <c r="W108" i="21"/>
  <c r="AI108" i="21" s="1"/>
  <c r="AB107" i="21"/>
  <c r="AN107" i="21" s="1"/>
  <c r="X107" i="21"/>
  <c r="AJ107" i="21" s="1"/>
  <c r="Y106" i="21"/>
  <c r="AK106" i="21" s="1"/>
  <c r="Z105" i="21"/>
  <c r="AL105" i="21" s="1"/>
  <c r="V105" i="21"/>
  <c r="AH105" i="21" s="1"/>
  <c r="AA104" i="21"/>
  <c r="AM104" i="21" s="1"/>
  <c r="W104" i="21"/>
  <c r="AI104" i="21" s="1"/>
  <c r="AB103" i="21"/>
  <c r="AN103" i="21" s="1"/>
  <c r="X103" i="21"/>
  <c r="AJ103" i="21" s="1"/>
  <c r="Y102" i="21"/>
  <c r="AK102" i="21" s="1"/>
  <c r="Z101" i="21"/>
  <c r="AL101" i="21" s="1"/>
  <c r="V136" i="21"/>
  <c r="AH136" i="21" s="1"/>
  <c r="AA131" i="21"/>
  <c r="AM131" i="21" s="1"/>
  <c r="X130" i="21"/>
  <c r="AJ130" i="21" s="1"/>
  <c r="AB126" i="21"/>
  <c r="AN126" i="21" s="1"/>
  <c r="Y125" i="21"/>
  <c r="AK125" i="21" s="1"/>
  <c r="V120" i="21"/>
  <c r="AH120" i="21" s="1"/>
  <c r="W118" i="21"/>
  <c r="AI118" i="21" s="1"/>
  <c r="Y117" i="21"/>
  <c r="AK117" i="21" s="1"/>
  <c r="Z115" i="21"/>
  <c r="AL115" i="21" s="1"/>
  <c r="W114" i="21"/>
  <c r="AI114" i="21" s="1"/>
  <c r="Y113" i="21"/>
  <c r="AK113" i="21" s="1"/>
  <c r="Z111" i="21"/>
  <c r="AL111" i="21" s="1"/>
  <c r="W110" i="21"/>
  <c r="AI110" i="21" s="1"/>
  <c r="Y109" i="21"/>
  <c r="AK109" i="21" s="1"/>
  <c r="Z107" i="21"/>
  <c r="AL107" i="21" s="1"/>
  <c r="W106" i="21"/>
  <c r="AI106" i="21" s="1"/>
  <c r="Y105" i="21"/>
  <c r="AK105" i="21" s="1"/>
  <c r="Z103" i="21"/>
  <c r="AL103" i="21" s="1"/>
  <c r="W102" i="21"/>
  <c r="AI102" i="21" s="1"/>
  <c r="AA101" i="21"/>
  <c r="AM101" i="21" s="1"/>
  <c r="V101" i="21"/>
  <c r="AH101" i="21" s="1"/>
  <c r="AA100" i="21"/>
  <c r="AM100" i="21" s="1"/>
  <c r="W100" i="21"/>
  <c r="AI100" i="21" s="1"/>
  <c r="AB99" i="21"/>
  <c r="AN99" i="21" s="1"/>
  <c r="X99" i="21"/>
  <c r="AJ99" i="21" s="1"/>
  <c r="Y98" i="21"/>
  <c r="AK98" i="21" s="1"/>
  <c r="Z97" i="21"/>
  <c r="AL97" i="21" s="1"/>
  <c r="V97" i="21"/>
  <c r="AH97" i="21" s="1"/>
  <c r="AA96" i="21"/>
  <c r="AM96" i="21" s="1"/>
  <c r="W96" i="21"/>
  <c r="AI96" i="21" s="1"/>
  <c r="AB95" i="21"/>
  <c r="AN95" i="21" s="1"/>
  <c r="X95" i="21"/>
  <c r="AJ95" i="21" s="1"/>
  <c r="Y94" i="21"/>
  <c r="AK94" i="21" s="1"/>
  <c r="Z93" i="21"/>
  <c r="AL93" i="21" s="1"/>
  <c r="V93" i="21"/>
  <c r="AH93" i="21" s="1"/>
  <c r="AA92" i="21"/>
  <c r="AM92" i="21" s="1"/>
  <c r="W92" i="21"/>
  <c r="AI92" i="21" s="1"/>
  <c r="AB91" i="21"/>
  <c r="AN91" i="21" s="1"/>
  <c r="X91" i="21"/>
  <c r="AJ91" i="21" s="1"/>
  <c r="Y90" i="21"/>
  <c r="AK90" i="21" s="1"/>
  <c r="Z89" i="21"/>
  <c r="AL89" i="21" s="1"/>
  <c r="V89" i="21"/>
  <c r="AH89" i="21" s="1"/>
  <c r="AA88" i="21"/>
  <c r="AM88" i="21" s="1"/>
  <c r="W88" i="21"/>
  <c r="AI88" i="21" s="1"/>
  <c r="AB87" i="21"/>
  <c r="AN87" i="21" s="1"/>
  <c r="X87" i="21"/>
  <c r="AJ87" i="21" s="1"/>
  <c r="Y86" i="21"/>
  <c r="AK86" i="21" s="1"/>
  <c r="Z85" i="21"/>
  <c r="AL85" i="21" s="1"/>
  <c r="V85" i="21"/>
  <c r="AH85" i="21" s="1"/>
  <c r="AA84" i="21"/>
  <c r="AM84" i="21" s="1"/>
  <c r="W84" i="21"/>
  <c r="AI84" i="21" s="1"/>
  <c r="AB83" i="21"/>
  <c r="AN83" i="21" s="1"/>
  <c r="X83" i="21"/>
  <c r="AJ83" i="21" s="1"/>
  <c r="Y82" i="21"/>
  <c r="AK82" i="21" s="1"/>
  <c r="Z81" i="21"/>
  <c r="AL81" i="21" s="1"/>
  <c r="V81" i="21"/>
  <c r="AH81" i="21" s="1"/>
  <c r="AA80" i="21"/>
  <c r="AM80" i="21" s="1"/>
  <c r="W80" i="21"/>
  <c r="AI80" i="21" s="1"/>
  <c r="AB79" i="21"/>
  <c r="AN79" i="21" s="1"/>
  <c r="X79" i="21"/>
  <c r="AJ79" i="21" s="1"/>
  <c r="Y78" i="21"/>
  <c r="AK78" i="21" s="1"/>
  <c r="Z77" i="21"/>
  <c r="AL77" i="21" s="1"/>
  <c r="V77" i="21"/>
  <c r="AH77" i="21" s="1"/>
  <c r="AA76" i="21"/>
  <c r="AM76" i="21" s="1"/>
  <c r="W76" i="21"/>
  <c r="AI76" i="21" s="1"/>
  <c r="AB75" i="21"/>
  <c r="AN75" i="21" s="1"/>
  <c r="X75" i="21"/>
  <c r="AJ75" i="21" s="1"/>
  <c r="Y74" i="21"/>
  <c r="AK74" i="21" s="1"/>
  <c r="Z73" i="21"/>
  <c r="AL73" i="21" s="1"/>
  <c r="V73" i="21"/>
  <c r="AH73" i="21" s="1"/>
  <c r="AA72" i="21"/>
  <c r="AM72" i="21" s="1"/>
  <c r="W72" i="21"/>
  <c r="AI72" i="21" s="1"/>
  <c r="AB71" i="21"/>
  <c r="AN71" i="21" s="1"/>
  <c r="X71" i="21"/>
  <c r="AJ71" i="21" s="1"/>
  <c r="Y70" i="21"/>
  <c r="AK70" i="21" s="1"/>
  <c r="Z69" i="21"/>
  <c r="AL69" i="21" s="1"/>
  <c r="V69" i="21"/>
  <c r="AH69" i="21" s="1"/>
  <c r="AA68" i="21"/>
  <c r="AM68" i="21" s="1"/>
  <c r="W68" i="21"/>
  <c r="AI68" i="21" s="1"/>
  <c r="AB67" i="21"/>
  <c r="AN67" i="21" s="1"/>
  <c r="X67" i="21"/>
  <c r="AJ67" i="21" s="1"/>
  <c r="Y66" i="21"/>
  <c r="AK66" i="21" s="1"/>
  <c r="Z65" i="21"/>
  <c r="AL65" i="21" s="1"/>
  <c r="W135" i="21"/>
  <c r="AI135" i="21" s="1"/>
  <c r="Z128" i="21"/>
  <c r="AL128" i="21" s="1"/>
  <c r="Z119" i="21"/>
  <c r="AL119" i="21" s="1"/>
  <c r="X117" i="21"/>
  <c r="AJ117" i="21" s="1"/>
  <c r="Z116" i="21"/>
  <c r="AL116" i="21" s="1"/>
  <c r="W115" i="21"/>
  <c r="AI115" i="21" s="1"/>
  <c r="AB114" i="21"/>
  <c r="AN114" i="21" s="1"/>
  <c r="X113" i="21"/>
  <c r="AJ113" i="21" s="1"/>
  <c r="Z112" i="21"/>
  <c r="AL112" i="21" s="1"/>
  <c r="W111" i="21"/>
  <c r="AI111" i="21" s="1"/>
  <c r="AB110" i="21"/>
  <c r="AN110" i="21" s="1"/>
  <c r="X109" i="21"/>
  <c r="AJ109" i="21" s="1"/>
  <c r="Z108" i="21"/>
  <c r="AL108" i="21" s="1"/>
  <c r="W107" i="21"/>
  <c r="AI107" i="21" s="1"/>
  <c r="AB106" i="21"/>
  <c r="AN106" i="21" s="1"/>
  <c r="X105" i="21"/>
  <c r="AJ105" i="21" s="1"/>
  <c r="Z104" i="21"/>
  <c r="AL104" i="21" s="1"/>
  <c r="W103" i="21"/>
  <c r="AI103" i="21" s="1"/>
  <c r="AB102" i="21"/>
  <c r="AN102" i="21" s="1"/>
  <c r="Y101" i="21"/>
  <c r="AK101" i="21" s="1"/>
  <c r="Z100" i="21"/>
  <c r="AL100" i="21" s="1"/>
  <c r="V100" i="21"/>
  <c r="AH100" i="21" s="1"/>
  <c r="AA99" i="21"/>
  <c r="AM99" i="21" s="1"/>
  <c r="W99" i="21"/>
  <c r="AI99" i="21" s="1"/>
  <c r="AB98" i="21"/>
  <c r="AN98" i="21" s="1"/>
  <c r="X98" i="21"/>
  <c r="AJ98" i="21" s="1"/>
  <c r="Y97" i="21"/>
  <c r="AK97" i="21" s="1"/>
  <c r="Z96" i="21"/>
  <c r="AL96" i="21" s="1"/>
  <c r="V96" i="21"/>
  <c r="AH96" i="21" s="1"/>
  <c r="AA95" i="21"/>
  <c r="AM95" i="21" s="1"/>
  <c r="W95" i="21"/>
  <c r="AI95" i="21" s="1"/>
  <c r="AB94" i="21"/>
  <c r="AN94" i="21" s="1"/>
  <c r="X94" i="21"/>
  <c r="AJ94" i="21" s="1"/>
  <c r="Y93" i="21"/>
  <c r="AK93" i="21" s="1"/>
  <c r="Z92" i="21"/>
  <c r="AL92" i="21" s="1"/>
  <c r="V92" i="21"/>
  <c r="AH92" i="21" s="1"/>
  <c r="AA91" i="21"/>
  <c r="AM91" i="21" s="1"/>
  <c r="W91" i="21"/>
  <c r="AI91" i="21" s="1"/>
  <c r="AB90" i="21"/>
  <c r="AN90" i="21" s="1"/>
  <c r="X90" i="21"/>
  <c r="AJ90" i="21" s="1"/>
  <c r="Y89" i="21"/>
  <c r="AK89" i="21" s="1"/>
  <c r="Z88" i="21"/>
  <c r="AL88" i="21" s="1"/>
  <c r="V88" i="21"/>
  <c r="AH88" i="21" s="1"/>
  <c r="AA87" i="21"/>
  <c r="AM87" i="21" s="1"/>
  <c r="W87" i="21"/>
  <c r="AI87" i="21" s="1"/>
  <c r="AB86" i="21"/>
  <c r="AN86" i="21" s="1"/>
  <c r="X86" i="21"/>
  <c r="AJ86" i="21" s="1"/>
  <c r="Y85" i="21"/>
  <c r="AK85" i="21" s="1"/>
  <c r="Z84" i="21"/>
  <c r="AL84" i="21" s="1"/>
  <c r="V84" i="21"/>
  <c r="AH84" i="21" s="1"/>
  <c r="AA83" i="21"/>
  <c r="AM83" i="21" s="1"/>
  <c r="W83" i="21"/>
  <c r="AI83" i="21" s="1"/>
  <c r="AB82" i="21"/>
  <c r="AN82" i="21" s="1"/>
  <c r="X82" i="21"/>
  <c r="AJ82" i="21" s="1"/>
  <c r="Y81" i="21"/>
  <c r="AK81" i="21" s="1"/>
  <c r="Z80" i="21"/>
  <c r="AL80" i="21" s="1"/>
  <c r="V80" i="21"/>
  <c r="AH80" i="21" s="1"/>
  <c r="AA79" i="21"/>
  <c r="AM79" i="21" s="1"/>
  <c r="W79" i="21"/>
  <c r="AI79" i="21" s="1"/>
  <c r="AB78" i="21"/>
  <c r="AN78" i="21" s="1"/>
  <c r="X78" i="21"/>
  <c r="AJ78" i="21" s="1"/>
  <c r="Y77" i="21"/>
  <c r="AK77" i="21" s="1"/>
  <c r="Z76" i="21"/>
  <c r="AL76" i="21" s="1"/>
  <c r="V76" i="21"/>
  <c r="AH76" i="21" s="1"/>
  <c r="AA75" i="21"/>
  <c r="AM75" i="21" s="1"/>
  <c r="W75" i="21"/>
  <c r="AI75" i="21" s="1"/>
  <c r="AB74" i="21"/>
  <c r="AN74" i="21" s="1"/>
  <c r="X74" i="21"/>
  <c r="AJ74" i="21" s="1"/>
  <c r="Y73" i="21"/>
  <c r="AK73" i="21" s="1"/>
  <c r="Z72" i="21"/>
  <c r="AL72" i="21" s="1"/>
  <c r="V72" i="21"/>
  <c r="AH72" i="21" s="1"/>
  <c r="AA71" i="21"/>
  <c r="AM71" i="21" s="1"/>
  <c r="W71" i="21"/>
  <c r="AI71" i="21" s="1"/>
  <c r="AB70" i="21"/>
  <c r="AN70" i="21" s="1"/>
  <c r="X70" i="21"/>
  <c r="AJ70" i="21" s="1"/>
  <c r="Y69" i="21"/>
  <c r="AK69" i="21" s="1"/>
  <c r="Z68" i="21"/>
  <c r="AL68" i="21" s="1"/>
  <c r="V68" i="21"/>
  <c r="AH68" i="21" s="1"/>
  <c r="AA67" i="21"/>
  <c r="AM67" i="21" s="1"/>
  <c r="W67" i="21"/>
  <c r="AI67" i="21" s="1"/>
  <c r="AB66" i="21"/>
  <c r="AN66" i="21" s="1"/>
  <c r="Z136" i="21"/>
  <c r="AL136" i="21" s="1"/>
  <c r="AB117" i="21"/>
  <c r="AN117" i="21" s="1"/>
  <c r="AA114" i="21"/>
  <c r="AM114" i="21" s="1"/>
  <c r="Y112" i="21"/>
  <c r="AK112" i="21" s="1"/>
  <c r="V111" i="21"/>
  <c r="AH111" i="21" s="1"/>
  <c r="AB109" i="21"/>
  <c r="AN109" i="21" s="1"/>
  <c r="AA106" i="21"/>
  <c r="AM106" i="21" s="1"/>
  <c r="Y104" i="21"/>
  <c r="AK104" i="21" s="1"/>
  <c r="V103" i="21"/>
  <c r="AH103" i="21" s="1"/>
  <c r="AB101" i="21"/>
  <c r="AN101" i="21" s="1"/>
  <c r="Y99" i="21"/>
  <c r="AK99" i="21" s="1"/>
  <c r="V98" i="21"/>
  <c r="AH98" i="21" s="1"/>
  <c r="AA97" i="21"/>
  <c r="AM97" i="21" s="1"/>
  <c r="Y95" i="21"/>
  <c r="AK95" i="21" s="1"/>
  <c r="V94" i="21"/>
  <c r="AH94" i="21" s="1"/>
  <c r="AA93" i="21"/>
  <c r="AM93" i="21" s="1"/>
  <c r="Y91" i="21"/>
  <c r="AK91" i="21" s="1"/>
  <c r="V90" i="21"/>
  <c r="AH90" i="21" s="1"/>
  <c r="AA89" i="21"/>
  <c r="AM89" i="21" s="1"/>
  <c r="Y87" i="21"/>
  <c r="AK87" i="21" s="1"/>
  <c r="V86" i="21"/>
  <c r="AH86" i="21" s="1"/>
  <c r="AA85" i="21"/>
  <c r="AM85" i="21" s="1"/>
  <c r="Y83" i="21"/>
  <c r="AK83" i="21" s="1"/>
  <c r="V82" i="21"/>
  <c r="AH82" i="21" s="1"/>
  <c r="AA81" i="21"/>
  <c r="AM81" i="21" s="1"/>
  <c r="Y79" i="21"/>
  <c r="AK79" i="21" s="1"/>
  <c r="V78" i="21"/>
  <c r="AH78" i="21" s="1"/>
  <c r="AA77" i="21"/>
  <c r="AM77" i="21" s="1"/>
  <c r="Y75" i="21"/>
  <c r="AK75" i="21" s="1"/>
  <c r="V74" i="21"/>
  <c r="AH74" i="21" s="1"/>
  <c r="AA73" i="21"/>
  <c r="AM73" i="21" s="1"/>
  <c r="Y71" i="21"/>
  <c r="AK71" i="21" s="1"/>
  <c r="V70" i="21"/>
  <c r="AH70" i="21" s="1"/>
  <c r="AA69" i="21"/>
  <c r="AM69" i="21" s="1"/>
  <c r="Y67" i="21"/>
  <c r="AK67" i="21" s="1"/>
  <c r="W66" i="21"/>
  <c r="AI66" i="21" s="1"/>
  <c r="Y65" i="21"/>
  <c r="AK65" i="21" s="1"/>
  <c r="Z64" i="21"/>
  <c r="AL64" i="21" s="1"/>
  <c r="V64" i="21"/>
  <c r="AH64" i="21" s="1"/>
  <c r="AA63" i="21"/>
  <c r="AM63" i="21" s="1"/>
  <c r="W63" i="21"/>
  <c r="AI63" i="21" s="1"/>
  <c r="AB62" i="21"/>
  <c r="AN62" i="21" s="1"/>
  <c r="X62" i="21"/>
  <c r="AJ62" i="21" s="1"/>
  <c r="Y61" i="21"/>
  <c r="AK61" i="21" s="1"/>
  <c r="Z60" i="21"/>
  <c r="AL60" i="21" s="1"/>
  <c r="V60" i="21"/>
  <c r="AH60" i="21" s="1"/>
  <c r="AA59" i="21"/>
  <c r="AM59" i="21" s="1"/>
  <c r="W59" i="21"/>
  <c r="AI59" i="21" s="1"/>
  <c r="AB58" i="21"/>
  <c r="AN58" i="21" s="1"/>
  <c r="X58" i="21"/>
  <c r="AJ58" i="21" s="1"/>
  <c r="Y57" i="21"/>
  <c r="AK57" i="21" s="1"/>
  <c r="Z56" i="21"/>
  <c r="AL56" i="21" s="1"/>
  <c r="V56" i="21"/>
  <c r="AH56" i="21" s="1"/>
  <c r="AA55" i="21"/>
  <c r="AM55" i="21" s="1"/>
  <c r="W55" i="21"/>
  <c r="AI55" i="21" s="1"/>
  <c r="AB54" i="21"/>
  <c r="AN54" i="21" s="1"/>
  <c r="X54" i="21"/>
  <c r="AJ54" i="21" s="1"/>
  <c r="Y53" i="21"/>
  <c r="AK53" i="21" s="1"/>
  <c r="Z52" i="21"/>
  <c r="AL52" i="21" s="1"/>
  <c r="V52" i="21"/>
  <c r="AH52" i="21" s="1"/>
  <c r="AA51" i="21"/>
  <c r="AM51" i="21" s="1"/>
  <c r="W51" i="21"/>
  <c r="AI51" i="21" s="1"/>
  <c r="AB50" i="21"/>
  <c r="AN50" i="21" s="1"/>
  <c r="X50" i="21"/>
  <c r="AJ50" i="21" s="1"/>
  <c r="Y49" i="21"/>
  <c r="AK49" i="21" s="1"/>
  <c r="Z48" i="21"/>
  <c r="AL48" i="21" s="1"/>
  <c r="V48" i="21"/>
  <c r="AH48" i="21" s="1"/>
  <c r="AA47" i="21"/>
  <c r="AM47" i="21" s="1"/>
  <c r="W47" i="21"/>
  <c r="AI47" i="21" s="1"/>
  <c r="AB46" i="21"/>
  <c r="AN46" i="21" s="1"/>
  <c r="X46" i="21"/>
  <c r="AJ46" i="21" s="1"/>
  <c r="Y45" i="21"/>
  <c r="AK45" i="21" s="1"/>
  <c r="Z44" i="21"/>
  <c r="AL44" i="21" s="1"/>
  <c r="V44" i="21"/>
  <c r="AH44" i="21" s="1"/>
  <c r="AA43" i="21"/>
  <c r="AM43" i="21" s="1"/>
  <c r="W43" i="21"/>
  <c r="AI43" i="21" s="1"/>
  <c r="AB42" i="21"/>
  <c r="AN42" i="21" s="1"/>
  <c r="X42" i="21"/>
  <c r="AJ42" i="21" s="1"/>
  <c r="Y41" i="21"/>
  <c r="AK41" i="21" s="1"/>
  <c r="AA123" i="21"/>
  <c r="AM123" i="21" s="1"/>
  <c r="X122" i="21"/>
  <c r="AJ122" i="21" s="1"/>
  <c r="AA115" i="21"/>
  <c r="AM115" i="21" s="1"/>
  <c r="X114" i="21"/>
  <c r="AJ114" i="21" s="1"/>
  <c r="V112" i="21"/>
  <c r="AH112" i="21" s="1"/>
  <c r="AA107" i="21"/>
  <c r="AM107" i="21" s="1"/>
  <c r="X106" i="21"/>
  <c r="AJ106" i="21" s="1"/>
  <c r="V104" i="21"/>
  <c r="AH104" i="21" s="1"/>
  <c r="X101" i="21"/>
  <c r="AJ101" i="21" s="1"/>
  <c r="AB100" i="21"/>
  <c r="AN100" i="21" s="1"/>
  <c r="V99" i="21"/>
  <c r="AH99" i="21" s="1"/>
  <c r="AA98" i="21"/>
  <c r="AM98" i="21" s="1"/>
  <c r="X97" i="21"/>
  <c r="AJ97" i="21" s="1"/>
  <c r="AB96" i="21"/>
  <c r="AN96" i="21" s="1"/>
  <c r="V95" i="21"/>
  <c r="AH95" i="21" s="1"/>
  <c r="AA94" i="21"/>
  <c r="AM94" i="21" s="1"/>
  <c r="X93" i="21"/>
  <c r="AJ93" i="21" s="1"/>
  <c r="AB92" i="21"/>
  <c r="AN92" i="21" s="1"/>
  <c r="V91" i="21"/>
  <c r="AH91" i="21" s="1"/>
  <c r="AA90" i="21"/>
  <c r="AM90" i="21" s="1"/>
  <c r="X89" i="21"/>
  <c r="AJ89" i="21" s="1"/>
  <c r="AB88" i="21"/>
  <c r="AN88" i="21" s="1"/>
  <c r="V87" i="21"/>
  <c r="AH87" i="21" s="1"/>
  <c r="AA86" i="21"/>
  <c r="AM86" i="21" s="1"/>
  <c r="X85" i="21"/>
  <c r="AJ85" i="21" s="1"/>
  <c r="AB84" i="21"/>
  <c r="AN84" i="21" s="1"/>
  <c r="V83" i="21"/>
  <c r="AH83" i="21" s="1"/>
  <c r="AA82" i="21"/>
  <c r="AM82" i="21" s="1"/>
  <c r="X81" i="21"/>
  <c r="AJ81" i="21" s="1"/>
  <c r="AB80" i="21"/>
  <c r="AN80" i="21" s="1"/>
  <c r="V79" i="21"/>
  <c r="AH79" i="21" s="1"/>
  <c r="AA78" i="21"/>
  <c r="AM78" i="21" s="1"/>
  <c r="X77" i="21"/>
  <c r="AJ77" i="21" s="1"/>
  <c r="AB76" i="21"/>
  <c r="AN76" i="21" s="1"/>
  <c r="V75" i="21"/>
  <c r="AH75" i="21" s="1"/>
  <c r="AA74" i="21"/>
  <c r="AM74" i="21" s="1"/>
  <c r="X73" i="21"/>
  <c r="AJ73" i="21" s="1"/>
  <c r="AB72" i="21"/>
  <c r="AN72" i="21" s="1"/>
  <c r="V71" i="21"/>
  <c r="AH71" i="21" s="1"/>
  <c r="AA70" i="21"/>
  <c r="AM70" i="21" s="1"/>
  <c r="X69" i="21"/>
  <c r="AJ69" i="21" s="1"/>
  <c r="AB68" i="21"/>
  <c r="AN68" i="21" s="1"/>
  <c r="V67" i="21"/>
  <c r="AH67" i="21" s="1"/>
  <c r="AA66" i="21"/>
  <c r="AM66" i="21" s="1"/>
  <c r="V66" i="21"/>
  <c r="AH66" i="21" s="1"/>
  <c r="X65" i="21"/>
  <c r="AJ65" i="21" s="1"/>
  <c r="Y64" i="21"/>
  <c r="AK64" i="21" s="1"/>
  <c r="Z63" i="21"/>
  <c r="AL63" i="21" s="1"/>
  <c r="V63" i="21"/>
  <c r="AH63" i="21" s="1"/>
  <c r="AA62" i="21"/>
  <c r="AM62" i="21" s="1"/>
  <c r="W62" i="21"/>
  <c r="AI62" i="21" s="1"/>
  <c r="AB61" i="21"/>
  <c r="AN61" i="21" s="1"/>
  <c r="X61" i="21"/>
  <c r="AJ61" i="21" s="1"/>
  <c r="Y60" i="21"/>
  <c r="AK60" i="21" s="1"/>
  <c r="Z59" i="21"/>
  <c r="AL59" i="21" s="1"/>
  <c r="V59" i="21"/>
  <c r="AH59" i="21" s="1"/>
  <c r="AA58" i="21"/>
  <c r="AM58" i="21" s="1"/>
  <c r="W58" i="21"/>
  <c r="AI58" i="21" s="1"/>
  <c r="AB57" i="21"/>
  <c r="AN57" i="21" s="1"/>
  <c r="X57" i="21"/>
  <c r="AJ57" i="21" s="1"/>
  <c r="Y56" i="21"/>
  <c r="AK56" i="21" s="1"/>
  <c r="Z55" i="21"/>
  <c r="AL55" i="21" s="1"/>
  <c r="V55" i="21"/>
  <c r="AH55" i="21" s="1"/>
  <c r="AA54" i="21"/>
  <c r="AM54" i="21" s="1"/>
  <c r="W54" i="21"/>
  <c r="AI54" i="21" s="1"/>
  <c r="AB53" i="21"/>
  <c r="AN53" i="21" s="1"/>
  <c r="X53" i="21"/>
  <c r="AJ53" i="21" s="1"/>
  <c r="Y52" i="21"/>
  <c r="AK52" i="21" s="1"/>
  <c r="Z51" i="21"/>
  <c r="AL51" i="21" s="1"/>
  <c r="V51" i="21"/>
  <c r="AH51" i="21" s="1"/>
  <c r="AA50" i="21"/>
  <c r="AM50" i="21" s="1"/>
  <c r="W50" i="21"/>
  <c r="AI50" i="21" s="1"/>
  <c r="AB49" i="21"/>
  <c r="AN49" i="21" s="1"/>
  <c r="X49" i="21"/>
  <c r="AJ49" i="21" s="1"/>
  <c r="Y48" i="21"/>
  <c r="AK48" i="21" s="1"/>
  <c r="Z47" i="21"/>
  <c r="AL47" i="21" s="1"/>
  <c r="V47" i="21"/>
  <c r="AH47" i="21" s="1"/>
  <c r="AA46" i="21"/>
  <c r="AM46" i="21" s="1"/>
  <c r="W46" i="21"/>
  <c r="AI46" i="21" s="1"/>
  <c r="AB45" i="21"/>
  <c r="AN45" i="21" s="1"/>
  <c r="X45" i="21"/>
  <c r="AJ45" i="21" s="1"/>
  <c r="Y44" i="21"/>
  <c r="AK44" i="21" s="1"/>
  <c r="Z43" i="21"/>
  <c r="AL43" i="21" s="1"/>
  <c r="V43" i="21"/>
  <c r="AH43" i="21" s="1"/>
  <c r="AA42" i="21"/>
  <c r="AM42" i="21" s="1"/>
  <c r="W42" i="21"/>
  <c r="AI42" i="21" s="1"/>
  <c r="AB41" i="21"/>
  <c r="AN41" i="21" s="1"/>
  <c r="X41" i="21"/>
  <c r="AJ41" i="21" s="1"/>
  <c r="Y40" i="21"/>
  <c r="AK40" i="21" s="1"/>
  <c r="X15" i="21"/>
  <c r="AJ15" i="21" s="1"/>
  <c r="W16" i="21"/>
  <c r="AI16" i="21" s="1"/>
  <c r="V17" i="21"/>
  <c r="AH17" i="21" s="1"/>
  <c r="Y18" i="21"/>
  <c r="AK18" i="21" s="1"/>
  <c r="X19" i="21"/>
  <c r="AJ19" i="21" s="1"/>
  <c r="AA20" i="21"/>
  <c r="AM20" i="21" s="1"/>
  <c r="Z21" i="21"/>
  <c r="AL21" i="21" s="1"/>
  <c r="Y22" i="21"/>
  <c r="AK22" i="21" s="1"/>
  <c r="X23" i="21"/>
  <c r="AJ23" i="21" s="1"/>
  <c r="W24" i="21"/>
  <c r="AI24" i="21" s="1"/>
  <c r="V25" i="21"/>
  <c r="AH25" i="21" s="1"/>
  <c r="Y26" i="21"/>
  <c r="AK26" i="21" s="1"/>
  <c r="X27" i="21"/>
  <c r="AJ27" i="21" s="1"/>
  <c r="W28" i="21"/>
  <c r="AI28" i="21" s="1"/>
  <c r="V29" i="21"/>
  <c r="AH29" i="21" s="1"/>
  <c r="X31" i="21"/>
  <c r="AJ31" i="21" s="1"/>
  <c r="W32" i="21"/>
  <c r="AI32" i="21" s="1"/>
  <c r="Z33" i="21"/>
  <c r="AL33" i="21" s="1"/>
  <c r="AB35" i="21"/>
  <c r="AN35" i="21" s="1"/>
  <c r="W36" i="21"/>
  <c r="AI36" i="21" s="1"/>
  <c r="V37" i="21"/>
  <c r="AH37" i="21" s="1"/>
  <c r="AB39" i="21"/>
  <c r="AN39" i="21" s="1"/>
  <c r="AB40" i="21"/>
  <c r="AN40" i="21" s="1"/>
  <c r="V41" i="21"/>
  <c r="AH41" i="21" s="1"/>
  <c r="Y42" i="21"/>
  <c r="AK42" i="21" s="1"/>
  <c r="V53" i="21"/>
  <c r="AH53" i="21" s="1"/>
  <c r="Y54" i="21"/>
  <c r="AK54" i="21" s="1"/>
  <c r="Z67" i="21"/>
  <c r="AL67" i="21" s="1"/>
  <c r="Z70" i="21"/>
  <c r="AL70" i="21" s="1"/>
  <c r="X72" i="21"/>
  <c r="AJ72" i="21" s="1"/>
  <c r="AB81" i="21"/>
  <c r="AN81" i="21" s="1"/>
  <c r="Z83" i="21"/>
  <c r="AL83" i="21" s="1"/>
  <c r="Z86" i="21"/>
  <c r="AL86" i="21" s="1"/>
  <c r="X88" i="21"/>
  <c r="AJ88" i="21" s="1"/>
  <c r="AB89" i="21"/>
  <c r="AN89" i="21" s="1"/>
  <c r="Z91" i="21"/>
  <c r="AL91" i="21" s="1"/>
  <c r="Z94" i="21"/>
  <c r="AL94" i="21" s="1"/>
  <c r="X96" i="21"/>
  <c r="AJ96" i="21" s="1"/>
  <c r="V128" i="21"/>
  <c r="AH128" i="21" s="1"/>
  <c r="X9" i="21"/>
  <c r="AB9" i="21"/>
  <c r="X10" i="21"/>
  <c r="AB10" i="21"/>
  <c r="V14" i="21"/>
  <c r="AH14" i="21" s="1"/>
  <c r="Z14" i="21"/>
  <c r="AL14" i="21" s="1"/>
  <c r="AL140" i="21" s="1"/>
  <c r="Y15" i="21"/>
  <c r="AK15" i="21" s="1"/>
  <c r="X16" i="21"/>
  <c r="AJ16" i="21" s="1"/>
  <c r="AB16" i="21"/>
  <c r="AN16" i="21" s="1"/>
  <c r="W17" i="21"/>
  <c r="AI17" i="21" s="1"/>
  <c r="AA17" i="21"/>
  <c r="AM17" i="21" s="1"/>
  <c r="V18" i="21"/>
  <c r="AH18" i="21" s="1"/>
  <c r="Z18" i="21"/>
  <c r="AL18" i="21" s="1"/>
  <c r="Y19" i="21"/>
  <c r="AK19" i="21" s="1"/>
  <c r="X20" i="21"/>
  <c r="AJ20" i="21" s="1"/>
  <c r="AB20" i="21"/>
  <c r="AN20" i="21" s="1"/>
  <c r="W21" i="21"/>
  <c r="AI21" i="21" s="1"/>
  <c r="AA21" i="21"/>
  <c r="AM21" i="21" s="1"/>
  <c r="V22" i="21"/>
  <c r="AH22" i="21" s="1"/>
  <c r="Z22" i="21"/>
  <c r="AL22" i="21" s="1"/>
  <c r="Y23" i="21"/>
  <c r="AK23" i="21" s="1"/>
  <c r="X24" i="21"/>
  <c r="AJ24" i="21" s="1"/>
  <c r="AB24" i="21"/>
  <c r="AN24" i="21" s="1"/>
  <c r="W25" i="21"/>
  <c r="AI25" i="21" s="1"/>
  <c r="AA25" i="21"/>
  <c r="AM25" i="21" s="1"/>
  <c r="V26" i="21"/>
  <c r="AH26" i="21" s="1"/>
  <c r="Z26" i="21"/>
  <c r="AL26" i="21" s="1"/>
  <c r="Y27" i="21"/>
  <c r="AK27" i="21" s="1"/>
  <c r="X28" i="21"/>
  <c r="AJ28" i="21" s="1"/>
  <c r="AB28" i="21"/>
  <c r="AN28" i="21" s="1"/>
  <c r="W29" i="21"/>
  <c r="AI29" i="21" s="1"/>
  <c r="AA29" i="21"/>
  <c r="AM29" i="21" s="1"/>
  <c r="V30" i="21"/>
  <c r="AH30" i="21" s="1"/>
  <c r="Z30" i="21"/>
  <c r="AL30" i="21" s="1"/>
  <c r="Y31" i="21"/>
  <c r="AK31" i="21" s="1"/>
  <c r="X32" i="21"/>
  <c r="AJ32" i="21" s="1"/>
  <c r="AB32" i="21"/>
  <c r="AN32" i="21" s="1"/>
  <c r="W33" i="21"/>
  <c r="AI33" i="21" s="1"/>
  <c r="AA33" i="21"/>
  <c r="AM33" i="21" s="1"/>
  <c r="V34" i="21"/>
  <c r="AH34" i="21" s="1"/>
  <c r="Z34" i="21"/>
  <c r="AL34" i="21" s="1"/>
  <c r="Y35" i="21"/>
  <c r="AK35" i="21" s="1"/>
  <c r="X36" i="21"/>
  <c r="AJ36" i="21" s="1"/>
  <c r="AB36" i="21"/>
  <c r="AN36" i="21" s="1"/>
  <c r="W37" i="21"/>
  <c r="AI37" i="21" s="1"/>
  <c r="AA37" i="21"/>
  <c r="AM37" i="21" s="1"/>
  <c r="V38" i="21"/>
  <c r="AH38" i="21" s="1"/>
  <c r="Z38" i="21"/>
  <c r="AL38" i="21" s="1"/>
  <c r="Y39" i="21"/>
  <c r="AK39" i="21" s="1"/>
  <c r="X40" i="21"/>
  <c r="AJ40" i="21" s="1"/>
  <c r="W41" i="21"/>
  <c r="AI41" i="21" s="1"/>
  <c r="Z42" i="21"/>
  <c r="AL42" i="21" s="1"/>
  <c r="X43" i="21"/>
  <c r="AJ43" i="21" s="1"/>
  <c r="AB44" i="21"/>
  <c r="AN44" i="21" s="1"/>
  <c r="W45" i="21"/>
  <c r="AI45" i="21" s="1"/>
  <c r="Z46" i="21"/>
  <c r="AL46" i="21" s="1"/>
  <c r="X47" i="21"/>
  <c r="AJ47" i="21" s="1"/>
  <c r="AB48" i="21"/>
  <c r="AN48" i="21" s="1"/>
  <c r="W49" i="21"/>
  <c r="AI49" i="21" s="1"/>
  <c r="Z50" i="21"/>
  <c r="AL50" i="21" s="1"/>
  <c r="X51" i="21"/>
  <c r="AJ51" i="21" s="1"/>
  <c r="AB52" i="21"/>
  <c r="AN52" i="21" s="1"/>
  <c r="W53" i="21"/>
  <c r="AI53" i="21" s="1"/>
  <c r="Z54" i="21"/>
  <c r="AL54" i="21" s="1"/>
  <c r="X55" i="21"/>
  <c r="AJ55" i="21" s="1"/>
  <c r="AB56" i="21"/>
  <c r="AN56" i="21" s="1"/>
  <c r="W57" i="21"/>
  <c r="AI57" i="21" s="1"/>
  <c r="Z58" i="21"/>
  <c r="AL58" i="21" s="1"/>
  <c r="X59" i="21"/>
  <c r="AJ59" i="21" s="1"/>
  <c r="AB60" i="21"/>
  <c r="AN60" i="21" s="1"/>
  <c r="W61" i="21"/>
  <c r="AI61" i="21" s="1"/>
  <c r="Z62" i="21"/>
  <c r="AL62" i="21" s="1"/>
  <c r="X63" i="21"/>
  <c r="AJ63" i="21" s="1"/>
  <c r="AB64" i="21"/>
  <c r="AN64" i="21" s="1"/>
  <c r="W65" i="21"/>
  <c r="AI65" i="21" s="1"/>
  <c r="X66" i="21"/>
  <c r="AJ66" i="21" s="1"/>
  <c r="W69" i="21"/>
  <c r="AI69" i="21" s="1"/>
  <c r="Y72" i="21"/>
  <c r="AK72" i="21" s="1"/>
  <c r="W74" i="21"/>
  <c r="AI74" i="21" s="1"/>
  <c r="W77" i="21"/>
  <c r="AI77" i="21" s="1"/>
  <c r="Y80" i="21"/>
  <c r="AK80" i="21" s="1"/>
  <c r="W82" i="21"/>
  <c r="AI82" i="21" s="1"/>
  <c r="W85" i="21"/>
  <c r="AI85" i="21" s="1"/>
  <c r="Y88" i="21"/>
  <c r="AK88" i="21" s="1"/>
  <c r="W90" i="21"/>
  <c r="AI90" i="21" s="1"/>
  <c r="W93" i="21"/>
  <c r="AI93" i="21" s="1"/>
  <c r="Y96" i="21"/>
  <c r="AK96" i="21" s="1"/>
  <c r="W98" i="21"/>
  <c r="AI98" i="21" s="1"/>
  <c r="W101" i="21"/>
  <c r="AI101" i="21" s="1"/>
  <c r="AB105" i="21"/>
  <c r="AN105" i="21" s="1"/>
  <c r="AA110" i="21"/>
  <c r="AM110" i="21" s="1"/>
  <c r="AA111" i="21"/>
  <c r="AM111" i="21" s="1"/>
  <c r="V116" i="21"/>
  <c r="AH116" i="21" s="1"/>
  <c r="Y133" i="21"/>
  <c r="AK133" i="21" s="1"/>
  <c r="AB134" i="21"/>
  <c r="AN134" i="21" s="1"/>
  <c r="Y14" i="21"/>
  <c r="AK14" i="21" s="1"/>
  <c r="AK140" i="21" s="1"/>
  <c r="AB15" i="21"/>
  <c r="AN15" i="21" s="1"/>
  <c r="AA16" i="21"/>
  <c r="AM16" i="21" s="1"/>
  <c r="Z17" i="21"/>
  <c r="AL17" i="21" s="1"/>
  <c r="AB19" i="21"/>
  <c r="AN19" i="21" s="1"/>
  <c r="W20" i="21"/>
  <c r="AI20" i="21" s="1"/>
  <c r="V21" i="21"/>
  <c r="AH21" i="21" s="1"/>
  <c r="AB23" i="21"/>
  <c r="AN23" i="21" s="1"/>
  <c r="AA24" i="21"/>
  <c r="AM24" i="21" s="1"/>
  <c r="Z25" i="21"/>
  <c r="AL25" i="21" s="1"/>
  <c r="AB27" i="21"/>
  <c r="AN27" i="21" s="1"/>
  <c r="AA28" i="21"/>
  <c r="AM28" i="21" s="1"/>
  <c r="Z29" i="21"/>
  <c r="AL29" i="21" s="1"/>
  <c r="Y30" i="21"/>
  <c r="AK30" i="21" s="1"/>
  <c r="AB31" i="21"/>
  <c r="AN31" i="21" s="1"/>
  <c r="AA32" i="21"/>
  <c r="AM32" i="21" s="1"/>
  <c r="V33" i="21"/>
  <c r="AH33" i="21" s="1"/>
  <c r="Y34" i="21"/>
  <c r="AK34" i="21" s="1"/>
  <c r="X35" i="21"/>
  <c r="AJ35" i="21" s="1"/>
  <c r="AA36" i="21"/>
  <c r="AM36" i="21" s="1"/>
  <c r="Z37" i="21"/>
  <c r="AL37" i="21" s="1"/>
  <c r="Y38" i="21"/>
  <c r="AK38" i="21" s="1"/>
  <c r="X39" i="21"/>
  <c r="AJ39" i="21" s="1"/>
  <c r="W40" i="21"/>
  <c r="AI40" i="21" s="1"/>
  <c r="AA44" i="21"/>
  <c r="AM44" i="21" s="1"/>
  <c r="V45" i="21"/>
  <c r="AH45" i="21" s="1"/>
  <c r="Y46" i="21"/>
  <c r="AK46" i="21" s="1"/>
  <c r="AA48" i="21"/>
  <c r="AM48" i="21" s="1"/>
  <c r="V49" i="21"/>
  <c r="AH49" i="21" s="1"/>
  <c r="Y50" i="21"/>
  <c r="AK50" i="21" s="1"/>
  <c r="AA52" i="21"/>
  <c r="AM52" i="21" s="1"/>
  <c r="AA56" i="21"/>
  <c r="AM56" i="21" s="1"/>
  <c r="V57" i="21"/>
  <c r="AH57" i="21" s="1"/>
  <c r="Y58" i="21"/>
  <c r="AK58" i="21" s="1"/>
  <c r="AA60" i="21"/>
  <c r="AM60" i="21" s="1"/>
  <c r="V61" i="21"/>
  <c r="AH61" i="21" s="1"/>
  <c r="Y62" i="21"/>
  <c r="AK62" i="21" s="1"/>
  <c r="AA64" i="21"/>
  <c r="AM64" i="21" s="1"/>
  <c r="V65" i="21"/>
  <c r="AH65" i="21" s="1"/>
  <c r="AB73" i="21"/>
  <c r="AN73" i="21" s="1"/>
  <c r="Z75" i="21"/>
  <c r="AL75" i="21" s="1"/>
  <c r="Z78" i="21"/>
  <c r="AL78" i="21" s="1"/>
  <c r="X80" i="21"/>
  <c r="AJ80" i="21" s="1"/>
  <c r="AB97" i="21"/>
  <c r="AN97" i="21" s="1"/>
  <c r="Z99" i="21"/>
  <c r="AL99" i="21" s="1"/>
  <c r="Y108" i="21"/>
  <c r="AK108" i="21" s="1"/>
  <c r="X110" i="21"/>
  <c r="AJ110" i="21" s="1"/>
  <c r="V115" i="21"/>
  <c r="AH115" i="21" s="1"/>
  <c r="Y9" i="21"/>
  <c r="Y10" i="21"/>
  <c r="W14" i="21"/>
  <c r="AI14" i="21" s="1"/>
  <c r="AI140" i="21" s="1"/>
  <c r="AA14" i="21"/>
  <c r="AM14" i="21" s="1"/>
  <c r="AM140" i="21" s="1"/>
  <c r="V15" i="21"/>
  <c r="AH15" i="21" s="1"/>
  <c r="Z15" i="21"/>
  <c r="AL15" i="21" s="1"/>
  <c r="Y16" i="21"/>
  <c r="AK16" i="21" s="1"/>
  <c r="X17" i="21"/>
  <c r="AJ17" i="21" s="1"/>
  <c r="AB17" i="21"/>
  <c r="AN17" i="21" s="1"/>
  <c r="W18" i="21"/>
  <c r="AI18" i="21" s="1"/>
  <c r="AA18" i="21"/>
  <c r="AM18" i="21" s="1"/>
  <c r="V19" i="21"/>
  <c r="AH19" i="21" s="1"/>
  <c r="Z19" i="21"/>
  <c r="AL19" i="21" s="1"/>
  <c r="Y20" i="21"/>
  <c r="AK20" i="21" s="1"/>
  <c r="X21" i="21"/>
  <c r="AJ21" i="21" s="1"/>
  <c r="AB21" i="21"/>
  <c r="AN21" i="21" s="1"/>
  <c r="W22" i="21"/>
  <c r="AI22" i="21" s="1"/>
  <c r="AA22" i="21"/>
  <c r="AM22" i="21" s="1"/>
  <c r="V23" i="21"/>
  <c r="AH23" i="21" s="1"/>
  <c r="Z23" i="21"/>
  <c r="AL23" i="21" s="1"/>
  <c r="Y24" i="21"/>
  <c r="AK24" i="21" s="1"/>
  <c r="X25" i="21"/>
  <c r="AJ25" i="21" s="1"/>
  <c r="AB25" i="21"/>
  <c r="AN25" i="21" s="1"/>
  <c r="W26" i="21"/>
  <c r="AI26" i="21" s="1"/>
  <c r="AA26" i="21"/>
  <c r="AM26" i="21" s="1"/>
  <c r="V27" i="21"/>
  <c r="AH27" i="21" s="1"/>
  <c r="Z27" i="21"/>
  <c r="AL27" i="21" s="1"/>
  <c r="Y28" i="21"/>
  <c r="AK28" i="21" s="1"/>
  <c r="X29" i="21"/>
  <c r="AJ29" i="21" s="1"/>
  <c r="AB29" i="21"/>
  <c r="AN29" i="21" s="1"/>
  <c r="W30" i="21"/>
  <c r="AI30" i="21" s="1"/>
  <c r="AA30" i="21"/>
  <c r="AM30" i="21" s="1"/>
  <c r="V31" i="21"/>
  <c r="AH31" i="21" s="1"/>
  <c r="Z31" i="21"/>
  <c r="AL31" i="21" s="1"/>
  <c r="Y32" i="21"/>
  <c r="AK32" i="21" s="1"/>
  <c r="X33" i="21"/>
  <c r="AJ33" i="21" s="1"/>
  <c r="AB33" i="21"/>
  <c r="AN33" i="21" s="1"/>
  <c r="W34" i="21"/>
  <c r="AI34" i="21" s="1"/>
  <c r="AA34" i="21"/>
  <c r="AM34" i="21" s="1"/>
  <c r="V35" i="21"/>
  <c r="AH35" i="21" s="1"/>
  <c r="Z35" i="21"/>
  <c r="AL35" i="21" s="1"/>
  <c r="Y36" i="21"/>
  <c r="AK36" i="21" s="1"/>
  <c r="X37" i="21"/>
  <c r="AJ37" i="21" s="1"/>
  <c r="AB37" i="21"/>
  <c r="AN37" i="21" s="1"/>
  <c r="W38" i="21"/>
  <c r="AI38" i="21" s="1"/>
  <c r="AA38" i="21"/>
  <c r="AM38" i="21" s="1"/>
  <c r="V39" i="21"/>
  <c r="AH39" i="21" s="1"/>
  <c r="Z39" i="21"/>
  <c r="AL39" i="21" s="1"/>
  <c r="Z40" i="21"/>
  <c r="AL40" i="21" s="1"/>
  <c r="Z41" i="21"/>
  <c r="AL41" i="21" s="1"/>
  <c r="Y43" i="21"/>
  <c r="AK43" i="21" s="1"/>
  <c r="W44" i="21"/>
  <c r="AI44" i="21" s="1"/>
  <c r="Z45" i="21"/>
  <c r="AL45" i="21" s="1"/>
  <c r="Y47" i="21"/>
  <c r="AK47" i="21" s="1"/>
  <c r="W48" i="21"/>
  <c r="AI48" i="21" s="1"/>
  <c r="Z49" i="21"/>
  <c r="AL49" i="21" s="1"/>
  <c r="Y51" i="21"/>
  <c r="AK51" i="21" s="1"/>
  <c r="W52" i="21"/>
  <c r="AI52" i="21" s="1"/>
  <c r="Z53" i="21"/>
  <c r="AL53" i="21" s="1"/>
  <c r="Y55" i="21"/>
  <c r="AK55" i="21" s="1"/>
  <c r="W56" i="21"/>
  <c r="AI56" i="21" s="1"/>
  <c r="Z57" i="21"/>
  <c r="AL57" i="21" s="1"/>
  <c r="Y59" i="21"/>
  <c r="AK59" i="21" s="1"/>
  <c r="W60" i="21"/>
  <c r="AI60" i="21" s="1"/>
  <c r="Z61" i="21"/>
  <c r="AL61" i="21" s="1"/>
  <c r="Y63" i="21"/>
  <c r="AK63" i="21" s="1"/>
  <c r="W64" i="21"/>
  <c r="AI64" i="21" s="1"/>
  <c r="AA65" i="21"/>
  <c r="AM65" i="21" s="1"/>
  <c r="Z66" i="21"/>
  <c r="AL66" i="21" s="1"/>
  <c r="X68" i="21"/>
  <c r="AJ68" i="21" s="1"/>
  <c r="AB69" i="21"/>
  <c r="AN69" i="21" s="1"/>
  <c r="Z71" i="21"/>
  <c r="AL71" i="21" s="1"/>
  <c r="Z74" i="21"/>
  <c r="AL74" i="21" s="1"/>
  <c r="X76" i="21"/>
  <c r="AJ76" i="21" s="1"/>
  <c r="AB77" i="21"/>
  <c r="AN77" i="21" s="1"/>
  <c r="Z79" i="21"/>
  <c r="AL79" i="21" s="1"/>
  <c r="Z82" i="21"/>
  <c r="AL82" i="21" s="1"/>
  <c r="X84" i="21"/>
  <c r="AJ84" i="21" s="1"/>
  <c r="AB85" i="21"/>
  <c r="AN85" i="21" s="1"/>
  <c r="Z87" i="21"/>
  <c r="AL87" i="21" s="1"/>
  <c r="Z90" i="21"/>
  <c r="AL90" i="21" s="1"/>
  <c r="X92" i="21"/>
  <c r="AJ92" i="21" s="1"/>
  <c r="AB93" i="21"/>
  <c r="AN93" i="21" s="1"/>
  <c r="Z95" i="21"/>
  <c r="AL95" i="21" s="1"/>
  <c r="Z98" i="21"/>
  <c r="AL98" i="21" s="1"/>
  <c r="X100" i="21"/>
  <c r="AJ100" i="21" s="1"/>
  <c r="X102" i="21"/>
  <c r="AJ102" i="21" s="1"/>
  <c r="V107" i="21"/>
  <c r="AH107" i="21" s="1"/>
  <c r="Y116" i="21"/>
  <c r="AK116" i="21" s="1"/>
  <c r="AB118" i="21"/>
  <c r="AN118" i="21" s="1"/>
  <c r="AP140" i="21" l="1"/>
  <c r="AP142" i="21"/>
  <c r="AP143" i="21" s="1"/>
  <c r="AS140" i="21"/>
  <c r="AS142" i="21"/>
  <c r="AS143" i="21" s="1"/>
  <c r="AS144" i="21" s="1"/>
  <c r="E22" i="17" s="1"/>
  <c r="AQ142" i="21"/>
  <c r="AQ143" i="21" s="1"/>
  <c r="AQ140" i="21"/>
  <c r="AO140" i="21"/>
  <c r="AO142" i="21"/>
  <c r="AO143" i="21" s="1"/>
  <c r="AR140" i="21"/>
  <c r="AR142" i="21"/>
  <c r="AR143" i="21" s="1"/>
  <c r="AH140" i="21"/>
  <c r="AH142" i="21"/>
  <c r="AH143" i="21" s="1"/>
  <c r="AJ142" i="21"/>
  <c r="AJ143" i="21" s="1"/>
  <c r="AL142" i="21"/>
  <c r="AL143" i="21" s="1"/>
  <c r="AK142" i="21"/>
  <c r="AK143" i="21" s="1"/>
  <c r="AN142" i="21"/>
  <c r="AN143" i="21" s="1"/>
  <c r="AI142" i="21"/>
  <c r="AI143" i="21" s="1"/>
  <c r="AM142" i="21"/>
  <c r="AM143" i="21" s="1"/>
  <c r="AM144" i="21" l="1"/>
  <c r="E16" i="17" s="1"/>
  <c r="AL144" i="21"/>
  <c r="E15" i="17" s="1"/>
  <c r="AK144" i="21"/>
  <c r="E14" i="17" s="1"/>
  <c r="AJ144" i="21"/>
  <c r="E13" i="17" s="1"/>
  <c r="AI144" i="21"/>
  <c r="E12" i="17" s="1"/>
  <c r="AH144" i="21"/>
  <c r="E11" i="17" s="1"/>
  <c r="A9" i="12"/>
  <c r="T13" i="12" l="1"/>
  <c r="S13" i="12"/>
  <c r="R13" i="12"/>
  <c r="Q13" i="12"/>
  <c r="P13" i="12"/>
  <c r="O13" i="12"/>
  <c r="N13" i="12"/>
  <c r="M13" i="12"/>
  <c r="L13" i="12"/>
  <c r="K13" i="12"/>
  <c r="J13" i="12"/>
  <c r="I13" i="12"/>
  <c r="H13" i="12"/>
  <c r="G13" i="12"/>
  <c r="F13" i="12"/>
  <c r="E13" i="12"/>
  <c r="D13" i="12"/>
  <c r="T12" i="12"/>
  <c r="S12" i="12"/>
  <c r="R12" i="12"/>
  <c r="Q12" i="12"/>
  <c r="P12" i="12"/>
  <c r="N12" i="12"/>
  <c r="M12" i="12"/>
  <c r="L12" i="12"/>
  <c r="K12" i="12"/>
  <c r="J12" i="12"/>
  <c r="I12" i="12"/>
  <c r="H12" i="12"/>
  <c r="G12" i="12"/>
  <c r="F12" i="12"/>
  <c r="E12" i="12"/>
  <c r="D12" i="12"/>
  <c r="T11" i="12"/>
  <c r="S11" i="12"/>
  <c r="R11" i="12"/>
  <c r="Q11" i="12"/>
  <c r="P11" i="12"/>
  <c r="N11" i="12"/>
  <c r="M11" i="12"/>
  <c r="L11" i="12"/>
  <c r="K11" i="12"/>
  <c r="J11" i="12"/>
  <c r="I11" i="12"/>
  <c r="H11" i="12"/>
  <c r="G11" i="12"/>
  <c r="F11" i="12"/>
  <c r="E11" i="12"/>
  <c r="D11" i="12"/>
  <c r="T10" i="12"/>
  <c r="S10" i="12"/>
  <c r="R10" i="12"/>
  <c r="Q10" i="12"/>
  <c r="P10" i="12"/>
  <c r="N10" i="12"/>
  <c r="M10" i="12"/>
  <c r="L10" i="12"/>
  <c r="K10" i="12"/>
  <c r="J10" i="12"/>
  <c r="I10" i="12"/>
  <c r="H10" i="12"/>
  <c r="G10" i="12"/>
  <c r="F10" i="12"/>
  <c r="E10" i="12"/>
  <c r="D10" i="12"/>
  <c r="AP144" i="12" l="1"/>
  <c r="C19" i="17" s="1"/>
  <c r="AO144" i="12"/>
  <c r="AR144" i="12"/>
  <c r="C21" i="17" s="1"/>
  <c r="AQ144" i="12"/>
  <c r="C20" i="17" s="1"/>
  <c r="AG17" i="12"/>
  <c r="AS17" i="12" s="1"/>
  <c r="AG21" i="12"/>
  <c r="AS21" i="12" s="1"/>
  <c r="AG25" i="12"/>
  <c r="AS25" i="12" s="1"/>
  <c r="AG29" i="12"/>
  <c r="AS29" i="12" s="1"/>
  <c r="AG33" i="12"/>
  <c r="AS33" i="12" s="1"/>
  <c r="AG37" i="12"/>
  <c r="AS37" i="12" s="1"/>
  <c r="AG41" i="12"/>
  <c r="AS41" i="12" s="1"/>
  <c r="AG45" i="12"/>
  <c r="AS45" i="12" s="1"/>
  <c r="AG49" i="12"/>
  <c r="AS49" i="12" s="1"/>
  <c r="AG53" i="12"/>
  <c r="AS53" i="12" s="1"/>
  <c r="AG57" i="12"/>
  <c r="AS57" i="12" s="1"/>
  <c r="AG61" i="12"/>
  <c r="AS61" i="12" s="1"/>
  <c r="AG65" i="12"/>
  <c r="AS65" i="12" s="1"/>
  <c r="AG69" i="12"/>
  <c r="AS69" i="12" s="1"/>
  <c r="AG73" i="12"/>
  <c r="AS73" i="12" s="1"/>
  <c r="AG77" i="12"/>
  <c r="AS77" i="12" s="1"/>
  <c r="AG81" i="12"/>
  <c r="AS81" i="12" s="1"/>
  <c r="AG85" i="12"/>
  <c r="AS85" i="12" s="1"/>
  <c r="AG89" i="12"/>
  <c r="AS89" i="12" s="1"/>
  <c r="AG93" i="12"/>
  <c r="AS93" i="12" s="1"/>
  <c r="AG97" i="12"/>
  <c r="AS97" i="12" s="1"/>
  <c r="AG101" i="12"/>
  <c r="AS101" i="12" s="1"/>
  <c r="AG105" i="12"/>
  <c r="AS105" i="12" s="1"/>
  <c r="AG109" i="12"/>
  <c r="AS109" i="12" s="1"/>
  <c r="AG113" i="12"/>
  <c r="AS113" i="12" s="1"/>
  <c r="AG117" i="12"/>
  <c r="AS117" i="12" s="1"/>
  <c r="AG121" i="12"/>
  <c r="AS121" i="12" s="1"/>
  <c r="AG125" i="12"/>
  <c r="AS125" i="12" s="1"/>
  <c r="AG129" i="12"/>
  <c r="AS129" i="12" s="1"/>
  <c r="AG133" i="12"/>
  <c r="AS133" i="12" s="1"/>
  <c r="AG137" i="12"/>
  <c r="AS137" i="12" s="1"/>
  <c r="AF15" i="12"/>
  <c r="AR15" i="12" s="1"/>
  <c r="AF19" i="12"/>
  <c r="AR19" i="12" s="1"/>
  <c r="AF23" i="12"/>
  <c r="AR23" i="12" s="1"/>
  <c r="AF27" i="12"/>
  <c r="AR27" i="12" s="1"/>
  <c r="AF31" i="12"/>
  <c r="AR31" i="12" s="1"/>
  <c r="AF35" i="12"/>
  <c r="AR35" i="12" s="1"/>
  <c r="AF39" i="12"/>
  <c r="AR39" i="12" s="1"/>
  <c r="AF43" i="12"/>
  <c r="AR43" i="12" s="1"/>
  <c r="AF47" i="12"/>
  <c r="AR47" i="12" s="1"/>
  <c r="AF51" i="12"/>
  <c r="AR51" i="12" s="1"/>
  <c r="AF55" i="12"/>
  <c r="AR55" i="12" s="1"/>
  <c r="AF59" i="12"/>
  <c r="AR59" i="12" s="1"/>
  <c r="AG18" i="12"/>
  <c r="AS18" i="12" s="1"/>
  <c r="AG22" i="12"/>
  <c r="AS22" i="12" s="1"/>
  <c r="AG26" i="12"/>
  <c r="AS26" i="12" s="1"/>
  <c r="AG30" i="12"/>
  <c r="AS30" i="12" s="1"/>
  <c r="AG34" i="12"/>
  <c r="AS34" i="12" s="1"/>
  <c r="AG38" i="12"/>
  <c r="AS38" i="12" s="1"/>
  <c r="AG42" i="12"/>
  <c r="AS42" i="12" s="1"/>
  <c r="AG46" i="12"/>
  <c r="AS46" i="12" s="1"/>
  <c r="AG50" i="12"/>
  <c r="AS50" i="12" s="1"/>
  <c r="AG54" i="12"/>
  <c r="AS54" i="12" s="1"/>
  <c r="AG58" i="12"/>
  <c r="AS58" i="12" s="1"/>
  <c r="AG62" i="12"/>
  <c r="AS62" i="12" s="1"/>
  <c r="AG66" i="12"/>
  <c r="AS66" i="12" s="1"/>
  <c r="AG70" i="12"/>
  <c r="AS70" i="12" s="1"/>
  <c r="AG74" i="12"/>
  <c r="AS74" i="12" s="1"/>
  <c r="AG78" i="12"/>
  <c r="AS78" i="12" s="1"/>
  <c r="AG82" i="12"/>
  <c r="AS82" i="12" s="1"/>
  <c r="AG86" i="12"/>
  <c r="AS86" i="12" s="1"/>
  <c r="AG90" i="12"/>
  <c r="AS90" i="12" s="1"/>
  <c r="AG19" i="12"/>
  <c r="AS19" i="12" s="1"/>
  <c r="AG27" i="12"/>
  <c r="AS27" i="12" s="1"/>
  <c r="AG35" i="12"/>
  <c r="AS35" i="12" s="1"/>
  <c r="AG43" i="12"/>
  <c r="AS43" i="12" s="1"/>
  <c r="AG51" i="12"/>
  <c r="AS51" i="12" s="1"/>
  <c r="AG59" i="12"/>
  <c r="AS59" i="12" s="1"/>
  <c r="AG67" i="12"/>
  <c r="AS67" i="12" s="1"/>
  <c r="AG75" i="12"/>
  <c r="AS75" i="12" s="1"/>
  <c r="AG83" i="12"/>
  <c r="AS83" i="12" s="1"/>
  <c r="AG91" i="12"/>
  <c r="AS91" i="12" s="1"/>
  <c r="AG96" i="12"/>
  <c r="AS96" i="12" s="1"/>
  <c r="AG102" i="12"/>
  <c r="AS102" i="12" s="1"/>
  <c r="AG107" i="12"/>
  <c r="AS107" i="12" s="1"/>
  <c r="AG112" i="12"/>
  <c r="AS112" i="12" s="1"/>
  <c r="AG118" i="12"/>
  <c r="AS118" i="12" s="1"/>
  <c r="AG123" i="12"/>
  <c r="AS123" i="12" s="1"/>
  <c r="AG128" i="12"/>
  <c r="AS128" i="12" s="1"/>
  <c r="AG134" i="12"/>
  <c r="AS134" i="12" s="1"/>
  <c r="AG139" i="12"/>
  <c r="AS139" i="12" s="1"/>
  <c r="AF18" i="12"/>
  <c r="AR18" i="12" s="1"/>
  <c r="AF24" i="12"/>
  <c r="AR24" i="12" s="1"/>
  <c r="AF29" i="12"/>
  <c r="AR29" i="12" s="1"/>
  <c r="AF34" i="12"/>
  <c r="AR34" i="12" s="1"/>
  <c r="AF40" i="12"/>
  <c r="AR40" i="12" s="1"/>
  <c r="AF45" i="12"/>
  <c r="AR45" i="12" s="1"/>
  <c r="AF50" i="12"/>
  <c r="AR50" i="12" s="1"/>
  <c r="AF56" i="12"/>
  <c r="AR56" i="12" s="1"/>
  <c r="AF61" i="12"/>
  <c r="AR61" i="12" s="1"/>
  <c r="AF65" i="12"/>
  <c r="AR65" i="12" s="1"/>
  <c r="AF69" i="12"/>
  <c r="AR69" i="12" s="1"/>
  <c r="AF73" i="12"/>
  <c r="AR73" i="12" s="1"/>
  <c r="AF77" i="12"/>
  <c r="AR77" i="12" s="1"/>
  <c r="AF81" i="12"/>
  <c r="AR81" i="12" s="1"/>
  <c r="AF85" i="12"/>
  <c r="AR85" i="12" s="1"/>
  <c r="AF89" i="12"/>
  <c r="AR89" i="12" s="1"/>
  <c r="AF93" i="12"/>
  <c r="AR93" i="12" s="1"/>
  <c r="AF97" i="12"/>
  <c r="AR97" i="12" s="1"/>
  <c r="AF101" i="12"/>
  <c r="AR101" i="12" s="1"/>
  <c r="AF105" i="12"/>
  <c r="AR105" i="12" s="1"/>
  <c r="AF109" i="12"/>
  <c r="AR109" i="12" s="1"/>
  <c r="AF113" i="12"/>
  <c r="AR113" i="12" s="1"/>
  <c r="AF117" i="12"/>
  <c r="AR117" i="12" s="1"/>
  <c r="AF121" i="12"/>
  <c r="AR121" i="12" s="1"/>
  <c r="AF125" i="12"/>
  <c r="AR125" i="12" s="1"/>
  <c r="AF129" i="12"/>
  <c r="AR129" i="12" s="1"/>
  <c r="AF133" i="12"/>
  <c r="AR133" i="12" s="1"/>
  <c r="AF137" i="12"/>
  <c r="AR137" i="12" s="1"/>
  <c r="AE15" i="12"/>
  <c r="AQ15" i="12" s="1"/>
  <c r="AE19" i="12"/>
  <c r="AQ19" i="12" s="1"/>
  <c r="AE23" i="12"/>
  <c r="AQ23" i="12" s="1"/>
  <c r="AE27" i="12"/>
  <c r="AQ27" i="12" s="1"/>
  <c r="AE31" i="12"/>
  <c r="AQ31" i="12" s="1"/>
  <c r="AE35" i="12"/>
  <c r="AQ35" i="12" s="1"/>
  <c r="AE39" i="12"/>
  <c r="AQ39" i="12" s="1"/>
  <c r="AE43" i="12"/>
  <c r="AQ43" i="12" s="1"/>
  <c r="AE47" i="12"/>
  <c r="AQ47" i="12" s="1"/>
  <c r="AE51" i="12"/>
  <c r="AQ51" i="12" s="1"/>
  <c r="AE55" i="12"/>
  <c r="AQ55" i="12" s="1"/>
  <c r="AE59" i="12"/>
  <c r="AQ59" i="12" s="1"/>
  <c r="AE63" i="12"/>
  <c r="AQ63" i="12" s="1"/>
  <c r="AE67" i="12"/>
  <c r="AQ67" i="12" s="1"/>
  <c r="AE71" i="12"/>
  <c r="AQ71" i="12" s="1"/>
  <c r="AE75" i="12"/>
  <c r="AQ75" i="12" s="1"/>
  <c r="AE79" i="12"/>
  <c r="AQ79" i="12" s="1"/>
  <c r="AE83" i="12"/>
  <c r="AQ83" i="12" s="1"/>
  <c r="AE87" i="12"/>
  <c r="AQ87" i="12" s="1"/>
  <c r="AE91" i="12"/>
  <c r="AQ91" i="12" s="1"/>
  <c r="AE95" i="12"/>
  <c r="AQ95" i="12" s="1"/>
  <c r="AE99" i="12"/>
  <c r="AQ99" i="12" s="1"/>
  <c r="AE103" i="12"/>
  <c r="AQ103" i="12" s="1"/>
  <c r="AE107" i="12"/>
  <c r="AQ107" i="12" s="1"/>
  <c r="AE111" i="12"/>
  <c r="AQ111" i="12" s="1"/>
  <c r="AE115" i="12"/>
  <c r="AQ115" i="12" s="1"/>
  <c r="AE119" i="12"/>
  <c r="AQ119" i="12" s="1"/>
  <c r="AE123" i="12"/>
  <c r="AQ123" i="12" s="1"/>
  <c r="AE127" i="12"/>
  <c r="AQ127" i="12" s="1"/>
  <c r="AE131" i="12"/>
  <c r="AQ131" i="12" s="1"/>
  <c r="AE135" i="12"/>
  <c r="AQ135" i="12" s="1"/>
  <c r="AE139" i="12"/>
  <c r="AQ139" i="12" s="1"/>
  <c r="AE9" i="12"/>
  <c r="AG23" i="12"/>
  <c r="AS23" i="12" s="1"/>
  <c r="AG39" i="12"/>
  <c r="AS39" i="12" s="1"/>
  <c r="AG55" i="12"/>
  <c r="AS55" i="12" s="1"/>
  <c r="AG71" i="12"/>
  <c r="AS71" i="12" s="1"/>
  <c r="AG87" i="12"/>
  <c r="AS87" i="12" s="1"/>
  <c r="AG99" i="12"/>
  <c r="AS99" i="12" s="1"/>
  <c r="AG110" i="12"/>
  <c r="AS110" i="12" s="1"/>
  <c r="AG120" i="12"/>
  <c r="AS120" i="12" s="1"/>
  <c r="AG131" i="12"/>
  <c r="AS131" i="12" s="1"/>
  <c r="AF16" i="12"/>
  <c r="AR16" i="12" s="1"/>
  <c r="AF26" i="12"/>
  <c r="AR26" i="12" s="1"/>
  <c r="AF37" i="12"/>
  <c r="AR37" i="12" s="1"/>
  <c r="AF48" i="12"/>
  <c r="AR48" i="12" s="1"/>
  <c r="AF58" i="12"/>
  <c r="AR58" i="12" s="1"/>
  <c r="AF67" i="12"/>
  <c r="AR67" i="12" s="1"/>
  <c r="AF75" i="12"/>
  <c r="AR75" i="12" s="1"/>
  <c r="AF83" i="12"/>
  <c r="AR83" i="12" s="1"/>
  <c r="AF91" i="12"/>
  <c r="AR91" i="12" s="1"/>
  <c r="AF99" i="12"/>
  <c r="AR99" i="12" s="1"/>
  <c r="AF107" i="12"/>
  <c r="AR107" i="12" s="1"/>
  <c r="AF115" i="12"/>
  <c r="AR115" i="12" s="1"/>
  <c r="AF123" i="12"/>
  <c r="AR123" i="12" s="1"/>
  <c r="AF131" i="12"/>
  <c r="AR131" i="12" s="1"/>
  <c r="AF139" i="12"/>
  <c r="AR139" i="12" s="1"/>
  <c r="AE21" i="12"/>
  <c r="AQ21" i="12" s="1"/>
  <c r="AE29" i="12"/>
  <c r="AQ29" i="12" s="1"/>
  <c r="AE37" i="12"/>
  <c r="AQ37" i="12" s="1"/>
  <c r="AE45" i="12"/>
  <c r="AQ45" i="12" s="1"/>
  <c r="AE53" i="12"/>
  <c r="AQ53" i="12" s="1"/>
  <c r="AE61" i="12"/>
  <c r="AQ61" i="12" s="1"/>
  <c r="AE69" i="12"/>
  <c r="AQ69" i="12" s="1"/>
  <c r="AE77" i="12"/>
  <c r="AQ77" i="12" s="1"/>
  <c r="AE85" i="12"/>
  <c r="AQ85" i="12" s="1"/>
  <c r="AE93" i="12"/>
  <c r="AQ93" i="12" s="1"/>
  <c r="AE101" i="12"/>
  <c r="AQ101" i="12" s="1"/>
  <c r="AE109" i="12"/>
  <c r="AQ109" i="12" s="1"/>
  <c r="AE117" i="12"/>
  <c r="AQ117" i="12" s="1"/>
  <c r="AE125" i="12"/>
  <c r="AQ125" i="12" s="1"/>
  <c r="AE133" i="12"/>
  <c r="AQ133" i="12" s="1"/>
  <c r="AG9" i="12"/>
  <c r="AG20" i="12"/>
  <c r="AS20" i="12" s="1"/>
  <c r="AG28" i="12"/>
  <c r="AS28" i="12" s="1"/>
  <c r="AG36" i="12"/>
  <c r="AS36" i="12" s="1"/>
  <c r="AG44" i="12"/>
  <c r="AS44" i="12" s="1"/>
  <c r="AG52" i="12"/>
  <c r="AS52" i="12" s="1"/>
  <c r="AG60" i="12"/>
  <c r="AS60" i="12" s="1"/>
  <c r="AG68" i="12"/>
  <c r="AS68" i="12" s="1"/>
  <c r="AG76" i="12"/>
  <c r="AS76" i="12" s="1"/>
  <c r="AG84" i="12"/>
  <c r="AS84" i="12" s="1"/>
  <c r="AG92" i="12"/>
  <c r="AS92" i="12" s="1"/>
  <c r="AG98" i="12"/>
  <c r="AS98" i="12" s="1"/>
  <c r="AG103" i="12"/>
  <c r="AS103" i="12" s="1"/>
  <c r="AG108" i="12"/>
  <c r="AS108" i="12" s="1"/>
  <c r="AG114" i="12"/>
  <c r="AS114" i="12" s="1"/>
  <c r="AG119" i="12"/>
  <c r="AS119" i="12" s="1"/>
  <c r="AG124" i="12"/>
  <c r="AS124" i="12" s="1"/>
  <c r="AG130" i="12"/>
  <c r="AS130" i="12" s="1"/>
  <c r="AG135" i="12"/>
  <c r="AS135" i="12" s="1"/>
  <c r="AG14" i="12"/>
  <c r="AS14" i="12" s="1"/>
  <c r="AF20" i="12"/>
  <c r="AR20" i="12" s="1"/>
  <c r="AF25" i="12"/>
  <c r="AR25" i="12" s="1"/>
  <c r="AF30" i="12"/>
  <c r="AR30" i="12" s="1"/>
  <c r="AF36" i="12"/>
  <c r="AR36" i="12" s="1"/>
  <c r="AF41" i="12"/>
  <c r="AR41" i="12" s="1"/>
  <c r="AF46" i="12"/>
  <c r="AR46" i="12" s="1"/>
  <c r="AF52" i="12"/>
  <c r="AR52" i="12" s="1"/>
  <c r="AF57" i="12"/>
  <c r="AR57" i="12" s="1"/>
  <c r="AF62" i="12"/>
  <c r="AR62" i="12" s="1"/>
  <c r="AF66" i="12"/>
  <c r="AR66" i="12" s="1"/>
  <c r="AF70" i="12"/>
  <c r="AR70" i="12" s="1"/>
  <c r="AF74" i="12"/>
  <c r="AR74" i="12" s="1"/>
  <c r="AF78" i="12"/>
  <c r="AR78" i="12" s="1"/>
  <c r="AF82" i="12"/>
  <c r="AR82" i="12" s="1"/>
  <c r="AF86" i="12"/>
  <c r="AR86" i="12" s="1"/>
  <c r="AF90" i="12"/>
  <c r="AR90" i="12" s="1"/>
  <c r="AF94" i="12"/>
  <c r="AR94" i="12" s="1"/>
  <c r="AF98" i="12"/>
  <c r="AR98" i="12" s="1"/>
  <c r="AF102" i="12"/>
  <c r="AR102" i="12" s="1"/>
  <c r="AF106" i="12"/>
  <c r="AR106" i="12" s="1"/>
  <c r="AF110" i="12"/>
  <c r="AR110" i="12" s="1"/>
  <c r="AF114" i="12"/>
  <c r="AR114" i="12" s="1"/>
  <c r="AF118" i="12"/>
  <c r="AR118" i="12" s="1"/>
  <c r="AF122" i="12"/>
  <c r="AR122" i="12" s="1"/>
  <c r="AF126" i="12"/>
  <c r="AR126" i="12" s="1"/>
  <c r="AF130" i="12"/>
  <c r="AR130" i="12" s="1"/>
  <c r="AF134" i="12"/>
  <c r="AR134" i="12" s="1"/>
  <c r="AF138" i="12"/>
  <c r="AR138" i="12" s="1"/>
  <c r="AE16" i="12"/>
  <c r="AQ16" i="12" s="1"/>
  <c r="AE20" i="12"/>
  <c r="AQ20" i="12" s="1"/>
  <c r="AE24" i="12"/>
  <c r="AQ24" i="12" s="1"/>
  <c r="AE28" i="12"/>
  <c r="AQ28" i="12" s="1"/>
  <c r="AE32" i="12"/>
  <c r="AQ32" i="12" s="1"/>
  <c r="AE36" i="12"/>
  <c r="AQ36" i="12" s="1"/>
  <c r="AE40" i="12"/>
  <c r="AQ40" i="12" s="1"/>
  <c r="AE44" i="12"/>
  <c r="AQ44" i="12" s="1"/>
  <c r="AE48" i="12"/>
  <c r="AQ48" i="12" s="1"/>
  <c r="AE52" i="12"/>
  <c r="AQ52" i="12" s="1"/>
  <c r="AE56" i="12"/>
  <c r="AQ56" i="12" s="1"/>
  <c r="AE60" i="12"/>
  <c r="AQ60" i="12" s="1"/>
  <c r="AE64" i="12"/>
  <c r="AQ64" i="12" s="1"/>
  <c r="AE68" i="12"/>
  <c r="AQ68" i="12" s="1"/>
  <c r="AE72" i="12"/>
  <c r="AQ72" i="12" s="1"/>
  <c r="AE76" i="12"/>
  <c r="AQ76" i="12" s="1"/>
  <c r="AE80" i="12"/>
  <c r="AQ80" i="12" s="1"/>
  <c r="AE84" i="12"/>
  <c r="AQ84" i="12" s="1"/>
  <c r="AE88" i="12"/>
  <c r="AQ88" i="12" s="1"/>
  <c r="AE92" i="12"/>
  <c r="AQ92" i="12" s="1"/>
  <c r="AE96" i="12"/>
  <c r="AQ96" i="12" s="1"/>
  <c r="AE100" i="12"/>
  <c r="AQ100" i="12" s="1"/>
  <c r="AE104" i="12"/>
  <c r="AQ104" i="12" s="1"/>
  <c r="AE108" i="12"/>
  <c r="AQ108" i="12" s="1"/>
  <c r="AE112" i="12"/>
  <c r="AQ112" i="12" s="1"/>
  <c r="AE116" i="12"/>
  <c r="AQ116" i="12" s="1"/>
  <c r="AE120" i="12"/>
  <c r="AQ120" i="12" s="1"/>
  <c r="AE124" i="12"/>
  <c r="AQ124" i="12" s="1"/>
  <c r="AE128" i="12"/>
  <c r="AQ128" i="12" s="1"/>
  <c r="AE132" i="12"/>
  <c r="AQ132" i="12" s="1"/>
  <c r="AE136" i="12"/>
  <c r="AQ136" i="12" s="1"/>
  <c r="AE14" i="12"/>
  <c r="AQ14" i="12" s="1"/>
  <c r="AG10" i="12"/>
  <c r="AG15" i="12"/>
  <c r="AS15" i="12" s="1"/>
  <c r="AG31" i="12"/>
  <c r="AS31" i="12" s="1"/>
  <c r="AG47" i="12"/>
  <c r="AS47" i="12" s="1"/>
  <c r="AG63" i="12"/>
  <c r="AS63" i="12" s="1"/>
  <c r="AG79" i="12"/>
  <c r="AS79" i="12" s="1"/>
  <c r="AG94" i="12"/>
  <c r="AS94" i="12" s="1"/>
  <c r="AG104" i="12"/>
  <c r="AS104" i="12" s="1"/>
  <c r="AG115" i="12"/>
  <c r="AS115" i="12" s="1"/>
  <c r="AG126" i="12"/>
  <c r="AS126" i="12" s="1"/>
  <c r="AG136" i="12"/>
  <c r="AS136" i="12" s="1"/>
  <c r="AF21" i="12"/>
  <c r="AR21" i="12" s="1"/>
  <c r="AF32" i="12"/>
  <c r="AR32" i="12" s="1"/>
  <c r="AF42" i="12"/>
  <c r="AR42" i="12" s="1"/>
  <c r="AF53" i="12"/>
  <c r="AR53" i="12" s="1"/>
  <c r="AF63" i="12"/>
  <c r="AR63" i="12" s="1"/>
  <c r="AF71" i="12"/>
  <c r="AR71" i="12" s="1"/>
  <c r="AF79" i="12"/>
  <c r="AR79" i="12" s="1"/>
  <c r="AF87" i="12"/>
  <c r="AR87" i="12" s="1"/>
  <c r="AF95" i="12"/>
  <c r="AR95" i="12" s="1"/>
  <c r="AF103" i="12"/>
  <c r="AR103" i="12" s="1"/>
  <c r="AF111" i="12"/>
  <c r="AR111" i="12" s="1"/>
  <c r="AF119" i="12"/>
  <c r="AR119" i="12" s="1"/>
  <c r="AF127" i="12"/>
  <c r="AR127" i="12" s="1"/>
  <c r="AF135" i="12"/>
  <c r="AR135" i="12" s="1"/>
  <c r="AE17" i="12"/>
  <c r="AQ17" i="12" s="1"/>
  <c r="AE25" i="12"/>
  <c r="AQ25" i="12" s="1"/>
  <c r="AE33" i="12"/>
  <c r="AQ33" i="12" s="1"/>
  <c r="AE41" i="12"/>
  <c r="AQ41" i="12" s="1"/>
  <c r="AE49" i="12"/>
  <c r="AQ49" i="12" s="1"/>
  <c r="AE57" i="12"/>
  <c r="AQ57" i="12" s="1"/>
  <c r="AE65" i="12"/>
  <c r="AQ65" i="12" s="1"/>
  <c r="AE73" i="12"/>
  <c r="AQ73" i="12" s="1"/>
  <c r="AE81" i="12"/>
  <c r="AQ81" i="12" s="1"/>
  <c r="AE89" i="12"/>
  <c r="AQ89" i="12" s="1"/>
  <c r="AE97" i="12"/>
  <c r="AQ97" i="12" s="1"/>
  <c r="AE105" i="12"/>
  <c r="AQ105" i="12" s="1"/>
  <c r="AE113" i="12"/>
  <c r="AQ113" i="12" s="1"/>
  <c r="AE121" i="12"/>
  <c r="AQ121" i="12" s="1"/>
  <c r="AE129" i="12"/>
  <c r="AQ129" i="12" s="1"/>
  <c r="AE137" i="12"/>
  <c r="AQ137" i="12" s="1"/>
  <c r="AF10" i="12"/>
  <c r="AG16" i="12"/>
  <c r="AS16" i="12" s="1"/>
  <c r="AG48" i="12"/>
  <c r="AS48" i="12" s="1"/>
  <c r="AG80" i="12"/>
  <c r="AS80" i="12" s="1"/>
  <c r="AG106" i="12"/>
  <c r="AS106" i="12" s="1"/>
  <c r="AG127" i="12"/>
  <c r="AS127" i="12" s="1"/>
  <c r="AF22" i="12"/>
  <c r="AR22" i="12" s="1"/>
  <c r="AF44" i="12"/>
  <c r="AR44" i="12" s="1"/>
  <c r="AF64" i="12"/>
  <c r="AR64" i="12" s="1"/>
  <c r="AF80" i="12"/>
  <c r="AR80" i="12" s="1"/>
  <c r="AF96" i="12"/>
  <c r="AR96" i="12" s="1"/>
  <c r="AF112" i="12"/>
  <c r="AR112" i="12" s="1"/>
  <c r="AF128" i="12"/>
  <c r="AR128" i="12" s="1"/>
  <c r="AE18" i="12"/>
  <c r="AQ18" i="12" s="1"/>
  <c r="AE34" i="12"/>
  <c r="AQ34" i="12" s="1"/>
  <c r="AE50" i="12"/>
  <c r="AQ50" i="12" s="1"/>
  <c r="AE66" i="12"/>
  <c r="AQ66" i="12" s="1"/>
  <c r="AE82" i="12"/>
  <c r="AQ82" i="12" s="1"/>
  <c r="AE98" i="12"/>
  <c r="AQ98" i="12" s="1"/>
  <c r="AE114" i="12"/>
  <c r="AQ114" i="12" s="1"/>
  <c r="AE130" i="12"/>
  <c r="AQ130" i="12" s="1"/>
  <c r="AE10" i="12"/>
  <c r="AE134" i="12"/>
  <c r="AQ134" i="12" s="1"/>
  <c r="AG32" i="12"/>
  <c r="AS32" i="12" s="1"/>
  <c r="AG95" i="12"/>
  <c r="AS95" i="12" s="1"/>
  <c r="AG138" i="12"/>
  <c r="AS138" i="12" s="1"/>
  <c r="AF54" i="12"/>
  <c r="AR54" i="12" s="1"/>
  <c r="AF88" i="12"/>
  <c r="AR88" i="12" s="1"/>
  <c r="AF120" i="12"/>
  <c r="AR120" i="12" s="1"/>
  <c r="AE26" i="12"/>
  <c r="AQ26" i="12" s="1"/>
  <c r="AE58" i="12"/>
  <c r="AQ58" i="12" s="1"/>
  <c r="AE90" i="12"/>
  <c r="AQ90" i="12" s="1"/>
  <c r="AE122" i="12"/>
  <c r="AQ122" i="12" s="1"/>
  <c r="AE126" i="12"/>
  <c r="AQ126" i="12" s="1"/>
  <c r="AG24" i="12"/>
  <c r="AS24" i="12" s="1"/>
  <c r="AG56" i="12"/>
  <c r="AS56" i="12" s="1"/>
  <c r="AG88" i="12"/>
  <c r="AS88" i="12" s="1"/>
  <c r="AG111" i="12"/>
  <c r="AS111" i="12" s="1"/>
  <c r="AG132" i="12"/>
  <c r="AS132" i="12" s="1"/>
  <c r="AF28" i="12"/>
  <c r="AR28" i="12" s="1"/>
  <c r="AF49" i="12"/>
  <c r="AR49" i="12" s="1"/>
  <c r="AF68" i="12"/>
  <c r="AR68" i="12" s="1"/>
  <c r="AF84" i="12"/>
  <c r="AR84" i="12" s="1"/>
  <c r="AF100" i="12"/>
  <c r="AR100" i="12" s="1"/>
  <c r="AF116" i="12"/>
  <c r="AR116" i="12" s="1"/>
  <c r="AF132" i="12"/>
  <c r="AR132" i="12" s="1"/>
  <c r="AE22" i="12"/>
  <c r="AQ22" i="12" s="1"/>
  <c r="AE38" i="12"/>
  <c r="AQ38" i="12" s="1"/>
  <c r="AE54" i="12"/>
  <c r="AQ54" i="12" s="1"/>
  <c r="AE70" i="12"/>
  <c r="AQ70" i="12" s="1"/>
  <c r="AE86" i="12"/>
  <c r="AQ86" i="12" s="1"/>
  <c r="AE102" i="12"/>
  <c r="AQ102" i="12" s="1"/>
  <c r="AE118" i="12"/>
  <c r="AQ118" i="12" s="1"/>
  <c r="AG64" i="12"/>
  <c r="AS64" i="12" s="1"/>
  <c r="AG116" i="12"/>
  <c r="AS116" i="12" s="1"/>
  <c r="AF33" i="12"/>
  <c r="AR33" i="12" s="1"/>
  <c r="AF72" i="12"/>
  <c r="AR72" i="12" s="1"/>
  <c r="AF104" i="12"/>
  <c r="AR104" i="12" s="1"/>
  <c r="AF136" i="12"/>
  <c r="AR136" i="12" s="1"/>
  <c r="AE42" i="12"/>
  <c r="AQ42" i="12" s="1"/>
  <c r="AE74" i="12"/>
  <c r="AQ74" i="12" s="1"/>
  <c r="AE106" i="12"/>
  <c r="AQ106" i="12" s="1"/>
  <c r="AE138" i="12"/>
  <c r="AQ138" i="12" s="1"/>
  <c r="AG40" i="12"/>
  <c r="AS40" i="12" s="1"/>
  <c r="AG72" i="12"/>
  <c r="AS72" i="12" s="1"/>
  <c r="AG100" i="12"/>
  <c r="AS100" i="12" s="1"/>
  <c r="AG122" i="12"/>
  <c r="AS122" i="12" s="1"/>
  <c r="AF17" i="12"/>
  <c r="AR17" i="12" s="1"/>
  <c r="AF38" i="12"/>
  <c r="AR38" i="12" s="1"/>
  <c r="AF60" i="12"/>
  <c r="AR60" i="12" s="1"/>
  <c r="AF76" i="12"/>
  <c r="AR76" i="12" s="1"/>
  <c r="AF92" i="12"/>
  <c r="AR92" i="12" s="1"/>
  <c r="AF108" i="12"/>
  <c r="AR108" i="12" s="1"/>
  <c r="AF124" i="12"/>
  <c r="AR124" i="12" s="1"/>
  <c r="AF14" i="12"/>
  <c r="AR14" i="12" s="1"/>
  <c r="AE30" i="12"/>
  <c r="AQ30" i="12" s="1"/>
  <c r="AE46" i="12"/>
  <c r="AQ46" i="12" s="1"/>
  <c r="AE62" i="12"/>
  <c r="AQ62" i="12" s="1"/>
  <c r="AE78" i="12"/>
  <c r="AQ78" i="12" s="1"/>
  <c r="AE94" i="12"/>
  <c r="AQ94" i="12" s="1"/>
  <c r="AE110" i="12"/>
  <c r="AQ110" i="12" s="1"/>
  <c r="AF9" i="12"/>
  <c r="AD17" i="12"/>
  <c r="AP17" i="12" s="1"/>
  <c r="AD21" i="12"/>
  <c r="AP21" i="12" s="1"/>
  <c r="AD25" i="12"/>
  <c r="AP25" i="12" s="1"/>
  <c r="AD29" i="12"/>
  <c r="AP29" i="12" s="1"/>
  <c r="AD33" i="12"/>
  <c r="AP33" i="12" s="1"/>
  <c r="AD37" i="12"/>
  <c r="AP37" i="12" s="1"/>
  <c r="AD41" i="12"/>
  <c r="AP41" i="12" s="1"/>
  <c r="AD45" i="12"/>
  <c r="AP45" i="12" s="1"/>
  <c r="AD49" i="12"/>
  <c r="AP49" i="12" s="1"/>
  <c r="AD53" i="12"/>
  <c r="AP53" i="12" s="1"/>
  <c r="AD57" i="12"/>
  <c r="AP57" i="12" s="1"/>
  <c r="AD61" i="12"/>
  <c r="AP61" i="12" s="1"/>
  <c r="AD65" i="12"/>
  <c r="AP65" i="12" s="1"/>
  <c r="AD69" i="12"/>
  <c r="AP69" i="12" s="1"/>
  <c r="AD73" i="12"/>
  <c r="AP73" i="12" s="1"/>
  <c r="AD77" i="12"/>
  <c r="AP77" i="12" s="1"/>
  <c r="AD81" i="12"/>
  <c r="AP81" i="12" s="1"/>
  <c r="AD85" i="12"/>
  <c r="AP85" i="12" s="1"/>
  <c r="AD89" i="12"/>
  <c r="AP89" i="12" s="1"/>
  <c r="AD93" i="12"/>
  <c r="AP93" i="12" s="1"/>
  <c r="AD97" i="12"/>
  <c r="AP97" i="12" s="1"/>
  <c r="AD101" i="12"/>
  <c r="AP101" i="12" s="1"/>
  <c r="AD105" i="12"/>
  <c r="AP105" i="12" s="1"/>
  <c r="AD109" i="12"/>
  <c r="AP109" i="12" s="1"/>
  <c r="AD113" i="12"/>
  <c r="AP113" i="12" s="1"/>
  <c r="AD117" i="12"/>
  <c r="AP117" i="12" s="1"/>
  <c r="AD121" i="12"/>
  <c r="AP121" i="12" s="1"/>
  <c r="AD125" i="12"/>
  <c r="AP125" i="12" s="1"/>
  <c r="AD129" i="12"/>
  <c r="AP129" i="12" s="1"/>
  <c r="AD133" i="12"/>
  <c r="AP133" i="12" s="1"/>
  <c r="AD137" i="12"/>
  <c r="AP137" i="12" s="1"/>
  <c r="AD9" i="12"/>
  <c r="AD23" i="12"/>
  <c r="AP23" i="12" s="1"/>
  <c r="AD31" i="12"/>
  <c r="AP31" i="12" s="1"/>
  <c r="AD39" i="12"/>
  <c r="AP39" i="12" s="1"/>
  <c r="AD47" i="12"/>
  <c r="AP47" i="12" s="1"/>
  <c r="AD18" i="12"/>
  <c r="AP18" i="12" s="1"/>
  <c r="AD22" i="12"/>
  <c r="AP22" i="12" s="1"/>
  <c r="AD26" i="12"/>
  <c r="AP26" i="12" s="1"/>
  <c r="AD30" i="12"/>
  <c r="AP30" i="12" s="1"/>
  <c r="AD34" i="12"/>
  <c r="AP34" i="12" s="1"/>
  <c r="AD38" i="12"/>
  <c r="AP38" i="12" s="1"/>
  <c r="AD42" i="12"/>
  <c r="AP42" i="12" s="1"/>
  <c r="AD46" i="12"/>
  <c r="AP46" i="12" s="1"/>
  <c r="AD50" i="12"/>
  <c r="AP50" i="12" s="1"/>
  <c r="AD54" i="12"/>
  <c r="AP54" i="12" s="1"/>
  <c r="AD58" i="12"/>
  <c r="AP58" i="12" s="1"/>
  <c r="AD62" i="12"/>
  <c r="AP62" i="12" s="1"/>
  <c r="AD66" i="12"/>
  <c r="AP66" i="12" s="1"/>
  <c r="AD70" i="12"/>
  <c r="AP70" i="12" s="1"/>
  <c r="AD74" i="12"/>
  <c r="AP74" i="12" s="1"/>
  <c r="AD78" i="12"/>
  <c r="AP78" i="12" s="1"/>
  <c r="AD82" i="12"/>
  <c r="AP82" i="12" s="1"/>
  <c r="AD86" i="12"/>
  <c r="AP86" i="12" s="1"/>
  <c r="AD90" i="12"/>
  <c r="AP90" i="12" s="1"/>
  <c r="AD94" i="12"/>
  <c r="AP94" i="12" s="1"/>
  <c r="AD98" i="12"/>
  <c r="AP98" i="12" s="1"/>
  <c r="AD102" i="12"/>
  <c r="AP102" i="12" s="1"/>
  <c r="AD106" i="12"/>
  <c r="AP106" i="12" s="1"/>
  <c r="AD110" i="12"/>
  <c r="AP110" i="12" s="1"/>
  <c r="AD114" i="12"/>
  <c r="AP114" i="12" s="1"/>
  <c r="AD118" i="12"/>
  <c r="AP118" i="12" s="1"/>
  <c r="AD122" i="12"/>
  <c r="AP122" i="12" s="1"/>
  <c r="AD126" i="12"/>
  <c r="AP126" i="12" s="1"/>
  <c r="AD130" i="12"/>
  <c r="AP130" i="12" s="1"/>
  <c r="AD134" i="12"/>
  <c r="AP134" i="12" s="1"/>
  <c r="AD138" i="12"/>
  <c r="AP138" i="12" s="1"/>
  <c r="AD10" i="12"/>
  <c r="AD15" i="12"/>
  <c r="AP15" i="12" s="1"/>
  <c r="AD19" i="12"/>
  <c r="AP19" i="12" s="1"/>
  <c r="AD27" i="12"/>
  <c r="AP27" i="12" s="1"/>
  <c r="AD35" i="12"/>
  <c r="AP35" i="12" s="1"/>
  <c r="AD43" i="12"/>
  <c r="AP43" i="12" s="1"/>
  <c r="AD51" i="12"/>
  <c r="AP51" i="12" s="1"/>
  <c r="AD59" i="12"/>
  <c r="AP59" i="12" s="1"/>
  <c r="AD20" i="12"/>
  <c r="AP20" i="12" s="1"/>
  <c r="AD36" i="12"/>
  <c r="AP36" i="12" s="1"/>
  <c r="AD52" i="12"/>
  <c r="AP52" i="12" s="1"/>
  <c r="AD63" i="12"/>
  <c r="AP63" i="12" s="1"/>
  <c r="AD71" i="12"/>
  <c r="AP71" i="12" s="1"/>
  <c r="AD79" i="12"/>
  <c r="AP79" i="12" s="1"/>
  <c r="AD87" i="12"/>
  <c r="AP87" i="12" s="1"/>
  <c r="AD95" i="12"/>
  <c r="AP95" i="12" s="1"/>
  <c r="AD103" i="12"/>
  <c r="AP103" i="12" s="1"/>
  <c r="AD111" i="12"/>
  <c r="AP111" i="12" s="1"/>
  <c r="AD119" i="12"/>
  <c r="AP119" i="12" s="1"/>
  <c r="AD127" i="12"/>
  <c r="AP127" i="12" s="1"/>
  <c r="AD135" i="12"/>
  <c r="AP135" i="12" s="1"/>
  <c r="AD24" i="12"/>
  <c r="AP24" i="12" s="1"/>
  <c r="AD40" i="12"/>
  <c r="AP40" i="12" s="1"/>
  <c r="AD55" i="12"/>
  <c r="AP55" i="12" s="1"/>
  <c r="AD64" i="12"/>
  <c r="AP64" i="12" s="1"/>
  <c r="AD72" i="12"/>
  <c r="AP72" i="12" s="1"/>
  <c r="AD80" i="12"/>
  <c r="AP80" i="12" s="1"/>
  <c r="AD88" i="12"/>
  <c r="AP88" i="12" s="1"/>
  <c r="AD96" i="12"/>
  <c r="AP96" i="12" s="1"/>
  <c r="AD104" i="12"/>
  <c r="AP104" i="12" s="1"/>
  <c r="AD112" i="12"/>
  <c r="AP112" i="12" s="1"/>
  <c r="AD120" i="12"/>
  <c r="AP120" i="12" s="1"/>
  <c r="AD128" i="12"/>
  <c r="AP128" i="12" s="1"/>
  <c r="AD136" i="12"/>
  <c r="AP136" i="12" s="1"/>
  <c r="AD28" i="12"/>
  <c r="AP28" i="12" s="1"/>
  <c r="AD44" i="12"/>
  <c r="AP44" i="12" s="1"/>
  <c r="AD56" i="12"/>
  <c r="AP56" i="12" s="1"/>
  <c r="AD67" i="12"/>
  <c r="AP67" i="12" s="1"/>
  <c r="AD75" i="12"/>
  <c r="AP75" i="12" s="1"/>
  <c r="AD83" i="12"/>
  <c r="AP83" i="12" s="1"/>
  <c r="AD91" i="12"/>
  <c r="AP91" i="12" s="1"/>
  <c r="AD99" i="12"/>
  <c r="AP99" i="12" s="1"/>
  <c r="AD107" i="12"/>
  <c r="AP107" i="12" s="1"/>
  <c r="AD115" i="12"/>
  <c r="AP115" i="12" s="1"/>
  <c r="AD123" i="12"/>
  <c r="AP123" i="12" s="1"/>
  <c r="AD131" i="12"/>
  <c r="AP131" i="12" s="1"/>
  <c r="AD139" i="12"/>
  <c r="AP139" i="12" s="1"/>
  <c r="AD16" i="12"/>
  <c r="AP16" i="12" s="1"/>
  <c r="AD32" i="12"/>
  <c r="AP32" i="12" s="1"/>
  <c r="AD48" i="12"/>
  <c r="AP48" i="12" s="1"/>
  <c r="AD60" i="12"/>
  <c r="AP60" i="12" s="1"/>
  <c r="AD68" i="12"/>
  <c r="AP68" i="12" s="1"/>
  <c r="AD76" i="12"/>
  <c r="AP76" i="12" s="1"/>
  <c r="AD84" i="12"/>
  <c r="AP84" i="12" s="1"/>
  <c r="AD92" i="12"/>
  <c r="AP92" i="12" s="1"/>
  <c r="AD100" i="12"/>
  <c r="AP100" i="12" s="1"/>
  <c r="AD108" i="12"/>
  <c r="AP108" i="12" s="1"/>
  <c r="AD116" i="12"/>
  <c r="AP116" i="12" s="1"/>
  <c r="AD124" i="12"/>
  <c r="AP124" i="12" s="1"/>
  <c r="AD132" i="12"/>
  <c r="AP132" i="12" s="1"/>
  <c r="AD14" i="12"/>
  <c r="AP14" i="12" s="1"/>
  <c r="AC9" i="12"/>
  <c r="AC18" i="12"/>
  <c r="AO18" i="12" s="1"/>
  <c r="AC22" i="12"/>
  <c r="AO22" i="12" s="1"/>
  <c r="AC26" i="12"/>
  <c r="AO26" i="12" s="1"/>
  <c r="AC30" i="12"/>
  <c r="AO30" i="12" s="1"/>
  <c r="AC34" i="12"/>
  <c r="AO34" i="12" s="1"/>
  <c r="AC38" i="12"/>
  <c r="AO38" i="12" s="1"/>
  <c r="AC42" i="12"/>
  <c r="AO42" i="12" s="1"/>
  <c r="AC46" i="12"/>
  <c r="AO46" i="12" s="1"/>
  <c r="AC50" i="12"/>
  <c r="AO50" i="12" s="1"/>
  <c r="AC54" i="12"/>
  <c r="AO54" i="12" s="1"/>
  <c r="AC58" i="12"/>
  <c r="AO58" i="12" s="1"/>
  <c r="AC62" i="12"/>
  <c r="AO62" i="12" s="1"/>
  <c r="AC66" i="12"/>
  <c r="AO66" i="12" s="1"/>
  <c r="AC70" i="12"/>
  <c r="AO70" i="12" s="1"/>
  <c r="AC74" i="12"/>
  <c r="AO74" i="12" s="1"/>
  <c r="AC78" i="12"/>
  <c r="AO78" i="12" s="1"/>
  <c r="AC82" i="12"/>
  <c r="AO82" i="12" s="1"/>
  <c r="AC86" i="12"/>
  <c r="AO86" i="12" s="1"/>
  <c r="AC90" i="12"/>
  <c r="AO90" i="12" s="1"/>
  <c r="AC94" i="12"/>
  <c r="AO94" i="12" s="1"/>
  <c r="AC98" i="12"/>
  <c r="AO98" i="12" s="1"/>
  <c r="AC102" i="12"/>
  <c r="AO102" i="12" s="1"/>
  <c r="AC106" i="12"/>
  <c r="AO106" i="12" s="1"/>
  <c r="AC110" i="12"/>
  <c r="AO110" i="12" s="1"/>
  <c r="AC114" i="12"/>
  <c r="AO114" i="12" s="1"/>
  <c r="AC118" i="12"/>
  <c r="AO118" i="12" s="1"/>
  <c r="AC122" i="12"/>
  <c r="AO122" i="12" s="1"/>
  <c r="AC126" i="12"/>
  <c r="AO126" i="12" s="1"/>
  <c r="AC130" i="12"/>
  <c r="AO130" i="12" s="1"/>
  <c r="AC134" i="12"/>
  <c r="AO134" i="12" s="1"/>
  <c r="AC138" i="12"/>
  <c r="AO138" i="12" s="1"/>
  <c r="AC10" i="12"/>
  <c r="AC27" i="12"/>
  <c r="AO27" i="12" s="1"/>
  <c r="AC39" i="12"/>
  <c r="AO39" i="12" s="1"/>
  <c r="AC47" i="12"/>
  <c r="AO47" i="12" s="1"/>
  <c r="AC55" i="12"/>
  <c r="AO55" i="12" s="1"/>
  <c r="AC63" i="12"/>
  <c r="AO63" i="12" s="1"/>
  <c r="AC71" i="12"/>
  <c r="AO71" i="12" s="1"/>
  <c r="AC79" i="12"/>
  <c r="AO79" i="12" s="1"/>
  <c r="AC87" i="12"/>
  <c r="AO87" i="12" s="1"/>
  <c r="AC95" i="12"/>
  <c r="AO95" i="12" s="1"/>
  <c r="AC103" i="12"/>
  <c r="AO103" i="12" s="1"/>
  <c r="AC111" i="12"/>
  <c r="AO111" i="12" s="1"/>
  <c r="AC119" i="12"/>
  <c r="AO119" i="12" s="1"/>
  <c r="AC127" i="12"/>
  <c r="AO127" i="12" s="1"/>
  <c r="AC135" i="12"/>
  <c r="AO135" i="12" s="1"/>
  <c r="AC16" i="12"/>
  <c r="AO16" i="12" s="1"/>
  <c r="AC20" i="12"/>
  <c r="AO20" i="12" s="1"/>
  <c r="AC24" i="12"/>
  <c r="AO24" i="12" s="1"/>
  <c r="AC28" i="12"/>
  <c r="AO28" i="12" s="1"/>
  <c r="AC32" i="12"/>
  <c r="AO32" i="12" s="1"/>
  <c r="AC36" i="12"/>
  <c r="AO36" i="12" s="1"/>
  <c r="AC40" i="12"/>
  <c r="AO40" i="12" s="1"/>
  <c r="AC44" i="12"/>
  <c r="AO44" i="12" s="1"/>
  <c r="AC48" i="12"/>
  <c r="AO48" i="12" s="1"/>
  <c r="AC52" i="12"/>
  <c r="AO52" i="12" s="1"/>
  <c r="AC56" i="12"/>
  <c r="AO56" i="12" s="1"/>
  <c r="AC60" i="12"/>
  <c r="AO60" i="12" s="1"/>
  <c r="AC64" i="12"/>
  <c r="AO64" i="12" s="1"/>
  <c r="AC68" i="12"/>
  <c r="AO68" i="12" s="1"/>
  <c r="AC72" i="12"/>
  <c r="AO72" i="12" s="1"/>
  <c r="AC76" i="12"/>
  <c r="AO76" i="12" s="1"/>
  <c r="AC80" i="12"/>
  <c r="AO80" i="12" s="1"/>
  <c r="AC84" i="12"/>
  <c r="AO84" i="12" s="1"/>
  <c r="AC88" i="12"/>
  <c r="AO88" i="12" s="1"/>
  <c r="AC92" i="12"/>
  <c r="AO92" i="12" s="1"/>
  <c r="AC96" i="12"/>
  <c r="AO96" i="12" s="1"/>
  <c r="AC100" i="12"/>
  <c r="AO100" i="12" s="1"/>
  <c r="AC104" i="12"/>
  <c r="AO104" i="12" s="1"/>
  <c r="AC108" i="12"/>
  <c r="AO108" i="12" s="1"/>
  <c r="AC112" i="12"/>
  <c r="AO112" i="12" s="1"/>
  <c r="AC116" i="12"/>
  <c r="AO116" i="12" s="1"/>
  <c r="AC120" i="12"/>
  <c r="AO120" i="12" s="1"/>
  <c r="AC124" i="12"/>
  <c r="AO124" i="12" s="1"/>
  <c r="AC128" i="12"/>
  <c r="AO128" i="12" s="1"/>
  <c r="AC132" i="12"/>
  <c r="AO132" i="12" s="1"/>
  <c r="AC136" i="12"/>
  <c r="AO136" i="12" s="1"/>
  <c r="AC15" i="12"/>
  <c r="AO15" i="12" s="1"/>
  <c r="AC17" i="12"/>
  <c r="AO17" i="12" s="1"/>
  <c r="AC21" i="12"/>
  <c r="AO21" i="12" s="1"/>
  <c r="AC25" i="12"/>
  <c r="AO25" i="12" s="1"/>
  <c r="AC29" i="12"/>
  <c r="AO29" i="12" s="1"/>
  <c r="AC33" i="12"/>
  <c r="AO33" i="12" s="1"/>
  <c r="AC37" i="12"/>
  <c r="AO37" i="12" s="1"/>
  <c r="AC41" i="12"/>
  <c r="AO41" i="12" s="1"/>
  <c r="AC45" i="12"/>
  <c r="AO45" i="12" s="1"/>
  <c r="AC49" i="12"/>
  <c r="AO49" i="12" s="1"/>
  <c r="AC53" i="12"/>
  <c r="AO53" i="12" s="1"/>
  <c r="AC57" i="12"/>
  <c r="AO57" i="12" s="1"/>
  <c r="AC61" i="12"/>
  <c r="AO61" i="12" s="1"/>
  <c r="AC65" i="12"/>
  <c r="AO65" i="12" s="1"/>
  <c r="AC69" i="12"/>
  <c r="AO69" i="12" s="1"/>
  <c r="AC73" i="12"/>
  <c r="AO73" i="12" s="1"/>
  <c r="AC77" i="12"/>
  <c r="AO77" i="12" s="1"/>
  <c r="AC81" i="12"/>
  <c r="AO81" i="12" s="1"/>
  <c r="AC85" i="12"/>
  <c r="AO85" i="12" s="1"/>
  <c r="AC89" i="12"/>
  <c r="AO89" i="12" s="1"/>
  <c r="AC93" i="12"/>
  <c r="AO93" i="12" s="1"/>
  <c r="AC97" i="12"/>
  <c r="AO97" i="12" s="1"/>
  <c r="AC101" i="12"/>
  <c r="AO101" i="12" s="1"/>
  <c r="AC105" i="12"/>
  <c r="AO105" i="12" s="1"/>
  <c r="AC109" i="12"/>
  <c r="AO109" i="12" s="1"/>
  <c r="AC113" i="12"/>
  <c r="AO113" i="12" s="1"/>
  <c r="AC117" i="12"/>
  <c r="AO117" i="12" s="1"/>
  <c r="AC121" i="12"/>
  <c r="AO121" i="12" s="1"/>
  <c r="AC125" i="12"/>
  <c r="AO125" i="12" s="1"/>
  <c r="AC129" i="12"/>
  <c r="AO129" i="12" s="1"/>
  <c r="AC133" i="12"/>
  <c r="AO133" i="12" s="1"/>
  <c r="AC137" i="12"/>
  <c r="AO137" i="12" s="1"/>
  <c r="AC14" i="12"/>
  <c r="AO14" i="12" s="1"/>
  <c r="AC19" i="12"/>
  <c r="AO19" i="12" s="1"/>
  <c r="AC23" i="12"/>
  <c r="AO23" i="12" s="1"/>
  <c r="AC31" i="12"/>
  <c r="AO31" i="12" s="1"/>
  <c r="AC35" i="12"/>
  <c r="AO35" i="12" s="1"/>
  <c r="AC43" i="12"/>
  <c r="AO43" i="12" s="1"/>
  <c r="AC51" i="12"/>
  <c r="AO51" i="12" s="1"/>
  <c r="AC59" i="12"/>
  <c r="AO59" i="12" s="1"/>
  <c r="AC67" i="12"/>
  <c r="AO67" i="12" s="1"/>
  <c r="AC75" i="12"/>
  <c r="AO75" i="12" s="1"/>
  <c r="AC83" i="12"/>
  <c r="AO83" i="12" s="1"/>
  <c r="AC91" i="12"/>
  <c r="AO91" i="12" s="1"/>
  <c r="AC99" i="12"/>
  <c r="AO99" i="12" s="1"/>
  <c r="AC107" i="12"/>
  <c r="AO107" i="12" s="1"/>
  <c r="AC115" i="12"/>
  <c r="AO115" i="12" s="1"/>
  <c r="AC123" i="12"/>
  <c r="AO123" i="12" s="1"/>
  <c r="AC131" i="12"/>
  <c r="AO131" i="12" s="1"/>
  <c r="AC139" i="12"/>
  <c r="AO139" i="12" s="1"/>
  <c r="V10" i="12"/>
  <c r="V9" i="12"/>
  <c r="Z9" i="12"/>
  <c r="Y9" i="12"/>
  <c r="W9" i="12"/>
  <c r="AA9" i="12"/>
  <c r="X9" i="12"/>
  <c r="AB9" i="12"/>
  <c r="U11" i="12"/>
  <c r="AP142" i="12" l="1"/>
  <c r="AP143" i="12" s="1"/>
  <c r="AP140" i="12"/>
  <c r="AR142" i="12"/>
  <c r="AR143" i="12" s="1"/>
  <c r="AR140" i="12"/>
  <c r="AQ142" i="12"/>
  <c r="AQ143" i="12" s="1"/>
  <c r="AQ140" i="12"/>
  <c r="AS140" i="12"/>
  <c r="AS142" i="12"/>
  <c r="AS143" i="12" s="1"/>
  <c r="AS144" i="12" s="1"/>
  <c r="C22" i="17" s="1"/>
  <c r="AN141" i="12"/>
  <c r="AM141" i="12"/>
  <c r="AL141" i="12"/>
  <c r="AK141" i="12"/>
  <c r="AJ141" i="12"/>
  <c r="F22" i="19" l="1"/>
  <c r="H22" i="19"/>
  <c r="I22" i="19"/>
  <c r="J22" i="19"/>
  <c r="K22" i="19"/>
  <c r="L22" i="19"/>
  <c r="M22" i="19"/>
  <c r="C6" i="19"/>
  <c r="C5" i="19"/>
  <c r="A3" i="19"/>
  <c r="V137" i="15" l="1"/>
  <c r="U137" i="15"/>
  <c r="T137" i="15"/>
  <c r="S137" i="15"/>
  <c r="R137" i="15"/>
  <c r="Q137" i="15"/>
  <c r="P137" i="15"/>
  <c r="AI141" i="12"/>
  <c r="AH141" i="12"/>
  <c r="S136" i="15" l="1"/>
  <c r="R136" i="15"/>
  <c r="V136" i="15"/>
  <c r="P136" i="15"/>
  <c r="U136" i="15"/>
  <c r="Q136" i="15"/>
  <c r="T136" i="15"/>
  <c r="P138" i="15"/>
  <c r="P139" i="15" s="1"/>
  <c r="P140" i="15" s="1"/>
  <c r="I11" i="17" s="1"/>
  <c r="T138" i="15"/>
  <c r="T139" i="15" s="1"/>
  <c r="T140" i="15" s="1"/>
  <c r="I15" i="17" s="1"/>
  <c r="Q138" i="15"/>
  <c r="Q139" i="15" s="1"/>
  <c r="Q140" i="15" s="1"/>
  <c r="I12" i="17" s="1"/>
  <c r="U138" i="15"/>
  <c r="U139" i="15" s="1"/>
  <c r="U140" i="15" s="1"/>
  <c r="I16" i="17" s="1"/>
  <c r="R138" i="15"/>
  <c r="R139" i="15" s="1"/>
  <c r="R140" i="15" s="1"/>
  <c r="I13" i="17" s="1"/>
  <c r="V138" i="15"/>
  <c r="V139" i="15" s="1"/>
  <c r="V140" i="15" s="1"/>
  <c r="I17" i="17" s="1"/>
  <c r="S138" i="15"/>
  <c r="S139" i="15" s="1"/>
  <c r="S140" i="15" s="1"/>
  <c r="I14" i="17" s="1"/>
  <c r="D5" i="17"/>
  <c r="I5" i="17"/>
  <c r="I4" i="17"/>
  <c r="G4" i="17"/>
  <c r="D4" i="17"/>
  <c r="B2" i="17"/>
  <c r="C7" i="13"/>
  <c r="C6" i="13"/>
  <c r="E6" i="13"/>
  <c r="E5" i="13"/>
  <c r="C5"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 i="13"/>
  <c r="B127" i="13"/>
  <c r="B128" i="13"/>
  <c r="B129" i="13"/>
  <c r="B130" i="13"/>
  <c r="B131" i="13"/>
  <c r="B132" i="13"/>
  <c r="B133" i="13"/>
  <c r="B134" i="13"/>
  <c r="B135" i="13"/>
  <c r="B136" i="13"/>
  <c r="B137" i="13"/>
  <c r="B138" i="13"/>
  <c r="B139"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4" i="13"/>
  <c r="A3" i="13"/>
  <c r="B7" i="14"/>
  <c r="B8" i="14"/>
  <c r="D7" i="14"/>
  <c r="D6" i="14"/>
  <c r="B6" i="14"/>
  <c r="A3"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5"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C6" i="15"/>
  <c r="I6" i="15"/>
  <c r="I5" i="15"/>
  <c r="C5" i="15"/>
  <c r="A2" i="15"/>
  <c r="I23" i="17" l="1"/>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F67" i="13"/>
  <c r="F68" i="13"/>
  <c r="F69" i="13"/>
  <c r="F70" i="13"/>
  <c r="F71" i="13"/>
  <c r="F72" i="13"/>
  <c r="F73" i="13"/>
  <c r="F74" i="13"/>
  <c r="F75" i="13"/>
  <c r="F76" i="13"/>
  <c r="F77" i="13"/>
  <c r="F78" i="13"/>
  <c r="F79" i="13"/>
  <c r="F83" i="13"/>
  <c r="F84" i="13"/>
  <c r="F85" i="13"/>
  <c r="F86" i="13"/>
  <c r="F87" i="13"/>
  <c r="F88" i="13"/>
  <c r="F89" i="13"/>
  <c r="F90" i="13"/>
  <c r="F91" i="13"/>
  <c r="F92" i="13"/>
  <c r="F93" i="13"/>
  <c r="F94" i="13"/>
  <c r="F95" i="13"/>
  <c r="F96" i="13"/>
  <c r="F97" i="13"/>
  <c r="F98" i="13"/>
  <c r="F99" i="13"/>
  <c r="F100" i="13"/>
  <c r="F101" i="13"/>
  <c r="F102" i="13"/>
  <c r="F103" i="13"/>
  <c r="F104" i="13"/>
  <c r="F105" i="13"/>
  <c r="F106" i="13"/>
  <c r="F107" i="13"/>
  <c r="F108" i="13"/>
  <c r="F109" i="13"/>
  <c r="F110" i="13"/>
  <c r="F111" i="13"/>
  <c r="F112" i="13"/>
  <c r="F113" i="13"/>
  <c r="F114" i="13"/>
  <c r="F115" i="13"/>
  <c r="F116" i="13"/>
  <c r="F117" i="13"/>
  <c r="F118" i="13"/>
  <c r="F119" i="13"/>
  <c r="F120" i="13"/>
  <c r="F121" i="13"/>
  <c r="F122" i="13"/>
  <c r="F123" i="13"/>
  <c r="F124" i="13"/>
  <c r="F125" i="13"/>
  <c r="F126" i="13"/>
  <c r="E15" i="14"/>
  <c r="E16" i="14"/>
  <c r="E114" i="13"/>
  <c r="E69" i="13"/>
  <c r="F15" i="13" l="1"/>
  <c r="C7" i="12"/>
  <c r="R7" i="12"/>
  <c r="R6" i="12"/>
  <c r="H6" i="12"/>
  <c r="C6" i="12"/>
  <c r="A2" i="12"/>
  <c r="E17" i="13" l="1"/>
  <c r="U20" i="12"/>
  <c r="U21" i="12"/>
  <c r="U22" i="12"/>
  <c r="U23" i="12"/>
  <c r="U24" i="12"/>
  <c r="U25" i="12"/>
  <c r="U26" i="12"/>
  <c r="U27" i="12"/>
  <c r="U28" i="12"/>
  <c r="U29" i="12"/>
  <c r="U30" i="12"/>
  <c r="U31" i="12"/>
  <c r="U32" i="12"/>
  <c r="U33" i="12"/>
  <c r="U34" i="12"/>
  <c r="U35" i="12"/>
  <c r="U36" i="12"/>
  <c r="U37" i="12"/>
  <c r="U38" i="12"/>
  <c r="U39" i="12"/>
  <c r="U40" i="12"/>
  <c r="U41" i="12"/>
  <c r="U42" i="12"/>
  <c r="U43" i="12"/>
  <c r="U44" i="12"/>
  <c r="U45" i="12"/>
  <c r="U46" i="12"/>
  <c r="U47" i="12"/>
  <c r="U48" i="12"/>
  <c r="U49" i="12"/>
  <c r="U50" i="12"/>
  <c r="U51" i="12"/>
  <c r="U52" i="12"/>
  <c r="U53" i="12"/>
  <c r="U54" i="12"/>
  <c r="U55" i="12"/>
  <c r="U56" i="12"/>
  <c r="U57" i="12"/>
  <c r="U58" i="12"/>
  <c r="U59" i="12"/>
  <c r="U60" i="12"/>
  <c r="U61" i="12"/>
  <c r="U62" i="12"/>
  <c r="U63" i="12"/>
  <c r="U64" i="12"/>
  <c r="U65" i="12"/>
  <c r="U66" i="12"/>
  <c r="U67" i="12"/>
  <c r="U68" i="12"/>
  <c r="U69" i="12"/>
  <c r="U70" i="12"/>
  <c r="U71" i="12"/>
  <c r="U72" i="12"/>
  <c r="U73" i="12"/>
  <c r="U74" i="12"/>
  <c r="U75" i="12"/>
  <c r="U76" i="12"/>
  <c r="U77" i="12"/>
  <c r="U78" i="12"/>
  <c r="U79" i="12"/>
  <c r="U80" i="12"/>
  <c r="U81" i="12"/>
  <c r="U82" i="12"/>
  <c r="U83" i="12"/>
  <c r="U84" i="12"/>
  <c r="U85" i="12"/>
  <c r="U86" i="12"/>
  <c r="U87" i="12"/>
  <c r="U88" i="12"/>
  <c r="U89" i="12"/>
  <c r="U90" i="12"/>
  <c r="U91" i="12"/>
  <c r="U92" i="12"/>
  <c r="U93" i="12"/>
  <c r="U94" i="12"/>
  <c r="U95" i="12"/>
  <c r="U96" i="12"/>
  <c r="U97" i="12"/>
  <c r="U98" i="12"/>
  <c r="U99" i="12"/>
  <c r="U100" i="12"/>
  <c r="U101" i="12"/>
  <c r="U102" i="12"/>
  <c r="U103" i="12"/>
  <c r="U104" i="12"/>
  <c r="U105" i="12"/>
  <c r="U106" i="12"/>
  <c r="U107" i="12"/>
  <c r="U108" i="12"/>
  <c r="U109" i="12"/>
  <c r="U110" i="12"/>
  <c r="V20" i="12"/>
  <c r="AH20" i="12" s="1"/>
  <c r="W20" i="12"/>
  <c r="AI20" i="12" s="1"/>
  <c r="X20" i="12"/>
  <c r="AJ20" i="12" s="1"/>
  <c r="Y20" i="12"/>
  <c r="AK20" i="12" s="1"/>
  <c r="Z20" i="12"/>
  <c r="AL20" i="12" s="1"/>
  <c r="AA20" i="12"/>
  <c r="AM20" i="12" s="1"/>
  <c r="AB20" i="12"/>
  <c r="V21" i="12"/>
  <c r="AH21" i="12" s="1"/>
  <c r="W21" i="12"/>
  <c r="AI21" i="12" s="1"/>
  <c r="X21" i="12"/>
  <c r="AJ21" i="12" s="1"/>
  <c r="Y21" i="12"/>
  <c r="AK21" i="12" s="1"/>
  <c r="Z21" i="12"/>
  <c r="AL21" i="12" s="1"/>
  <c r="AA21" i="12"/>
  <c r="AM21" i="12" s="1"/>
  <c r="AB21" i="12"/>
  <c r="V22" i="12"/>
  <c r="AH22" i="12" s="1"/>
  <c r="W22" i="12"/>
  <c r="AI22" i="12" s="1"/>
  <c r="X22" i="12"/>
  <c r="AJ22" i="12" s="1"/>
  <c r="Y22" i="12"/>
  <c r="AK22" i="12" s="1"/>
  <c r="Z22" i="12"/>
  <c r="AL22" i="12" s="1"/>
  <c r="AA22" i="12"/>
  <c r="AM22" i="12" s="1"/>
  <c r="AB22" i="12"/>
  <c r="V23" i="12"/>
  <c r="AH23" i="12" s="1"/>
  <c r="W23" i="12"/>
  <c r="AI23" i="12" s="1"/>
  <c r="X23" i="12"/>
  <c r="AJ23" i="12" s="1"/>
  <c r="Y23" i="12"/>
  <c r="AK23" i="12" s="1"/>
  <c r="Z23" i="12"/>
  <c r="AL23" i="12" s="1"/>
  <c r="AA23" i="12"/>
  <c r="AM23" i="12" s="1"/>
  <c r="AB23" i="12"/>
  <c r="V24" i="12"/>
  <c r="AH24" i="12" s="1"/>
  <c r="W24" i="12"/>
  <c r="AI24" i="12" s="1"/>
  <c r="X24" i="12"/>
  <c r="AJ24" i="12" s="1"/>
  <c r="Y24" i="12"/>
  <c r="AK24" i="12" s="1"/>
  <c r="Z24" i="12"/>
  <c r="AL24" i="12" s="1"/>
  <c r="AA24" i="12"/>
  <c r="AM24" i="12" s="1"/>
  <c r="AB24" i="12"/>
  <c r="V25" i="12"/>
  <c r="AH25" i="12" s="1"/>
  <c r="W25" i="12"/>
  <c r="AI25" i="12" s="1"/>
  <c r="X25" i="12"/>
  <c r="AJ25" i="12" s="1"/>
  <c r="Y25" i="12"/>
  <c r="AK25" i="12" s="1"/>
  <c r="Z25" i="12"/>
  <c r="AL25" i="12" s="1"/>
  <c r="AA25" i="12"/>
  <c r="AM25" i="12" s="1"/>
  <c r="AB25" i="12"/>
  <c r="V26" i="12"/>
  <c r="AH26" i="12" s="1"/>
  <c r="W26" i="12"/>
  <c r="AI26" i="12" s="1"/>
  <c r="X26" i="12"/>
  <c r="AJ26" i="12" s="1"/>
  <c r="Y26" i="12"/>
  <c r="AK26" i="12" s="1"/>
  <c r="Z26" i="12"/>
  <c r="AL26" i="12" s="1"/>
  <c r="AA26" i="12"/>
  <c r="AM26" i="12" s="1"/>
  <c r="AB26" i="12"/>
  <c r="V27" i="12"/>
  <c r="AH27" i="12" s="1"/>
  <c r="W27" i="12"/>
  <c r="AI27" i="12" s="1"/>
  <c r="X27" i="12"/>
  <c r="AJ27" i="12" s="1"/>
  <c r="Y27" i="12"/>
  <c r="AK27" i="12" s="1"/>
  <c r="Z27" i="12"/>
  <c r="AL27" i="12" s="1"/>
  <c r="AA27" i="12"/>
  <c r="AM27" i="12" s="1"/>
  <c r="AB27" i="12"/>
  <c r="V28" i="12"/>
  <c r="AH28" i="12" s="1"/>
  <c r="W28" i="12"/>
  <c r="AI28" i="12" s="1"/>
  <c r="X28" i="12"/>
  <c r="AJ28" i="12" s="1"/>
  <c r="Y28" i="12"/>
  <c r="AK28" i="12" s="1"/>
  <c r="Z28" i="12"/>
  <c r="AL28" i="12" s="1"/>
  <c r="AA28" i="12"/>
  <c r="AM28" i="12" s="1"/>
  <c r="AB28" i="12"/>
  <c r="V29" i="12"/>
  <c r="AH29" i="12" s="1"/>
  <c r="W29" i="12"/>
  <c r="AI29" i="12" s="1"/>
  <c r="X29" i="12"/>
  <c r="AJ29" i="12" s="1"/>
  <c r="Y29" i="12"/>
  <c r="AK29" i="12" s="1"/>
  <c r="Z29" i="12"/>
  <c r="AL29" i="12" s="1"/>
  <c r="AA29" i="12"/>
  <c r="AM29" i="12" s="1"/>
  <c r="AB29" i="12"/>
  <c r="V30" i="12"/>
  <c r="AH30" i="12" s="1"/>
  <c r="W30" i="12"/>
  <c r="AI30" i="12" s="1"/>
  <c r="X30" i="12"/>
  <c r="AJ30" i="12" s="1"/>
  <c r="Y30" i="12"/>
  <c r="AK30" i="12" s="1"/>
  <c r="Z30" i="12"/>
  <c r="AL30" i="12" s="1"/>
  <c r="AA30" i="12"/>
  <c r="AM30" i="12" s="1"/>
  <c r="AB30" i="12"/>
  <c r="V31" i="12"/>
  <c r="AH31" i="12" s="1"/>
  <c r="W31" i="12"/>
  <c r="AI31" i="12" s="1"/>
  <c r="X31" i="12"/>
  <c r="AJ31" i="12" s="1"/>
  <c r="Y31" i="12"/>
  <c r="AK31" i="12" s="1"/>
  <c r="Z31" i="12"/>
  <c r="AL31" i="12" s="1"/>
  <c r="AA31" i="12"/>
  <c r="AM31" i="12" s="1"/>
  <c r="AB31" i="12"/>
  <c r="V32" i="12"/>
  <c r="AH32" i="12" s="1"/>
  <c r="W32" i="12"/>
  <c r="AI32" i="12" s="1"/>
  <c r="X32" i="12"/>
  <c r="AJ32" i="12" s="1"/>
  <c r="Y32" i="12"/>
  <c r="AK32" i="12" s="1"/>
  <c r="Z32" i="12"/>
  <c r="AL32" i="12" s="1"/>
  <c r="AA32" i="12"/>
  <c r="AM32" i="12" s="1"/>
  <c r="AB32" i="12"/>
  <c r="V33" i="12"/>
  <c r="AH33" i="12" s="1"/>
  <c r="W33" i="12"/>
  <c r="AI33" i="12" s="1"/>
  <c r="X33" i="12"/>
  <c r="AJ33" i="12" s="1"/>
  <c r="Y33" i="12"/>
  <c r="AK33" i="12" s="1"/>
  <c r="Z33" i="12"/>
  <c r="AL33" i="12" s="1"/>
  <c r="AA33" i="12"/>
  <c r="AM33" i="12" s="1"/>
  <c r="AB33" i="12"/>
  <c r="V34" i="12"/>
  <c r="AH34" i="12" s="1"/>
  <c r="W34" i="12"/>
  <c r="AI34" i="12" s="1"/>
  <c r="X34" i="12"/>
  <c r="AJ34" i="12" s="1"/>
  <c r="Y34" i="12"/>
  <c r="AK34" i="12" s="1"/>
  <c r="Z34" i="12"/>
  <c r="AL34" i="12" s="1"/>
  <c r="AA34" i="12"/>
  <c r="AM34" i="12" s="1"/>
  <c r="AB34" i="12"/>
  <c r="V35" i="12"/>
  <c r="AH35" i="12" s="1"/>
  <c r="W35" i="12"/>
  <c r="AI35" i="12" s="1"/>
  <c r="X35" i="12"/>
  <c r="AJ35" i="12" s="1"/>
  <c r="Y35" i="12"/>
  <c r="AK35" i="12" s="1"/>
  <c r="Z35" i="12"/>
  <c r="AL35" i="12" s="1"/>
  <c r="AA35" i="12"/>
  <c r="AM35" i="12" s="1"/>
  <c r="AB35" i="12"/>
  <c r="V36" i="12"/>
  <c r="AH36" i="12" s="1"/>
  <c r="W36" i="12"/>
  <c r="AI36" i="12" s="1"/>
  <c r="X36" i="12"/>
  <c r="AJ36" i="12" s="1"/>
  <c r="Y36" i="12"/>
  <c r="AK36" i="12" s="1"/>
  <c r="Z36" i="12"/>
  <c r="AL36" i="12" s="1"/>
  <c r="AA36" i="12"/>
  <c r="AM36" i="12" s="1"/>
  <c r="AB36" i="12"/>
  <c r="V37" i="12"/>
  <c r="AH37" i="12" s="1"/>
  <c r="W37" i="12"/>
  <c r="AI37" i="12" s="1"/>
  <c r="X37" i="12"/>
  <c r="AJ37" i="12" s="1"/>
  <c r="Y37" i="12"/>
  <c r="AK37" i="12" s="1"/>
  <c r="Z37" i="12"/>
  <c r="AL37" i="12" s="1"/>
  <c r="AA37" i="12"/>
  <c r="AM37" i="12" s="1"/>
  <c r="AB37" i="12"/>
  <c r="V38" i="12"/>
  <c r="AH38" i="12" s="1"/>
  <c r="W38" i="12"/>
  <c r="AI38" i="12" s="1"/>
  <c r="X38" i="12"/>
  <c r="AJ38" i="12" s="1"/>
  <c r="Y38" i="12"/>
  <c r="AK38" i="12" s="1"/>
  <c r="Z38" i="12"/>
  <c r="AL38" i="12" s="1"/>
  <c r="AA38" i="12"/>
  <c r="AM38" i="12" s="1"/>
  <c r="AB38" i="12"/>
  <c r="V39" i="12"/>
  <c r="AH39" i="12" s="1"/>
  <c r="W39" i="12"/>
  <c r="AI39" i="12" s="1"/>
  <c r="X39" i="12"/>
  <c r="AJ39" i="12" s="1"/>
  <c r="Y39" i="12"/>
  <c r="AK39" i="12" s="1"/>
  <c r="Z39" i="12"/>
  <c r="AL39" i="12" s="1"/>
  <c r="AA39" i="12"/>
  <c r="AM39" i="12" s="1"/>
  <c r="AB39" i="12"/>
  <c r="V40" i="12"/>
  <c r="AH40" i="12" s="1"/>
  <c r="W40" i="12"/>
  <c r="AI40" i="12" s="1"/>
  <c r="X40" i="12"/>
  <c r="AJ40" i="12" s="1"/>
  <c r="Y40" i="12"/>
  <c r="AK40" i="12" s="1"/>
  <c r="Z40" i="12"/>
  <c r="AL40" i="12" s="1"/>
  <c r="AA40" i="12"/>
  <c r="AM40" i="12" s="1"/>
  <c r="AB40" i="12"/>
  <c r="V41" i="12"/>
  <c r="AH41" i="12" s="1"/>
  <c r="W41" i="12"/>
  <c r="AI41" i="12" s="1"/>
  <c r="X41" i="12"/>
  <c r="AJ41" i="12" s="1"/>
  <c r="Y41" i="12"/>
  <c r="AK41" i="12" s="1"/>
  <c r="Z41" i="12"/>
  <c r="AL41" i="12" s="1"/>
  <c r="AA41" i="12"/>
  <c r="AM41" i="12" s="1"/>
  <c r="AB41" i="12"/>
  <c r="V42" i="12"/>
  <c r="AH42" i="12" s="1"/>
  <c r="W42" i="12"/>
  <c r="AI42" i="12" s="1"/>
  <c r="X42" i="12"/>
  <c r="AJ42" i="12" s="1"/>
  <c r="Y42" i="12"/>
  <c r="AK42" i="12" s="1"/>
  <c r="Z42" i="12"/>
  <c r="AL42" i="12" s="1"/>
  <c r="AA42" i="12"/>
  <c r="AM42" i="12" s="1"/>
  <c r="AB42" i="12"/>
  <c r="V43" i="12"/>
  <c r="AH43" i="12" s="1"/>
  <c r="W43" i="12"/>
  <c r="AI43" i="12" s="1"/>
  <c r="X43" i="12"/>
  <c r="AJ43" i="12" s="1"/>
  <c r="Y43" i="12"/>
  <c r="AK43" i="12" s="1"/>
  <c r="Z43" i="12"/>
  <c r="AL43" i="12" s="1"/>
  <c r="AA43" i="12"/>
  <c r="AM43" i="12" s="1"/>
  <c r="AB43" i="12"/>
  <c r="V44" i="12"/>
  <c r="AH44" i="12" s="1"/>
  <c r="W44" i="12"/>
  <c r="AI44" i="12" s="1"/>
  <c r="X44" i="12"/>
  <c r="AJ44" i="12" s="1"/>
  <c r="Y44" i="12"/>
  <c r="AK44" i="12" s="1"/>
  <c r="Z44" i="12"/>
  <c r="AL44" i="12" s="1"/>
  <c r="AA44" i="12"/>
  <c r="AM44" i="12" s="1"/>
  <c r="AB44" i="12"/>
  <c r="V45" i="12"/>
  <c r="AH45" i="12" s="1"/>
  <c r="W45" i="12"/>
  <c r="AI45" i="12" s="1"/>
  <c r="X45" i="12"/>
  <c r="AJ45" i="12" s="1"/>
  <c r="Y45" i="12"/>
  <c r="AK45" i="12" s="1"/>
  <c r="Z45" i="12"/>
  <c r="AL45" i="12" s="1"/>
  <c r="AA45" i="12"/>
  <c r="AM45" i="12" s="1"/>
  <c r="AB45" i="12"/>
  <c r="V46" i="12"/>
  <c r="AH46" i="12" s="1"/>
  <c r="W46" i="12"/>
  <c r="AI46" i="12" s="1"/>
  <c r="X46" i="12"/>
  <c r="AJ46" i="12" s="1"/>
  <c r="Y46" i="12"/>
  <c r="AK46" i="12" s="1"/>
  <c r="Z46" i="12"/>
  <c r="AL46" i="12" s="1"/>
  <c r="AA46" i="12"/>
  <c r="AM46" i="12" s="1"/>
  <c r="AB46" i="12"/>
  <c r="V47" i="12"/>
  <c r="AH47" i="12" s="1"/>
  <c r="W47" i="12"/>
  <c r="AI47" i="12" s="1"/>
  <c r="X47" i="12"/>
  <c r="AJ47" i="12" s="1"/>
  <c r="Y47" i="12"/>
  <c r="AK47" i="12" s="1"/>
  <c r="Z47" i="12"/>
  <c r="AL47" i="12" s="1"/>
  <c r="AA47" i="12"/>
  <c r="AM47" i="12" s="1"/>
  <c r="AB47" i="12"/>
  <c r="V48" i="12"/>
  <c r="AH48" i="12" s="1"/>
  <c r="W48" i="12"/>
  <c r="AI48" i="12" s="1"/>
  <c r="X48" i="12"/>
  <c r="AJ48" i="12" s="1"/>
  <c r="Y48" i="12"/>
  <c r="AK48" i="12" s="1"/>
  <c r="Z48" i="12"/>
  <c r="AL48" i="12" s="1"/>
  <c r="AA48" i="12"/>
  <c r="AM48" i="12" s="1"/>
  <c r="AB48" i="12"/>
  <c r="V49" i="12"/>
  <c r="AH49" i="12" s="1"/>
  <c r="W49" i="12"/>
  <c r="AI49" i="12" s="1"/>
  <c r="X49" i="12"/>
  <c r="AJ49" i="12" s="1"/>
  <c r="Y49" i="12"/>
  <c r="AK49" i="12" s="1"/>
  <c r="Z49" i="12"/>
  <c r="AL49" i="12" s="1"/>
  <c r="AA49" i="12"/>
  <c r="AM49" i="12" s="1"/>
  <c r="AB49" i="12"/>
  <c r="V50" i="12"/>
  <c r="AH50" i="12" s="1"/>
  <c r="W50" i="12"/>
  <c r="AI50" i="12" s="1"/>
  <c r="X50" i="12"/>
  <c r="AJ50" i="12" s="1"/>
  <c r="Y50" i="12"/>
  <c r="AK50" i="12" s="1"/>
  <c r="Z50" i="12"/>
  <c r="AL50" i="12" s="1"/>
  <c r="AA50" i="12"/>
  <c r="AM50" i="12" s="1"/>
  <c r="AB50" i="12"/>
  <c r="V51" i="12"/>
  <c r="AH51" i="12" s="1"/>
  <c r="W51" i="12"/>
  <c r="AI51" i="12" s="1"/>
  <c r="X51" i="12"/>
  <c r="AJ51" i="12" s="1"/>
  <c r="Y51" i="12"/>
  <c r="AK51" i="12" s="1"/>
  <c r="Z51" i="12"/>
  <c r="AL51" i="12" s="1"/>
  <c r="AA51" i="12"/>
  <c r="AM51" i="12" s="1"/>
  <c r="AB51" i="12"/>
  <c r="V52" i="12"/>
  <c r="AH52" i="12" s="1"/>
  <c r="W52" i="12"/>
  <c r="AI52" i="12" s="1"/>
  <c r="X52" i="12"/>
  <c r="AJ52" i="12" s="1"/>
  <c r="Y52" i="12"/>
  <c r="AK52" i="12" s="1"/>
  <c r="Z52" i="12"/>
  <c r="AL52" i="12" s="1"/>
  <c r="AA52" i="12"/>
  <c r="AM52" i="12" s="1"/>
  <c r="AB52" i="12"/>
  <c r="V53" i="12"/>
  <c r="AH53" i="12" s="1"/>
  <c r="W53" i="12"/>
  <c r="AI53" i="12" s="1"/>
  <c r="X53" i="12"/>
  <c r="AJ53" i="12" s="1"/>
  <c r="Y53" i="12"/>
  <c r="AK53" i="12" s="1"/>
  <c r="Z53" i="12"/>
  <c r="AL53" i="12" s="1"/>
  <c r="AA53" i="12"/>
  <c r="AM53" i="12" s="1"/>
  <c r="AB53" i="12"/>
  <c r="V54" i="12"/>
  <c r="AH54" i="12" s="1"/>
  <c r="W54" i="12"/>
  <c r="AI54" i="12" s="1"/>
  <c r="X54" i="12"/>
  <c r="AJ54" i="12" s="1"/>
  <c r="Y54" i="12"/>
  <c r="AK54" i="12" s="1"/>
  <c r="Z54" i="12"/>
  <c r="AL54" i="12" s="1"/>
  <c r="AA54" i="12"/>
  <c r="AM54" i="12" s="1"/>
  <c r="AB54" i="12"/>
  <c r="V55" i="12"/>
  <c r="AH55" i="12" s="1"/>
  <c r="W55" i="12"/>
  <c r="AI55" i="12" s="1"/>
  <c r="X55" i="12"/>
  <c r="AJ55" i="12" s="1"/>
  <c r="Y55" i="12"/>
  <c r="AK55" i="12" s="1"/>
  <c r="Z55" i="12"/>
  <c r="AL55" i="12" s="1"/>
  <c r="AA55" i="12"/>
  <c r="AM55" i="12" s="1"/>
  <c r="AB55" i="12"/>
  <c r="V56" i="12"/>
  <c r="AH56" i="12" s="1"/>
  <c r="W56" i="12"/>
  <c r="AI56" i="12" s="1"/>
  <c r="X56" i="12"/>
  <c r="AJ56" i="12" s="1"/>
  <c r="Y56" i="12"/>
  <c r="AK56" i="12" s="1"/>
  <c r="Z56" i="12"/>
  <c r="AL56" i="12" s="1"/>
  <c r="AA56" i="12"/>
  <c r="AM56" i="12" s="1"/>
  <c r="AB56" i="12"/>
  <c r="V57" i="12"/>
  <c r="AH57" i="12" s="1"/>
  <c r="W57" i="12"/>
  <c r="AI57" i="12" s="1"/>
  <c r="X57" i="12"/>
  <c r="AJ57" i="12" s="1"/>
  <c r="Y57" i="12"/>
  <c r="AK57" i="12" s="1"/>
  <c r="Z57" i="12"/>
  <c r="AL57" i="12" s="1"/>
  <c r="AA57" i="12"/>
  <c r="AM57" i="12" s="1"/>
  <c r="AB57" i="12"/>
  <c r="V58" i="12"/>
  <c r="AH58" i="12" s="1"/>
  <c r="W58" i="12"/>
  <c r="AI58" i="12" s="1"/>
  <c r="X58" i="12"/>
  <c r="AJ58" i="12" s="1"/>
  <c r="Y58" i="12"/>
  <c r="AK58" i="12" s="1"/>
  <c r="Z58" i="12"/>
  <c r="AL58" i="12" s="1"/>
  <c r="AA58" i="12"/>
  <c r="AM58" i="12" s="1"/>
  <c r="AB58" i="12"/>
  <c r="V59" i="12"/>
  <c r="AH59" i="12" s="1"/>
  <c r="W59" i="12"/>
  <c r="AI59" i="12" s="1"/>
  <c r="X59" i="12"/>
  <c r="AJ59" i="12" s="1"/>
  <c r="Y59" i="12"/>
  <c r="AK59" i="12" s="1"/>
  <c r="Z59" i="12"/>
  <c r="AL59" i="12" s="1"/>
  <c r="AA59" i="12"/>
  <c r="AM59" i="12" s="1"/>
  <c r="AB59" i="12"/>
  <c r="V60" i="12"/>
  <c r="AH60" i="12" s="1"/>
  <c r="W60" i="12"/>
  <c r="AI60" i="12" s="1"/>
  <c r="X60" i="12"/>
  <c r="AJ60" i="12" s="1"/>
  <c r="Y60" i="12"/>
  <c r="AK60" i="12" s="1"/>
  <c r="Z60" i="12"/>
  <c r="AL60" i="12" s="1"/>
  <c r="AA60" i="12"/>
  <c r="AM60" i="12" s="1"/>
  <c r="AB60" i="12"/>
  <c r="V61" i="12"/>
  <c r="AH61" i="12" s="1"/>
  <c r="W61" i="12"/>
  <c r="AI61" i="12" s="1"/>
  <c r="X61" i="12"/>
  <c r="AJ61" i="12" s="1"/>
  <c r="Y61" i="12"/>
  <c r="AK61" i="12" s="1"/>
  <c r="Z61" i="12"/>
  <c r="AL61" i="12" s="1"/>
  <c r="AA61" i="12"/>
  <c r="AM61" i="12" s="1"/>
  <c r="AB61" i="12"/>
  <c r="V62" i="12"/>
  <c r="AH62" i="12" s="1"/>
  <c r="W62" i="12"/>
  <c r="AI62" i="12" s="1"/>
  <c r="X62" i="12"/>
  <c r="AJ62" i="12" s="1"/>
  <c r="Y62" i="12"/>
  <c r="AK62" i="12" s="1"/>
  <c r="Z62" i="12"/>
  <c r="AL62" i="12" s="1"/>
  <c r="AA62" i="12"/>
  <c r="AM62" i="12" s="1"/>
  <c r="AB62" i="12"/>
  <c r="V63" i="12"/>
  <c r="AH63" i="12" s="1"/>
  <c r="W63" i="12"/>
  <c r="AI63" i="12" s="1"/>
  <c r="X63" i="12"/>
  <c r="AJ63" i="12" s="1"/>
  <c r="Y63" i="12"/>
  <c r="AK63" i="12" s="1"/>
  <c r="Z63" i="12"/>
  <c r="AL63" i="12" s="1"/>
  <c r="AA63" i="12"/>
  <c r="AM63" i="12" s="1"/>
  <c r="AB63" i="12"/>
  <c r="V64" i="12"/>
  <c r="AH64" i="12" s="1"/>
  <c r="W64" i="12"/>
  <c r="AI64" i="12" s="1"/>
  <c r="X64" i="12"/>
  <c r="AJ64" i="12" s="1"/>
  <c r="Y64" i="12"/>
  <c r="AK64" i="12" s="1"/>
  <c r="Z64" i="12"/>
  <c r="AL64" i="12" s="1"/>
  <c r="AA64" i="12"/>
  <c r="AM64" i="12" s="1"/>
  <c r="AB64" i="12"/>
  <c r="V65" i="12"/>
  <c r="AH65" i="12" s="1"/>
  <c r="W65" i="12"/>
  <c r="AI65" i="12" s="1"/>
  <c r="X65" i="12"/>
  <c r="AJ65" i="12" s="1"/>
  <c r="Y65" i="12"/>
  <c r="AK65" i="12" s="1"/>
  <c r="Z65" i="12"/>
  <c r="AL65" i="12" s="1"/>
  <c r="AA65" i="12"/>
  <c r="AM65" i="12" s="1"/>
  <c r="AB65" i="12"/>
  <c r="V66" i="12"/>
  <c r="AH66" i="12" s="1"/>
  <c r="W66" i="12"/>
  <c r="AI66" i="12" s="1"/>
  <c r="X66" i="12"/>
  <c r="AJ66" i="12" s="1"/>
  <c r="Y66" i="12"/>
  <c r="AK66" i="12" s="1"/>
  <c r="Z66" i="12"/>
  <c r="AL66" i="12" s="1"/>
  <c r="AA66" i="12"/>
  <c r="AM66" i="12" s="1"/>
  <c r="AB66" i="12"/>
  <c r="V67" i="12"/>
  <c r="AH67" i="12" s="1"/>
  <c r="W67" i="12"/>
  <c r="AI67" i="12" s="1"/>
  <c r="X67" i="12"/>
  <c r="AJ67" i="12" s="1"/>
  <c r="Y67" i="12"/>
  <c r="AK67" i="12" s="1"/>
  <c r="Z67" i="12"/>
  <c r="AL67" i="12" s="1"/>
  <c r="AA67" i="12"/>
  <c r="AM67" i="12" s="1"/>
  <c r="AB67" i="12"/>
  <c r="V68" i="12"/>
  <c r="AH68" i="12" s="1"/>
  <c r="W68" i="12"/>
  <c r="AI68" i="12" s="1"/>
  <c r="X68" i="12"/>
  <c r="AJ68" i="12" s="1"/>
  <c r="Y68" i="12"/>
  <c r="AK68" i="12" s="1"/>
  <c r="Z68" i="12"/>
  <c r="AL68" i="12" s="1"/>
  <c r="AA68" i="12"/>
  <c r="AM68" i="12" s="1"/>
  <c r="AB68" i="12"/>
  <c r="V69" i="12"/>
  <c r="AH69" i="12" s="1"/>
  <c r="W69" i="12"/>
  <c r="AI69" i="12" s="1"/>
  <c r="X69" i="12"/>
  <c r="AJ69" i="12" s="1"/>
  <c r="Y69" i="12"/>
  <c r="AK69" i="12" s="1"/>
  <c r="Z69" i="12"/>
  <c r="AL69" i="12" s="1"/>
  <c r="AA69" i="12"/>
  <c r="AM69" i="12" s="1"/>
  <c r="AB69" i="12"/>
  <c r="V70" i="12"/>
  <c r="AH70" i="12" s="1"/>
  <c r="W70" i="12"/>
  <c r="AI70" i="12" s="1"/>
  <c r="X70" i="12"/>
  <c r="AJ70" i="12" s="1"/>
  <c r="Y70" i="12"/>
  <c r="AK70" i="12" s="1"/>
  <c r="Z70" i="12"/>
  <c r="AL70" i="12" s="1"/>
  <c r="AA70" i="12"/>
  <c r="AM70" i="12" s="1"/>
  <c r="AB70" i="12"/>
  <c r="V71" i="12"/>
  <c r="AH71" i="12" s="1"/>
  <c r="W71" i="12"/>
  <c r="AI71" i="12" s="1"/>
  <c r="X71" i="12"/>
  <c r="AJ71" i="12" s="1"/>
  <c r="Y71" i="12"/>
  <c r="AK71" i="12" s="1"/>
  <c r="Z71" i="12"/>
  <c r="AL71" i="12" s="1"/>
  <c r="AA71" i="12"/>
  <c r="AM71" i="12" s="1"/>
  <c r="AB71" i="12"/>
  <c r="V72" i="12"/>
  <c r="AH72" i="12" s="1"/>
  <c r="W72" i="12"/>
  <c r="AI72" i="12" s="1"/>
  <c r="X72" i="12"/>
  <c r="AJ72" i="12" s="1"/>
  <c r="Y72" i="12"/>
  <c r="AK72" i="12" s="1"/>
  <c r="Z72" i="12"/>
  <c r="AL72" i="12" s="1"/>
  <c r="AA72" i="12"/>
  <c r="AM72" i="12" s="1"/>
  <c r="AB72" i="12"/>
  <c r="V73" i="12"/>
  <c r="AH73" i="12" s="1"/>
  <c r="W73" i="12"/>
  <c r="AI73" i="12" s="1"/>
  <c r="X73" i="12"/>
  <c r="AJ73" i="12" s="1"/>
  <c r="Y73" i="12"/>
  <c r="AK73" i="12" s="1"/>
  <c r="Z73" i="12"/>
  <c r="AL73" i="12" s="1"/>
  <c r="AA73" i="12"/>
  <c r="AM73" i="12" s="1"/>
  <c r="AB73" i="12"/>
  <c r="V74" i="12"/>
  <c r="AH74" i="12" s="1"/>
  <c r="W74" i="12"/>
  <c r="AI74" i="12" s="1"/>
  <c r="X74" i="12"/>
  <c r="AJ74" i="12" s="1"/>
  <c r="Y74" i="12"/>
  <c r="AK74" i="12" s="1"/>
  <c r="Z74" i="12"/>
  <c r="AL74" i="12" s="1"/>
  <c r="AA74" i="12"/>
  <c r="AM74" i="12" s="1"/>
  <c r="AB74" i="12"/>
  <c r="V75" i="12"/>
  <c r="AH75" i="12" s="1"/>
  <c r="W75" i="12"/>
  <c r="AI75" i="12" s="1"/>
  <c r="X75" i="12"/>
  <c r="AJ75" i="12" s="1"/>
  <c r="Y75" i="12"/>
  <c r="AK75" i="12" s="1"/>
  <c r="Z75" i="12"/>
  <c r="AL75" i="12" s="1"/>
  <c r="AA75" i="12"/>
  <c r="AM75" i="12" s="1"/>
  <c r="AB75" i="12"/>
  <c r="V76" i="12"/>
  <c r="AH76" i="12" s="1"/>
  <c r="W76" i="12"/>
  <c r="AI76" i="12" s="1"/>
  <c r="X76" i="12"/>
  <c r="AJ76" i="12" s="1"/>
  <c r="Y76" i="12"/>
  <c r="AK76" i="12" s="1"/>
  <c r="Z76" i="12"/>
  <c r="AL76" i="12" s="1"/>
  <c r="AA76" i="12"/>
  <c r="AM76" i="12" s="1"/>
  <c r="AB76" i="12"/>
  <c r="V77" i="12"/>
  <c r="AH77" i="12" s="1"/>
  <c r="W77" i="12"/>
  <c r="AI77" i="12" s="1"/>
  <c r="X77" i="12"/>
  <c r="AJ77" i="12" s="1"/>
  <c r="Y77" i="12"/>
  <c r="AK77" i="12" s="1"/>
  <c r="Z77" i="12"/>
  <c r="AL77" i="12" s="1"/>
  <c r="AA77" i="12"/>
  <c r="AM77" i="12" s="1"/>
  <c r="AB77" i="12"/>
  <c r="V78" i="12"/>
  <c r="AH78" i="12" s="1"/>
  <c r="W78" i="12"/>
  <c r="AI78" i="12" s="1"/>
  <c r="X78" i="12"/>
  <c r="AJ78" i="12" s="1"/>
  <c r="Y78" i="12"/>
  <c r="AK78" i="12" s="1"/>
  <c r="Z78" i="12"/>
  <c r="AL78" i="12" s="1"/>
  <c r="AA78" i="12"/>
  <c r="AM78" i="12" s="1"/>
  <c r="AB78" i="12"/>
  <c r="V79" i="12"/>
  <c r="AH79" i="12" s="1"/>
  <c r="W79" i="12"/>
  <c r="AI79" i="12" s="1"/>
  <c r="X79" i="12"/>
  <c r="AJ79" i="12" s="1"/>
  <c r="Y79" i="12"/>
  <c r="AK79" i="12" s="1"/>
  <c r="Z79" i="12"/>
  <c r="AL79" i="12" s="1"/>
  <c r="AA79" i="12"/>
  <c r="AM79" i="12" s="1"/>
  <c r="AB79" i="12"/>
  <c r="F127" i="13"/>
  <c r="F128" i="13"/>
  <c r="F129" i="13"/>
  <c r="F130" i="13"/>
  <c r="F131" i="13"/>
  <c r="F132" i="13"/>
  <c r="F133" i="13"/>
  <c r="F134" i="13"/>
  <c r="F135" i="13"/>
  <c r="F136" i="13"/>
  <c r="F137" i="13"/>
  <c r="F138" i="13"/>
  <c r="F139" i="13"/>
  <c r="F14" i="13"/>
  <c r="U15" i="12"/>
  <c r="U16" i="12"/>
  <c r="U17" i="12"/>
  <c r="U18" i="12"/>
  <c r="U19" i="12"/>
  <c r="U111" i="12"/>
  <c r="U112" i="12"/>
  <c r="U113" i="12"/>
  <c r="U114" i="12"/>
  <c r="U115" i="12"/>
  <c r="U116" i="12"/>
  <c r="U117" i="12"/>
  <c r="U118" i="12"/>
  <c r="U119" i="12"/>
  <c r="U120" i="12"/>
  <c r="U121" i="12"/>
  <c r="U122" i="12"/>
  <c r="U123" i="12"/>
  <c r="U124" i="12"/>
  <c r="U125" i="12"/>
  <c r="U126" i="12"/>
  <c r="U127" i="12"/>
  <c r="U128" i="12"/>
  <c r="U129" i="12"/>
  <c r="U130" i="12"/>
  <c r="U131" i="12"/>
  <c r="U132" i="12"/>
  <c r="U133" i="12"/>
  <c r="U134" i="12"/>
  <c r="U135" i="12"/>
  <c r="U136" i="12"/>
  <c r="U137" i="12"/>
  <c r="U138" i="12"/>
  <c r="U139" i="12"/>
  <c r="U14" i="12"/>
  <c r="AN79" i="12" l="1"/>
  <c r="AN78" i="12"/>
  <c r="AN77" i="12"/>
  <c r="AN76" i="12"/>
  <c r="AN75" i="12"/>
  <c r="AN74" i="12"/>
  <c r="AN73" i="12"/>
  <c r="AN72" i="12"/>
  <c r="AN71" i="12"/>
  <c r="AN70" i="12"/>
  <c r="AN69" i="12"/>
  <c r="AN68" i="12"/>
  <c r="AN67" i="12"/>
  <c r="AN66" i="12"/>
  <c r="AN65" i="12"/>
  <c r="AN64" i="12"/>
  <c r="AN63" i="12"/>
  <c r="AN62" i="12"/>
  <c r="AN61" i="12"/>
  <c r="AN60" i="12"/>
  <c r="AN59" i="12"/>
  <c r="AN58" i="12"/>
  <c r="AN57" i="12"/>
  <c r="AN56" i="12"/>
  <c r="AN55" i="12"/>
  <c r="AN54" i="12"/>
  <c r="AN53" i="12"/>
  <c r="AN52" i="12"/>
  <c r="AN51" i="12"/>
  <c r="AN50" i="12"/>
  <c r="AN49" i="12"/>
  <c r="AN48" i="12"/>
  <c r="AN47" i="12"/>
  <c r="AN46" i="12"/>
  <c r="AN45" i="12"/>
  <c r="AN44" i="12"/>
  <c r="AN43" i="12"/>
  <c r="AN42" i="12"/>
  <c r="AN41" i="12"/>
  <c r="AN40" i="12"/>
  <c r="AN39" i="12"/>
  <c r="AN38" i="12"/>
  <c r="AN37" i="12"/>
  <c r="AN36" i="12"/>
  <c r="AN35" i="12"/>
  <c r="AN34" i="12"/>
  <c r="AN33" i="12"/>
  <c r="AN32" i="12"/>
  <c r="AN31" i="12"/>
  <c r="AN30" i="12"/>
  <c r="AN29" i="12"/>
  <c r="AN28" i="12"/>
  <c r="AN27" i="12"/>
  <c r="AN26" i="12"/>
  <c r="AN25" i="12"/>
  <c r="AN24" i="12"/>
  <c r="AN23" i="12"/>
  <c r="AN22" i="12"/>
  <c r="AN21" i="12"/>
  <c r="AN20" i="12"/>
  <c r="D124" i="13"/>
  <c r="D120" i="13"/>
  <c r="D116" i="13"/>
  <c r="D112" i="13"/>
  <c r="D108" i="13"/>
  <c r="D104" i="13"/>
  <c r="D100" i="13"/>
  <c r="D96" i="13"/>
  <c r="D92" i="13"/>
  <c r="D88" i="13"/>
  <c r="D84" i="13"/>
  <c r="D80" i="13"/>
  <c r="D76" i="13"/>
  <c r="D72" i="13"/>
  <c r="D68" i="13"/>
  <c r="D64" i="13"/>
  <c r="D60" i="13"/>
  <c r="D56" i="13"/>
  <c r="D52" i="13"/>
  <c r="D48" i="13"/>
  <c r="D44" i="13"/>
  <c r="D40" i="13"/>
  <c r="D36" i="13"/>
  <c r="D32" i="13"/>
  <c r="D28" i="13"/>
  <c r="D24" i="13"/>
  <c r="D20" i="13"/>
  <c r="D123" i="13"/>
  <c r="D119" i="13"/>
  <c r="D115" i="13"/>
  <c r="D111" i="13"/>
  <c r="D107" i="13"/>
  <c r="D103" i="13"/>
  <c r="D99" i="13"/>
  <c r="D95" i="13"/>
  <c r="D91" i="13"/>
  <c r="D87" i="13"/>
  <c r="D83" i="13"/>
  <c r="D79" i="13"/>
  <c r="D75" i="13"/>
  <c r="D71" i="13"/>
  <c r="D67" i="13"/>
  <c r="D63" i="13"/>
  <c r="D59" i="13"/>
  <c r="D55" i="13"/>
  <c r="D51" i="13"/>
  <c r="D47" i="13"/>
  <c r="D43" i="13"/>
  <c r="D39" i="13"/>
  <c r="D35" i="13"/>
  <c r="D31" i="13"/>
  <c r="D27" i="13"/>
  <c r="D23" i="13"/>
  <c r="D122" i="13"/>
  <c r="D118" i="13"/>
  <c r="D114" i="13"/>
  <c r="D110" i="13"/>
  <c r="D106" i="13"/>
  <c r="D102" i="13"/>
  <c r="D98" i="13"/>
  <c r="D94" i="13"/>
  <c r="D90" i="13"/>
  <c r="D86" i="13"/>
  <c r="D82" i="13"/>
  <c r="D78" i="13"/>
  <c r="D74" i="13"/>
  <c r="D70" i="13"/>
  <c r="D66" i="13"/>
  <c r="D62" i="13"/>
  <c r="D58" i="13"/>
  <c r="D54" i="13"/>
  <c r="D50" i="13"/>
  <c r="D46" i="13"/>
  <c r="D42" i="13"/>
  <c r="D38" i="13"/>
  <c r="D34" i="13"/>
  <c r="D30" i="13"/>
  <c r="D26" i="13"/>
  <c r="D22" i="13"/>
  <c r="D125" i="13"/>
  <c r="D121" i="13"/>
  <c r="D117" i="13"/>
  <c r="D113" i="13"/>
  <c r="D109" i="13"/>
  <c r="D105" i="13"/>
  <c r="D101" i="13"/>
  <c r="D97" i="13"/>
  <c r="D93" i="13"/>
  <c r="D89" i="13"/>
  <c r="D85" i="13"/>
  <c r="D81" i="13"/>
  <c r="D77" i="13"/>
  <c r="D73" i="13"/>
  <c r="D69" i="13"/>
  <c r="D65" i="13"/>
  <c r="D61" i="13"/>
  <c r="D57" i="13"/>
  <c r="D53" i="13"/>
  <c r="D49" i="13"/>
  <c r="D45" i="13"/>
  <c r="D41" i="13"/>
  <c r="D37" i="13"/>
  <c r="D33" i="13"/>
  <c r="D29" i="13"/>
  <c r="D25" i="13"/>
  <c r="D21" i="13"/>
  <c r="D139" i="13"/>
  <c r="D127" i="13"/>
  <c r="D134" i="13"/>
  <c r="D126" i="13"/>
  <c r="D137" i="13"/>
  <c r="D133" i="13"/>
  <c r="D129" i="13"/>
  <c r="D135" i="13"/>
  <c r="D131" i="13"/>
  <c r="D138" i="13"/>
  <c r="D130" i="13"/>
  <c r="D136" i="13"/>
  <c r="D132" i="13"/>
  <c r="D128" i="13"/>
  <c r="E19" i="13"/>
  <c r="E133" i="13"/>
  <c r="E125" i="13"/>
  <c r="E117" i="13"/>
  <c r="E105" i="13"/>
  <c r="E97" i="13"/>
  <c r="E85" i="13"/>
  <c r="E73" i="13"/>
  <c r="E57" i="13"/>
  <c r="E45" i="13"/>
  <c r="E37" i="13"/>
  <c r="E29" i="13"/>
  <c r="E21" i="13"/>
  <c r="E137" i="13"/>
  <c r="E129" i="13"/>
  <c r="E121" i="13"/>
  <c r="E113" i="13"/>
  <c r="E101" i="13"/>
  <c r="E89" i="13"/>
  <c r="E77" i="13"/>
  <c r="E61" i="13"/>
  <c r="E53" i="13"/>
  <c r="E41" i="13"/>
  <c r="E33" i="13"/>
  <c r="E139" i="13"/>
  <c r="E135" i="13"/>
  <c r="E131" i="13"/>
  <c r="E127" i="13"/>
  <c r="E123" i="13"/>
  <c r="E119" i="13"/>
  <c r="E115" i="13"/>
  <c r="E111" i="13"/>
  <c r="E107" i="13"/>
  <c r="E103" i="13"/>
  <c r="E99" i="13"/>
  <c r="E95" i="13"/>
  <c r="E91" i="13"/>
  <c r="E87" i="13"/>
  <c r="E83" i="13"/>
  <c r="E79" i="13"/>
  <c r="E75" i="13"/>
  <c r="E71" i="13"/>
  <c r="E67" i="13"/>
  <c r="E63" i="13"/>
  <c r="E59" i="13"/>
  <c r="E55" i="13"/>
  <c r="E51" i="13"/>
  <c r="E47" i="13"/>
  <c r="E43" i="13"/>
  <c r="E39" i="13"/>
  <c r="E35" i="13"/>
  <c r="E31" i="13"/>
  <c r="E27" i="13"/>
  <c r="E23" i="13"/>
  <c r="E109" i="13"/>
  <c r="E93" i="13"/>
  <c r="E81" i="13"/>
  <c r="E65" i="13"/>
  <c r="E49" i="13"/>
  <c r="E25" i="13"/>
  <c r="E138" i="13"/>
  <c r="E134" i="13"/>
  <c r="E130" i="13"/>
  <c r="E126" i="13"/>
  <c r="E122" i="13"/>
  <c r="E118" i="13"/>
  <c r="E110" i="13"/>
  <c r="E106" i="13"/>
  <c r="E102" i="13"/>
  <c r="E98" i="13"/>
  <c r="E94" i="13"/>
  <c r="E90" i="13"/>
  <c r="E86" i="13"/>
  <c r="E82" i="13"/>
  <c r="E78" i="13"/>
  <c r="E74" i="13"/>
  <c r="E70" i="13"/>
  <c r="E66" i="13"/>
  <c r="E62" i="13"/>
  <c r="E58" i="13"/>
  <c r="E54" i="13"/>
  <c r="E50" i="13"/>
  <c r="E46" i="13"/>
  <c r="E42" i="13"/>
  <c r="E38" i="13"/>
  <c r="E34" i="13"/>
  <c r="E30" i="13"/>
  <c r="E26" i="13"/>
  <c r="E22" i="13"/>
  <c r="E136" i="13"/>
  <c r="E132" i="13"/>
  <c r="E128" i="13"/>
  <c r="E124" i="13"/>
  <c r="E120" i="13"/>
  <c r="E116" i="13"/>
  <c r="E112" i="13"/>
  <c r="E108" i="13"/>
  <c r="E104" i="13"/>
  <c r="E100" i="13"/>
  <c r="E96" i="13"/>
  <c r="E92" i="13"/>
  <c r="E88" i="13"/>
  <c r="E84" i="13"/>
  <c r="E80" i="13"/>
  <c r="E76" i="13"/>
  <c r="E72" i="13"/>
  <c r="E68" i="13"/>
  <c r="E64" i="13"/>
  <c r="E60" i="13"/>
  <c r="E56" i="13"/>
  <c r="E52" i="13"/>
  <c r="E48" i="13"/>
  <c r="E44" i="13"/>
  <c r="E40" i="13"/>
  <c r="E36" i="13"/>
  <c r="E32" i="13"/>
  <c r="E28" i="13"/>
  <c r="E24" i="13"/>
  <c r="E20" i="13"/>
  <c r="E15" i="13"/>
  <c r="D18" i="13"/>
  <c r="D19" i="13"/>
  <c r="D15" i="13"/>
  <c r="D17" i="13"/>
  <c r="D14" i="13"/>
  <c r="D16" i="13"/>
  <c r="E18" i="13"/>
  <c r="E16" i="13"/>
  <c r="E14" i="13"/>
  <c r="E17" i="14"/>
  <c r="E18" i="14"/>
  <c r="E19" i="14"/>
  <c r="E20" i="14"/>
  <c r="E141" i="14" l="1"/>
  <c r="E142" i="14" s="1"/>
  <c r="F19" i="13"/>
  <c r="F18" i="13"/>
  <c r="F17" i="13"/>
  <c r="F16" i="13"/>
  <c r="E140" i="13"/>
  <c r="E141" i="13" s="1"/>
  <c r="D140" i="13"/>
  <c r="D141" i="13" s="1"/>
  <c r="AB139" i="12"/>
  <c r="AA139" i="12"/>
  <c r="AM139" i="12" s="1"/>
  <c r="Z139" i="12"/>
  <c r="AL139" i="12" s="1"/>
  <c r="Y139" i="12"/>
  <c r="AK139" i="12" s="1"/>
  <c r="X139" i="12"/>
  <c r="AJ139" i="12" s="1"/>
  <c r="W139" i="12"/>
  <c r="AI139" i="12" s="1"/>
  <c r="V139" i="12"/>
  <c r="AH139" i="12" s="1"/>
  <c r="AB138" i="12"/>
  <c r="AA138" i="12"/>
  <c r="AM138" i="12" s="1"/>
  <c r="Z138" i="12"/>
  <c r="AL138" i="12" s="1"/>
  <c r="Y138" i="12"/>
  <c r="AK138" i="12" s="1"/>
  <c r="X138" i="12"/>
  <c r="AJ138" i="12" s="1"/>
  <c r="W138" i="12"/>
  <c r="AI138" i="12" s="1"/>
  <c r="V138" i="12"/>
  <c r="AH138" i="12" s="1"/>
  <c r="AB137" i="12"/>
  <c r="AA137" i="12"/>
  <c r="AM137" i="12" s="1"/>
  <c r="Z137" i="12"/>
  <c r="AL137" i="12" s="1"/>
  <c r="Y137" i="12"/>
  <c r="AK137" i="12" s="1"/>
  <c r="X137" i="12"/>
  <c r="AJ137" i="12" s="1"/>
  <c r="W137" i="12"/>
  <c r="AI137" i="12" s="1"/>
  <c r="V137" i="12"/>
  <c r="AH137" i="12" s="1"/>
  <c r="AB136" i="12"/>
  <c r="AA136" i="12"/>
  <c r="AM136" i="12" s="1"/>
  <c r="Z136" i="12"/>
  <c r="AL136" i="12" s="1"/>
  <c r="Y136" i="12"/>
  <c r="AK136" i="12" s="1"/>
  <c r="X136" i="12"/>
  <c r="AJ136" i="12" s="1"/>
  <c r="W136" i="12"/>
  <c r="AI136" i="12" s="1"/>
  <c r="V136" i="12"/>
  <c r="AH136" i="12" s="1"/>
  <c r="AB135" i="12"/>
  <c r="AA135" i="12"/>
  <c r="AM135" i="12" s="1"/>
  <c r="Z135" i="12"/>
  <c r="AL135" i="12" s="1"/>
  <c r="Y135" i="12"/>
  <c r="AK135" i="12" s="1"/>
  <c r="X135" i="12"/>
  <c r="AJ135" i="12" s="1"/>
  <c r="W135" i="12"/>
  <c r="AI135" i="12" s="1"/>
  <c r="V135" i="12"/>
  <c r="AH135" i="12" s="1"/>
  <c r="AB134" i="12"/>
  <c r="AA134" i="12"/>
  <c r="AM134" i="12" s="1"/>
  <c r="Z134" i="12"/>
  <c r="AL134" i="12" s="1"/>
  <c r="Y134" i="12"/>
  <c r="AK134" i="12" s="1"/>
  <c r="X134" i="12"/>
  <c r="AJ134" i="12" s="1"/>
  <c r="W134" i="12"/>
  <c r="AI134" i="12" s="1"/>
  <c r="V134" i="12"/>
  <c r="AH134" i="12" s="1"/>
  <c r="AB133" i="12"/>
  <c r="AA133" i="12"/>
  <c r="AM133" i="12" s="1"/>
  <c r="Z133" i="12"/>
  <c r="AL133" i="12" s="1"/>
  <c r="Y133" i="12"/>
  <c r="AK133" i="12" s="1"/>
  <c r="X133" i="12"/>
  <c r="AJ133" i="12" s="1"/>
  <c r="W133" i="12"/>
  <c r="AI133" i="12" s="1"/>
  <c r="V133" i="12"/>
  <c r="AH133" i="12" s="1"/>
  <c r="AB132" i="12"/>
  <c r="AA132" i="12"/>
  <c r="AM132" i="12" s="1"/>
  <c r="Z132" i="12"/>
  <c r="AL132" i="12" s="1"/>
  <c r="Y132" i="12"/>
  <c r="AK132" i="12" s="1"/>
  <c r="X132" i="12"/>
  <c r="AJ132" i="12" s="1"/>
  <c r="W132" i="12"/>
  <c r="AI132" i="12" s="1"/>
  <c r="V132" i="12"/>
  <c r="AH132" i="12" s="1"/>
  <c r="AB131" i="12"/>
  <c r="AA131" i="12"/>
  <c r="AM131" i="12" s="1"/>
  <c r="Z131" i="12"/>
  <c r="AL131" i="12" s="1"/>
  <c r="Y131" i="12"/>
  <c r="AK131" i="12" s="1"/>
  <c r="X131" i="12"/>
  <c r="AJ131" i="12" s="1"/>
  <c r="W131" i="12"/>
  <c r="AI131" i="12" s="1"/>
  <c r="V131" i="12"/>
  <c r="AH131" i="12" s="1"/>
  <c r="AB130" i="12"/>
  <c r="AA130" i="12"/>
  <c r="AM130" i="12" s="1"/>
  <c r="Z130" i="12"/>
  <c r="AL130" i="12" s="1"/>
  <c r="Y130" i="12"/>
  <c r="AK130" i="12" s="1"/>
  <c r="X130" i="12"/>
  <c r="AJ130" i="12" s="1"/>
  <c r="W130" i="12"/>
  <c r="AI130" i="12" s="1"/>
  <c r="V130" i="12"/>
  <c r="AH130" i="12" s="1"/>
  <c r="AB129" i="12"/>
  <c r="AA129" i="12"/>
  <c r="AM129" i="12" s="1"/>
  <c r="Z129" i="12"/>
  <c r="AL129" i="12" s="1"/>
  <c r="Y129" i="12"/>
  <c r="AK129" i="12" s="1"/>
  <c r="X129" i="12"/>
  <c r="AJ129" i="12" s="1"/>
  <c r="W129" i="12"/>
  <c r="AI129" i="12" s="1"/>
  <c r="V129" i="12"/>
  <c r="AH129" i="12" s="1"/>
  <c r="AB128" i="12"/>
  <c r="AA128" i="12"/>
  <c r="AM128" i="12" s="1"/>
  <c r="Z128" i="12"/>
  <c r="AL128" i="12" s="1"/>
  <c r="Y128" i="12"/>
  <c r="AK128" i="12" s="1"/>
  <c r="X128" i="12"/>
  <c r="AJ128" i="12" s="1"/>
  <c r="W128" i="12"/>
  <c r="AI128" i="12" s="1"/>
  <c r="V128" i="12"/>
  <c r="AH128" i="12" s="1"/>
  <c r="AB127" i="12"/>
  <c r="AA127" i="12"/>
  <c r="AM127" i="12" s="1"/>
  <c r="Z127" i="12"/>
  <c r="AL127" i="12" s="1"/>
  <c r="Y127" i="12"/>
  <c r="AK127" i="12" s="1"/>
  <c r="X127" i="12"/>
  <c r="AJ127" i="12" s="1"/>
  <c r="W127" i="12"/>
  <c r="AI127" i="12" s="1"/>
  <c r="V127" i="12"/>
  <c r="AH127" i="12" s="1"/>
  <c r="AB126" i="12"/>
  <c r="AA126" i="12"/>
  <c r="AM126" i="12" s="1"/>
  <c r="Z126" i="12"/>
  <c r="AL126" i="12" s="1"/>
  <c r="Y126" i="12"/>
  <c r="AK126" i="12" s="1"/>
  <c r="X126" i="12"/>
  <c r="AJ126" i="12" s="1"/>
  <c r="W126" i="12"/>
  <c r="AI126" i="12" s="1"/>
  <c r="V126" i="12"/>
  <c r="AH126" i="12" s="1"/>
  <c r="AB125" i="12"/>
  <c r="AA125" i="12"/>
  <c r="AM125" i="12" s="1"/>
  <c r="Z125" i="12"/>
  <c r="AL125" i="12" s="1"/>
  <c r="Y125" i="12"/>
  <c r="AK125" i="12" s="1"/>
  <c r="X125" i="12"/>
  <c r="AJ125" i="12" s="1"/>
  <c r="W125" i="12"/>
  <c r="AI125" i="12" s="1"/>
  <c r="V125" i="12"/>
  <c r="AH125" i="12" s="1"/>
  <c r="AB124" i="12"/>
  <c r="AA124" i="12"/>
  <c r="AM124" i="12" s="1"/>
  <c r="Z124" i="12"/>
  <c r="AL124" i="12" s="1"/>
  <c r="Y124" i="12"/>
  <c r="AK124" i="12" s="1"/>
  <c r="X124" i="12"/>
  <c r="AJ124" i="12" s="1"/>
  <c r="W124" i="12"/>
  <c r="AI124" i="12" s="1"/>
  <c r="V124" i="12"/>
  <c r="AH124" i="12" s="1"/>
  <c r="AB123" i="12"/>
  <c r="AA123" i="12"/>
  <c r="AM123" i="12" s="1"/>
  <c r="Z123" i="12"/>
  <c r="AL123" i="12" s="1"/>
  <c r="Y123" i="12"/>
  <c r="AK123" i="12" s="1"/>
  <c r="X123" i="12"/>
  <c r="AJ123" i="12" s="1"/>
  <c r="W123" i="12"/>
  <c r="AI123" i="12" s="1"/>
  <c r="V123" i="12"/>
  <c r="AH123" i="12" s="1"/>
  <c r="AB122" i="12"/>
  <c r="AA122" i="12"/>
  <c r="AM122" i="12" s="1"/>
  <c r="Z122" i="12"/>
  <c r="AL122" i="12" s="1"/>
  <c r="Y122" i="12"/>
  <c r="AK122" i="12" s="1"/>
  <c r="X122" i="12"/>
  <c r="AJ122" i="12" s="1"/>
  <c r="W122" i="12"/>
  <c r="AI122" i="12" s="1"/>
  <c r="V122" i="12"/>
  <c r="AH122" i="12" s="1"/>
  <c r="AB121" i="12"/>
  <c r="AA121" i="12"/>
  <c r="AM121" i="12" s="1"/>
  <c r="Z121" i="12"/>
  <c r="AL121" i="12" s="1"/>
  <c r="Y121" i="12"/>
  <c r="AK121" i="12" s="1"/>
  <c r="X121" i="12"/>
  <c r="AJ121" i="12" s="1"/>
  <c r="W121" i="12"/>
  <c r="AI121" i="12" s="1"/>
  <c r="V121" i="12"/>
  <c r="AH121" i="12" s="1"/>
  <c r="AB120" i="12"/>
  <c r="AA120" i="12"/>
  <c r="AM120" i="12" s="1"/>
  <c r="Z120" i="12"/>
  <c r="AL120" i="12" s="1"/>
  <c r="Y120" i="12"/>
  <c r="AK120" i="12" s="1"/>
  <c r="X120" i="12"/>
  <c r="AJ120" i="12" s="1"/>
  <c r="W120" i="12"/>
  <c r="AI120" i="12" s="1"/>
  <c r="V120" i="12"/>
  <c r="AH120" i="12" s="1"/>
  <c r="AB119" i="12"/>
  <c r="AA119" i="12"/>
  <c r="AM119" i="12" s="1"/>
  <c r="Z119" i="12"/>
  <c r="AL119" i="12" s="1"/>
  <c r="Y119" i="12"/>
  <c r="AK119" i="12" s="1"/>
  <c r="X119" i="12"/>
  <c r="AJ119" i="12" s="1"/>
  <c r="W119" i="12"/>
  <c r="AI119" i="12" s="1"/>
  <c r="V119" i="12"/>
  <c r="AH119" i="12" s="1"/>
  <c r="AB118" i="12"/>
  <c r="AA118" i="12"/>
  <c r="AM118" i="12" s="1"/>
  <c r="Z118" i="12"/>
  <c r="AL118" i="12" s="1"/>
  <c r="Y118" i="12"/>
  <c r="AK118" i="12" s="1"/>
  <c r="X118" i="12"/>
  <c r="AJ118" i="12" s="1"/>
  <c r="W118" i="12"/>
  <c r="AI118" i="12" s="1"/>
  <c r="V118" i="12"/>
  <c r="AH118" i="12" s="1"/>
  <c r="AB117" i="12"/>
  <c r="AA117" i="12"/>
  <c r="AM117" i="12" s="1"/>
  <c r="Z117" i="12"/>
  <c r="AL117" i="12" s="1"/>
  <c r="Y117" i="12"/>
  <c r="AK117" i="12" s="1"/>
  <c r="X117" i="12"/>
  <c r="AJ117" i="12" s="1"/>
  <c r="W117" i="12"/>
  <c r="AI117" i="12" s="1"/>
  <c r="V117" i="12"/>
  <c r="AH117" i="12" s="1"/>
  <c r="AB116" i="12"/>
  <c r="AA116" i="12"/>
  <c r="AM116" i="12" s="1"/>
  <c r="Z116" i="12"/>
  <c r="AL116" i="12" s="1"/>
  <c r="Y116" i="12"/>
  <c r="AK116" i="12" s="1"/>
  <c r="X116" i="12"/>
  <c r="AJ116" i="12" s="1"/>
  <c r="W116" i="12"/>
  <c r="AI116" i="12" s="1"/>
  <c r="V116" i="12"/>
  <c r="AH116" i="12" s="1"/>
  <c r="AB115" i="12"/>
  <c r="AA115" i="12"/>
  <c r="AM115" i="12" s="1"/>
  <c r="Z115" i="12"/>
  <c r="AL115" i="12" s="1"/>
  <c r="Y115" i="12"/>
  <c r="AK115" i="12" s="1"/>
  <c r="X115" i="12"/>
  <c r="AJ115" i="12" s="1"/>
  <c r="W115" i="12"/>
  <c r="AI115" i="12" s="1"/>
  <c r="V115" i="12"/>
  <c r="AH115" i="12" s="1"/>
  <c r="AB114" i="12"/>
  <c r="AA114" i="12"/>
  <c r="AM114" i="12" s="1"/>
  <c r="Z114" i="12"/>
  <c r="AL114" i="12" s="1"/>
  <c r="Y114" i="12"/>
  <c r="AK114" i="12" s="1"/>
  <c r="X114" i="12"/>
  <c r="AJ114" i="12" s="1"/>
  <c r="W114" i="12"/>
  <c r="AI114" i="12" s="1"/>
  <c r="V114" i="12"/>
  <c r="AH114" i="12" s="1"/>
  <c r="AB113" i="12"/>
  <c r="AA113" i="12"/>
  <c r="AM113" i="12" s="1"/>
  <c r="Z113" i="12"/>
  <c r="AL113" i="12" s="1"/>
  <c r="Y113" i="12"/>
  <c r="AK113" i="12" s="1"/>
  <c r="X113" i="12"/>
  <c r="AJ113" i="12" s="1"/>
  <c r="W113" i="12"/>
  <c r="AI113" i="12" s="1"/>
  <c r="V113" i="12"/>
  <c r="AH113" i="12" s="1"/>
  <c r="AB112" i="12"/>
  <c r="AA112" i="12"/>
  <c r="AM112" i="12" s="1"/>
  <c r="Z112" i="12"/>
  <c r="AL112" i="12" s="1"/>
  <c r="Y112" i="12"/>
  <c r="AK112" i="12" s="1"/>
  <c r="X112" i="12"/>
  <c r="AJ112" i="12" s="1"/>
  <c r="W112" i="12"/>
  <c r="AI112" i="12" s="1"/>
  <c r="V112" i="12"/>
  <c r="AH112" i="12" s="1"/>
  <c r="AB111" i="12"/>
  <c r="AA111" i="12"/>
  <c r="AM111" i="12" s="1"/>
  <c r="Z111" i="12"/>
  <c r="AL111" i="12" s="1"/>
  <c r="Y111" i="12"/>
  <c r="AK111" i="12" s="1"/>
  <c r="X111" i="12"/>
  <c r="AJ111" i="12" s="1"/>
  <c r="W111" i="12"/>
  <c r="AI111" i="12" s="1"/>
  <c r="V111" i="12"/>
  <c r="AH111" i="12" s="1"/>
  <c r="AB110" i="12"/>
  <c r="AA110" i="12"/>
  <c r="AM110" i="12" s="1"/>
  <c r="Z110" i="12"/>
  <c r="AL110" i="12" s="1"/>
  <c r="Y110" i="12"/>
  <c r="AK110" i="12" s="1"/>
  <c r="X110" i="12"/>
  <c r="AJ110" i="12" s="1"/>
  <c r="W110" i="12"/>
  <c r="AI110" i="12" s="1"/>
  <c r="V110" i="12"/>
  <c r="AH110" i="12" s="1"/>
  <c r="AB109" i="12"/>
  <c r="AA109" i="12"/>
  <c r="AM109" i="12" s="1"/>
  <c r="Z109" i="12"/>
  <c r="AL109" i="12" s="1"/>
  <c r="Y109" i="12"/>
  <c r="AK109" i="12" s="1"/>
  <c r="X109" i="12"/>
  <c r="AJ109" i="12" s="1"/>
  <c r="W109" i="12"/>
  <c r="AI109" i="12" s="1"/>
  <c r="V109" i="12"/>
  <c r="AH109" i="12" s="1"/>
  <c r="AB108" i="12"/>
  <c r="AA108" i="12"/>
  <c r="AM108" i="12" s="1"/>
  <c r="Z108" i="12"/>
  <c r="AL108" i="12" s="1"/>
  <c r="Y108" i="12"/>
  <c r="AK108" i="12" s="1"/>
  <c r="X108" i="12"/>
  <c r="AJ108" i="12" s="1"/>
  <c r="W108" i="12"/>
  <c r="AI108" i="12" s="1"/>
  <c r="V108" i="12"/>
  <c r="AH108" i="12" s="1"/>
  <c r="AB107" i="12"/>
  <c r="AA107" i="12"/>
  <c r="AM107" i="12" s="1"/>
  <c r="Z107" i="12"/>
  <c r="AL107" i="12" s="1"/>
  <c r="Y107" i="12"/>
  <c r="AK107" i="12" s="1"/>
  <c r="X107" i="12"/>
  <c r="AJ107" i="12" s="1"/>
  <c r="W107" i="12"/>
  <c r="AI107" i="12" s="1"/>
  <c r="V107" i="12"/>
  <c r="AH107" i="12" s="1"/>
  <c r="AB106" i="12"/>
  <c r="AA106" i="12"/>
  <c r="AM106" i="12" s="1"/>
  <c r="Z106" i="12"/>
  <c r="AL106" i="12" s="1"/>
  <c r="Y106" i="12"/>
  <c r="AK106" i="12" s="1"/>
  <c r="X106" i="12"/>
  <c r="AJ106" i="12" s="1"/>
  <c r="W106" i="12"/>
  <c r="AI106" i="12" s="1"/>
  <c r="V106" i="12"/>
  <c r="AH106" i="12" s="1"/>
  <c r="AB105" i="12"/>
  <c r="AA105" i="12"/>
  <c r="AM105" i="12" s="1"/>
  <c r="Z105" i="12"/>
  <c r="AL105" i="12" s="1"/>
  <c r="Y105" i="12"/>
  <c r="AK105" i="12" s="1"/>
  <c r="X105" i="12"/>
  <c r="AJ105" i="12" s="1"/>
  <c r="W105" i="12"/>
  <c r="AI105" i="12" s="1"/>
  <c r="V105" i="12"/>
  <c r="AH105" i="12" s="1"/>
  <c r="AB104" i="12"/>
  <c r="AA104" i="12"/>
  <c r="AM104" i="12" s="1"/>
  <c r="Z104" i="12"/>
  <c r="AL104" i="12" s="1"/>
  <c r="Y104" i="12"/>
  <c r="AK104" i="12" s="1"/>
  <c r="X104" i="12"/>
  <c r="AJ104" i="12" s="1"/>
  <c r="W104" i="12"/>
  <c r="AI104" i="12" s="1"/>
  <c r="V104" i="12"/>
  <c r="AH104" i="12" s="1"/>
  <c r="AB103" i="12"/>
  <c r="AA103" i="12"/>
  <c r="AM103" i="12" s="1"/>
  <c r="Z103" i="12"/>
  <c r="AL103" i="12" s="1"/>
  <c r="Y103" i="12"/>
  <c r="AK103" i="12" s="1"/>
  <c r="X103" i="12"/>
  <c r="AJ103" i="12" s="1"/>
  <c r="W103" i="12"/>
  <c r="AI103" i="12" s="1"/>
  <c r="V103" i="12"/>
  <c r="AH103" i="12" s="1"/>
  <c r="AB102" i="12"/>
  <c r="AA102" i="12"/>
  <c r="AM102" i="12" s="1"/>
  <c r="Z102" i="12"/>
  <c r="AL102" i="12" s="1"/>
  <c r="Y102" i="12"/>
  <c r="AK102" i="12" s="1"/>
  <c r="X102" i="12"/>
  <c r="AJ102" i="12" s="1"/>
  <c r="W102" i="12"/>
  <c r="AI102" i="12" s="1"/>
  <c r="V102" i="12"/>
  <c r="AH102" i="12" s="1"/>
  <c r="AB101" i="12"/>
  <c r="AA101" i="12"/>
  <c r="AM101" i="12" s="1"/>
  <c r="Z101" i="12"/>
  <c r="AL101" i="12" s="1"/>
  <c r="Y101" i="12"/>
  <c r="AK101" i="12" s="1"/>
  <c r="X101" i="12"/>
  <c r="AJ101" i="12" s="1"/>
  <c r="W101" i="12"/>
  <c r="AI101" i="12" s="1"/>
  <c r="V101" i="12"/>
  <c r="AH101" i="12" s="1"/>
  <c r="AB100" i="12"/>
  <c r="AA100" i="12"/>
  <c r="AM100" i="12" s="1"/>
  <c r="Z100" i="12"/>
  <c r="AL100" i="12" s="1"/>
  <c r="Y100" i="12"/>
  <c r="AK100" i="12" s="1"/>
  <c r="X100" i="12"/>
  <c r="AJ100" i="12" s="1"/>
  <c r="W100" i="12"/>
  <c r="AI100" i="12" s="1"/>
  <c r="V100" i="12"/>
  <c r="AH100" i="12" s="1"/>
  <c r="AB99" i="12"/>
  <c r="AA99" i="12"/>
  <c r="AM99" i="12" s="1"/>
  <c r="Z99" i="12"/>
  <c r="AL99" i="12" s="1"/>
  <c r="Y99" i="12"/>
  <c r="AK99" i="12" s="1"/>
  <c r="X99" i="12"/>
  <c r="AJ99" i="12" s="1"/>
  <c r="W99" i="12"/>
  <c r="AI99" i="12" s="1"/>
  <c r="V99" i="12"/>
  <c r="AH99" i="12" s="1"/>
  <c r="AB98" i="12"/>
  <c r="AA98" i="12"/>
  <c r="AM98" i="12" s="1"/>
  <c r="Z98" i="12"/>
  <c r="AL98" i="12" s="1"/>
  <c r="Y98" i="12"/>
  <c r="AK98" i="12" s="1"/>
  <c r="X98" i="12"/>
  <c r="AJ98" i="12" s="1"/>
  <c r="W98" i="12"/>
  <c r="AI98" i="12" s="1"/>
  <c r="V98" i="12"/>
  <c r="AH98" i="12" s="1"/>
  <c r="AB97" i="12"/>
  <c r="AA97" i="12"/>
  <c r="AM97" i="12" s="1"/>
  <c r="Z97" i="12"/>
  <c r="AL97" i="12" s="1"/>
  <c r="Y97" i="12"/>
  <c r="AK97" i="12" s="1"/>
  <c r="X97" i="12"/>
  <c r="AJ97" i="12" s="1"/>
  <c r="W97" i="12"/>
  <c r="AI97" i="12" s="1"/>
  <c r="V97" i="12"/>
  <c r="AH97" i="12" s="1"/>
  <c r="AB96" i="12"/>
  <c r="AA96" i="12"/>
  <c r="AM96" i="12" s="1"/>
  <c r="Z96" i="12"/>
  <c r="AL96" i="12" s="1"/>
  <c r="Y96" i="12"/>
  <c r="AK96" i="12" s="1"/>
  <c r="X96" i="12"/>
  <c r="AJ96" i="12" s="1"/>
  <c r="W96" i="12"/>
  <c r="AI96" i="12" s="1"/>
  <c r="V96" i="12"/>
  <c r="AH96" i="12" s="1"/>
  <c r="AB95" i="12"/>
  <c r="AA95" i="12"/>
  <c r="AM95" i="12" s="1"/>
  <c r="Z95" i="12"/>
  <c r="AL95" i="12" s="1"/>
  <c r="Y95" i="12"/>
  <c r="AK95" i="12" s="1"/>
  <c r="X95" i="12"/>
  <c r="AJ95" i="12" s="1"/>
  <c r="W95" i="12"/>
  <c r="AI95" i="12" s="1"/>
  <c r="V95" i="12"/>
  <c r="AH95" i="12" s="1"/>
  <c r="AB94" i="12"/>
  <c r="AA94" i="12"/>
  <c r="AM94" i="12" s="1"/>
  <c r="Z94" i="12"/>
  <c r="AL94" i="12" s="1"/>
  <c r="Y94" i="12"/>
  <c r="AK94" i="12" s="1"/>
  <c r="X94" i="12"/>
  <c r="AJ94" i="12" s="1"/>
  <c r="W94" i="12"/>
  <c r="AI94" i="12" s="1"/>
  <c r="V94" i="12"/>
  <c r="AH94" i="12" s="1"/>
  <c r="AB93" i="12"/>
  <c r="AA93" i="12"/>
  <c r="AM93" i="12" s="1"/>
  <c r="Z93" i="12"/>
  <c r="AL93" i="12" s="1"/>
  <c r="Y93" i="12"/>
  <c r="AK93" i="12" s="1"/>
  <c r="X93" i="12"/>
  <c r="AJ93" i="12" s="1"/>
  <c r="W93" i="12"/>
  <c r="AI93" i="12" s="1"/>
  <c r="V93" i="12"/>
  <c r="AH93" i="12" s="1"/>
  <c r="AB92" i="12"/>
  <c r="AA92" i="12"/>
  <c r="AM92" i="12" s="1"/>
  <c r="Z92" i="12"/>
  <c r="AL92" i="12" s="1"/>
  <c r="Y92" i="12"/>
  <c r="AK92" i="12" s="1"/>
  <c r="X92" i="12"/>
  <c r="AJ92" i="12" s="1"/>
  <c r="W92" i="12"/>
  <c r="AI92" i="12" s="1"/>
  <c r="V92" i="12"/>
  <c r="AH92" i="12" s="1"/>
  <c r="AB91" i="12"/>
  <c r="AA91" i="12"/>
  <c r="AM91" i="12" s="1"/>
  <c r="Z91" i="12"/>
  <c r="AL91" i="12" s="1"/>
  <c r="Y91" i="12"/>
  <c r="AK91" i="12" s="1"/>
  <c r="X91" i="12"/>
  <c r="AJ91" i="12" s="1"/>
  <c r="W91" i="12"/>
  <c r="AI91" i="12" s="1"/>
  <c r="V91" i="12"/>
  <c r="AH91" i="12" s="1"/>
  <c r="AB90" i="12"/>
  <c r="AA90" i="12"/>
  <c r="AM90" i="12" s="1"/>
  <c r="Z90" i="12"/>
  <c r="AL90" i="12" s="1"/>
  <c r="Y90" i="12"/>
  <c r="AK90" i="12" s="1"/>
  <c r="X90" i="12"/>
  <c r="AJ90" i="12" s="1"/>
  <c r="W90" i="12"/>
  <c r="AI90" i="12" s="1"/>
  <c r="V90" i="12"/>
  <c r="AH90" i="12" s="1"/>
  <c r="AB89" i="12"/>
  <c r="AA89" i="12"/>
  <c r="AM89" i="12" s="1"/>
  <c r="Z89" i="12"/>
  <c r="AL89" i="12" s="1"/>
  <c r="Y89" i="12"/>
  <c r="AK89" i="12" s="1"/>
  <c r="X89" i="12"/>
  <c r="AJ89" i="12" s="1"/>
  <c r="W89" i="12"/>
  <c r="AI89" i="12" s="1"/>
  <c r="V89" i="12"/>
  <c r="AH89" i="12" s="1"/>
  <c r="AB88" i="12"/>
  <c r="AA88" i="12"/>
  <c r="AM88" i="12" s="1"/>
  <c r="Z88" i="12"/>
  <c r="AL88" i="12" s="1"/>
  <c r="Y88" i="12"/>
  <c r="AK88" i="12" s="1"/>
  <c r="X88" i="12"/>
  <c r="AJ88" i="12" s="1"/>
  <c r="W88" i="12"/>
  <c r="AI88" i="12" s="1"/>
  <c r="V88" i="12"/>
  <c r="AH88" i="12" s="1"/>
  <c r="AB87" i="12"/>
  <c r="AA87" i="12"/>
  <c r="AM87" i="12" s="1"/>
  <c r="Z87" i="12"/>
  <c r="AL87" i="12" s="1"/>
  <c r="Y87" i="12"/>
  <c r="AK87" i="12" s="1"/>
  <c r="X87" i="12"/>
  <c r="AJ87" i="12" s="1"/>
  <c r="W87" i="12"/>
  <c r="AI87" i="12" s="1"/>
  <c r="V87" i="12"/>
  <c r="AH87" i="12" s="1"/>
  <c r="AB86" i="12"/>
  <c r="AA86" i="12"/>
  <c r="AM86" i="12" s="1"/>
  <c r="Z86" i="12"/>
  <c r="AL86" i="12" s="1"/>
  <c r="Y86" i="12"/>
  <c r="AK86" i="12" s="1"/>
  <c r="X86" i="12"/>
  <c r="AJ86" i="12" s="1"/>
  <c r="W86" i="12"/>
  <c r="AI86" i="12" s="1"/>
  <c r="V86" i="12"/>
  <c r="AH86" i="12" s="1"/>
  <c r="AB85" i="12"/>
  <c r="AA85" i="12"/>
  <c r="AM85" i="12" s="1"/>
  <c r="Z85" i="12"/>
  <c r="AL85" i="12" s="1"/>
  <c r="Y85" i="12"/>
  <c r="AK85" i="12" s="1"/>
  <c r="X85" i="12"/>
  <c r="AJ85" i="12" s="1"/>
  <c r="W85" i="12"/>
  <c r="AI85" i="12" s="1"/>
  <c r="V85" i="12"/>
  <c r="AH85" i="12" s="1"/>
  <c r="AB84" i="12"/>
  <c r="AA84" i="12"/>
  <c r="AM84" i="12" s="1"/>
  <c r="Z84" i="12"/>
  <c r="AL84" i="12" s="1"/>
  <c r="Y84" i="12"/>
  <c r="AK84" i="12" s="1"/>
  <c r="X84" i="12"/>
  <c r="AJ84" i="12" s="1"/>
  <c r="W84" i="12"/>
  <c r="AI84" i="12" s="1"/>
  <c r="V84" i="12"/>
  <c r="AH84" i="12" s="1"/>
  <c r="AB83" i="12"/>
  <c r="AA83" i="12"/>
  <c r="AM83" i="12" s="1"/>
  <c r="Z83" i="12"/>
  <c r="AL83" i="12" s="1"/>
  <c r="Y83" i="12"/>
  <c r="AK83" i="12" s="1"/>
  <c r="X83" i="12"/>
  <c r="AJ83" i="12" s="1"/>
  <c r="W83" i="12"/>
  <c r="AI83" i="12" s="1"/>
  <c r="V83" i="12"/>
  <c r="AH83" i="12" s="1"/>
  <c r="AB82" i="12"/>
  <c r="AA82" i="12"/>
  <c r="AM82" i="12" s="1"/>
  <c r="Z82" i="12"/>
  <c r="AL82" i="12" s="1"/>
  <c r="Y82" i="12"/>
  <c r="AK82" i="12" s="1"/>
  <c r="X82" i="12"/>
  <c r="AJ82" i="12" s="1"/>
  <c r="W82" i="12"/>
  <c r="AI82" i="12" s="1"/>
  <c r="V82" i="12"/>
  <c r="AH82" i="12" s="1"/>
  <c r="AB81" i="12"/>
  <c r="AA81" i="12"/>
  <c r="AM81" i="12" s="1"/>
  <c r="Z81" i="12"/>
  <c r="AL81" i="12" s="1"/>
  <c r="Y81" i="12"/>
  <c r="AK81" i="12" s="1"/>
  <c r="X81" i="12"/>
  <c r="AJ81" i="12" s="1"/>
  <c r="W81" i="12"/>
  <c r="AI81" i="12" s="1"/>
  <c r="V81" i="12"/>
  <c r="AH81" i="12" s="1"/>
  <c r="AB80" i="12"/>
  <c r="AA80" i="12"/>
  <c r="AM80" i="12" s="1"/>
  <c r="Z80" i="12"/>
  <c r="AL80" i="12" s="1"/>
  <c r="Y80" i="12"/>
  <c r="AK80" i="12" s="1"/>
  <c r="X80" i="12"/>
  <c r="AJ80" i="12" s="1"/>
  <c r="W80" i="12"/>
  <c r="AI80" i="12" s="1"/>
  <c r="V80" i="12"/>
  <c r="AH80" i="12" s="1"/>
  <c r="AB19" i="12"/>
  <c r="AA19" i="12"/>
  <c r="AM19" i="12" s="1"/>
  <c r="Z19" i="12"/>
  <c r="AL19" i="12" s="1"/>
  <c r="Y19" i="12"/>
  <c r="AK19" i="12" s="1"/>
  <c r="X19" i="12"/>
  <c r="AJ19" i="12" s="1"/>
  <c r="W19" i="12"/>
  <c r="AI19" i="12" s="1"/>
  <c r="V19" i="12"/>
  <c r="AH19" i="12" s="1"/>
  <c r="AB18" i="12"/>
  <c r="AA18" i="12"/>
  <c r="AM18" i="12" s="1"/>
  <c r="Z18" i="12"/>
  <c r="AL18" i="12" s="1"/>
  <c r="Y18" i="12"/>
  <c r="AK18" i="12" s="1"/>
  <c r="X18" i="12"/>
  <c r="AJ18" i="12" s="1"/>
  <c r="W18" i="12"/>
  <c r="AI18" i="12" s="1"/>
  <c r="V18" i="12"/>
  <c r="AH18" i="12" s="1"/>
  <c r="AB17" i="12"/>
  <c r="AA17" i="12"/>
  <c r="AM17" i="12" s="1"/>
  <c r="Z17" i="12"/>
  <c r="AL17" i="12" s="1"/>
  <c r="Y17" i="12"/>
  <c r="AK17" i="12" s="1"/>
  <c r="X17" i="12"/>
  <c r="AJ17" i="12" s="1"/>
  <c r="W17" i="12"/>
  <c r="AI17" i="12" s="1"/>
  <c r="V17" i="12"/>
  <c r="AH17" i="12" s="1"/>
  <c r="AB16" i="12"/>
  <c r="AA16" i="12"/>
  <c r="AM16" i="12" s="1"/>
  <c r="Z16" i="12"/>
  <c r="AL16" i="12" s="1"/>
  <c r="Y16" i="12"/>
  <c r="AK16" i="12" s="1"/>
  <c r="X16" i="12"/>
  <c r="AJ16" i="12" s="1"/>
  <c r="W16" i="12"/>
  <c r="AI16" i="12" s="1"/>
  <c r="V16" i="12"/>
  <c r="AH16" i="12" s="1"/>
  <c r="AB15" i="12"/>
  <c r="AA15" i="12"/>
  <c r="AM15" i="12" s="1"/>
  <c r="Z15" i="12"/>
  <c r="AL15" i="12" s="1"/>
  <c r="Y15" i="12"/>
  <c r="AK15" i="12" s="1"/>
  <c r="X15" i="12"/>
  <c r="AJ15" i="12" s="1"/>
  <c r="W15" i="12"/>
  <c r="AI15" i="12" s="1"/>
  <c r="V15" i="12"/>
  <c r="AH15" i="12" s="1"/>
  <c r="AB14" i="12"/>
  <c r="AA14" i="12"/>
  <c r="AM14" i="12" s="1"/>
  <c r="Z14" i="12"/>
  <c r="AL14" i="12" s="1"/>
  <c r="Y14" i="12"/>
  <c r="AK14" i="12" s="1"/>
  <c r="X14" i="12"/>
  <c r="AJ14" i="12" s="1"/>
  <c r="W14" i="12"/>
  <c r="AI14" i="12" s="1"/>
  <c r="V14" i="12"/>
  <c r="AH14" i="12" s="1"/>
  <c r="AB10" i="12"/>
  <c r="AA10" i="12"/>
  <c r="Z10" i="12"/>
  <c r="Y10" i="12"/>
  <c r="X10" i="12"/>
  <c r="W10" i="12"/>
  <c r="AN139" i="12" l="1"/>
  <c r="AN138" i="12"/>
  <c r="AN137" i="12"/>
  <c r="AN136" i="12"/>
  <c r="AN135" i="12"/>
  <c r="AN134" i="12"/>
  <c r="AN133" i="12"/>
  <c r="AN132" i="12"/>
  <c r="AN131" i="12"/>
  <c r="AN130" i="12"/>
  <c r="AN129" i="12"/>
  <c r="AN128" i="12"/>
  <c r="AN127" i="12"/>
  <c r="AN126" i="12"/>
  <c r="AN125" i="12"/>
  <c r="AN124" i="12"/>
  <c r="AN123" i="12"/>
  <c r="AN122" i="12"/>
  <c r="AN121" i="12"/>
  <c r="AN120" i="12"/>
  <c r="AN119" i="12"/>
  <c r="AN118" i="12"/>
  <c r="AN117" i="12"/>
  <c r="AN116" i="12"/>
  <c r="AN115" i="12"/>
  <c r="AN114" i="12"/>
  <c r="AN113" i="12"/>
  <c r="AN112" i="12"/>
  <c r="AN111" i="12"/>
  <c r="AN110" i="12"/>
  <c r="AN109" i="12"/>
  <c r="AN108" i="12"/>
  <c r="AN107" i="12"/>
  <c r="AN106" i="12"/>
  <c r="AN105" i="12"/>
  <c r="AN104" i="12"/>
  <c r="AN103" i="12"/>
  <c r="AN102" i="12"/>
  <c r="AN101" i="12"/>
  <c r="AN100" i="12"/>
  <c r="AN99" i="12"/>
  <c r="AN98" i="12"/>
  <c r="AN97" i="12"/>
  <c r="AN96" i="12"/>
  <c r="AN95" i="12"/>
  <c r="AN94" i="12"/>
  <c r="AN93" i="12"/>
  <c r="AN92" i="12"/>
  <c r="AN91" i="12"/>
  <c r="AN90" i="12"/>
  <c r="AN89" i="12"/>
  <c r="AN88" i="12"/>
  <c r="AN87" i="12"/>
  <c r="AN86" i="12"/>
  <c r="AN85" i="12"/>
  <c r="AN84" i="12"/>
  <c r="AN83" i="12"/>
  <c r="AN82" i="12"/>
  <c r="AN81" i="12"/>
  <c r="AN80" i="12"/>
  <c r="AN19" i="12"/>
  <c r="AN18" i="12"/>
  <c r="AN17" i="12"/>
  <c r="AN16" i="12"/>
  <c r="AN15" i="12"/>
  <c r="AN14" i="12"/>
  <c r="F80" i="13"/>
  <c r="E143" i="14"/>
  <c r="AK140" i="12"/>
  <c r="AI140" i="12"/>
  <c r="AM140" i="12"/>
  <c r="AH140" i="12"/>
  <c r="AJ140" i="12"/>
  <c r="AL140" i="12"/>
  <c r="AI142" i="12"/>
  <c r="AI143" i="12" s="1"/>
  <c r="AI144" i="12" s="1"/>
  <c r="C12" i="17" s="1"/>
  <c r="F12" i="17" s="1"/>
  <c r="AK142" i="12"/>
  <c r="AK143" i="12" s="1"/>
  <c r="AM142" i="12"/>
  <c r="AM143" i="12" s="1"/>
  <c r="AH142" i="12"/>
  <c r="AH143" i="12" s="1"/>
  <c r="AJ142" i="12"/>
  <c r="AJ143" i="12" s="1"/>
  <c r="AJ144" i="12" s="1"/>
  <c r="C13" i="17" s="1"/>
  <c r="F13" i="17" s="1"/>
  <c r="AL142" i="12"/>
  <c r="AL143" i="12" s="1"/>
  <c r="G22" i="17" l="1"/>
  <c r="G17" i="17"/>
  <c r="G20" i="17"/>
  <c r="G18" i="17"/>
  <c r="G21" i="17"/>
  <c r="G19" i="17"/>
  <c r="G14" i="17"/>
  <c r="G13" i="17"/>
  <c r="H13" i="17" s="1"/>
  <c r="J13" i="17" s="1"/>
  <c r="G16" i="17"/>
  <c r="G12" i="17"/>
  <c r="H12" i="17" s="1"/>
  <c r="J12" i="17" s="1"/>
  <c r="G15" i="17"/>
  <c r="AN140" i="12"/>
  <c r="AN142" i="12"/>
  <c r="AN143" i="12" s="1"/>
  <c r="AN144" i="12" s="1"/>
  <c r="C17" i="17" s="1"/>
  <c r="F17" i="17" s="1"/>
  <c r="AO142" i="12"/>
  <c r="AO143" i="12" s="1"/>
  <c r="C18" i="17" s="1"/>
  <c r="AO140" i="12"/>
  <c r="G11" i="17"/>
  <c r="AM144" i="12"/>
  <c r="AL144" i="12"/>
  <c r="AK144" i="12"/>
  <c r="AH144" i="12"/>
  <c r="C11" i="17" s="1"/>
  <c r="F11" i="17" s="1"/>
  <c r="F19" i="17"/>
  <c r="F82" i="13"/>
  <c r="F81" i="13"/>
  <c r="H17" i="17" l="1"/>
  <c r="J17" i="17" s="1"/>
  <c r="H19" i="17"/>
  <c r="J19" i="17" s="1"/>
  <c r="F22" i="17"/>
  <c r="H22" i="17" s="1"/>
  <c r="J22" i="17" s="1"/>
  <c r="C16" i="17"/>
  <c r="F16" i="17" s="1"/>
  <c r="H16" i="17" s="1"/>
  <c r="J16" i="17" s="1"/>
  <c r="F21" i="17"/>
  <c r="H21" i="17" s="1"/>
  <c r="J21" i="17" s="1"/>
  <c r="C15" i="17"/>
  <c r="F15" i="17" s="1"/>
  <c r="H15" i="17" s="1"/>
  <c r="J15" i="17" s="1"/>
  <c r="F20" i="17"/>
  <c r="H20" i="17" s="1"/>
  <c r="J20" i="17" s="1"/>
  <c r="C14" i="17"/>
  <c r="F14" i="17" s="1"/>
  <c r="H14" i="17" s="1"/>
  <c r="J14" i="17" s="1"/>
  <c r="H11" i="17"/>
  <c r="G23" i="17"/>
  <c r="F18" i="17"/>
  <c r="H18" i="17" s="1"/>
  <c r="J18" i="17" s="1"/>
  <c r="F140" i="13"/>
  <c r="F141" i="13" s="1"/>
  <c r="J11" i="17" l="1"/>
  <c r="G22" i="19"/>
  <c r="H23" i="17" l="1"/>
  <c r="J23" i="17" s="1"/>
  <c r="F23" i="17"/>
  <c r="D22" i="19" l="1"/>
  <c r="P22" i="19"/>
  <c r="E22" i="19"/>
  <c r="B22" i="19"/>
  <c r="N22" i="19"/>
  <c r="C22" i="19"/>
  <c r="O22" i="19"/>
</calcChain>
</file>

<file path=xl/sharedStrings.xml><?xml version="1.0" encoding="utf-8"?>
<sst xmlns="http://schemas.openxmlformats.org/spreadsheetml/2006/main" count="524" uniqueCount="167">
  <si>
    <t>ST JOSEPHS COLLEGE OF ENGINEERING AND TECHNOLOGY, PALAI</t>
  </si>
  <si>
    <t>Student Name</t>
  </si>
  <si>
    <t>Roll.No</t>
  </si>
  <si>
    <t>Total</t>
  </si>
  <si>
    <t>CO1</t>
  </si>
  <si>
    <t>CO2</t>
  </si>
  <si>
    <t>CO3</t>
  </si>
  <si>
    <t>CO4</t>
  </si>
  <si>
    <t>CO5</t>
  </si>
  <si>
    <t>CO6</t>
  </si>
  <si>
    <t>CO7</t>
  </si>
  <si>
    <t>KL1</t>
  </si>
  <si>
    <t>KL2</t>
  </si>
  <si>
    <t>KL3</t>
  </si>
  <si>
    <t>KL4</t>
  </si>
  <si>
    <t>KL5</t>
  </si>
  <si>
    <t>KL6</t>
  </si>
  <si>
    <t>CO</t>
  </si>
  <si>
    <t>Percentage Internal Exam Marks</t>
  </si>
  <si>
    <t>S</t>
  </si>
  <si>
    <t>O</t>
  </si>
  <si>
    <t>A+</t>
  </si>
  <si>
    <t>B+</t>
  </si>
  <si>
    <t>B</t>
  </si>
  <si>
    <t>C+</t>
  </si>
  <si>
    <t>C</t>
  </si>
  <si>
    <t>D</t>
  </si>
  <si>
    <t>P</t>
  </si>
  <si>
    <t>F</t>
  </si>
  <si>
    <t>FE</t>
  </si>
  <si>
    <t>I</t>
  </si>
  <si>
    <t>Regulation</t>
  </si>
  <si>
    <t>A</t>
  </si>
  <si>
    <t>R_2015</t>
  </si>
  <si>
    <t>R_2019</t>
  </si>
  <si>
    <t>Target</t>
  </si>
  <si>
    <t>Percentage Assignment Marks</t>
  </si>
  <si>
    <t xml:space="preserve">Semester :                                                          </t>
  </si>
  <si>
    <t>Type</t>
  </si>
  <si>
    <t>Internal Examination</t>
  </si>
  <si>
    <t>Assignment</t>
  </si>
  <si>
    <t>End Semester Examination</t>
  </si>
  <si>
    <t>80% or more students Score More than Set Target:</t>
  </si>
  <si>
    <t>70% or more students Score More than Set Target:</t>
  </si>
  <si>
    <t>60% or more students Score More than Set Target:</t>
  </si>
  <si>
    <t>Less than 60% students Score More than Set Target:</t>
  </si>
  <si>
    <t>% OF STDENTS ABOVE TARGET</t>
  </si>
  <si>
    <t>ATTAINMENT LEVEL</t>
  </si>
  <si>
    <t>Course Exit Survey</t>
  </si>
  <si>
    <t>CO Attainment</t>
  </si>
  <si>
    <t>CLASS AVERAGE - CO</t>
  </si>
  <si>
    <t>Direct CO Attainment</t>
  </si>
  <si>
    <t>CIE</t>
  </si>
  <si>
    <t>Indirect CO Attainment</t>
  </si>
  <si>
    <t>COUSE OUTCOME ATTAINMENT %</t>
  </si>
  <si>
    <t>University Register Number</t>
  </si>
  <si>
    <t>Academic Year</t>
  </si>
  <si>
    <t>Semester:</t>
  </si>
  <si>
    <t>Course Code &amp; Name</t>
  </si>
  <si>
    <t>Department</t>
  </si>
  <si>
    <t>Semester</t>
  </si>
  <si>
    <t>Faculty Member(s)</t>
  </si>
  <si>
    <t>Academic Year:</t>
  </si>
  <si>
    <t>Faculty Member(s):</t>
  </si>
  <si>
    <t xml:space="preserve">Semester: </t>
  </si>
  <si>
    <t>Course Outcomes</t>
  </si>
  <si>
    <t>End Semester Examination Result Analysis</t>
  </si>
  <si>
    <t>Course Name:</t>
  </si>
  <si>
    <t>Course Code:</t>
  </si>
  <si>
    <t>Course Name</t>
  </si>
  <si>
    <t>Course Code</t>
  </si>
  <si>
    <t>Grade</t>
  </si>
  <si>
    <t>% of Marks</t>
  </si>
  <si>
    <t>Sl.No</t>
  </si>
  <si>
    <t>Percentage End Semester Exam Marks</t>
  </si>
  <si>
    <t xml:space="preserve">Semester :          </t>
  </si>
  <si>
    <t>% or more students Score More than Set Target:</t>
  </si>
  <si>
    <t>Attainment Level</t>
  </si>
  <si>
    <t>PO1</t>
  </si>
  <si>
    <t>PO2</t>
  </si>
  <si>
    <t>PO3</t>
  </si>
  <si>
    <t>PO4</t>
  </si>
  <si>
    <t>PO5</t>
  </si>
  <si>
    <t>PO6</t>
  </si>
  <si>
    <t>PO7</t>
  </si>
  <si>
    <t>PO8</t>
  </si>
  <si>
    <t>PO9</t>
  </si>
  <si>
    <t>PO10</t>
  </si>
  <si>
    <t>PO11</t>
  </si>
  <si>
    <t>PO12</t>
  </si>
  <si>
    <t>PSO1</t>
  </si>
  <si>
    <t>PSO2</t>
  </si>
  <si>
    <t>PSO3</t>
  </si>
  <si>
    <t>Knowledge Level</t>
  </si>
  <si>
    <t xml:space="preserve">Total Number of students attained the knowledge level </t>
  </si>
  <si>
    <t xml:space="preserve">% of students attained the knowledge level </t>
  </si>
  <si>
    <t>Qn</t>
  </si>
  <si>
    <t>Max. 
Marks</t>
  </si>
  <si>
    <t>% of marks obtained in CO1</t>
  </si>
  <si>
    <t>% of marks obtained in CO2</t>
  </si>
  <si>
    <t>% of marks obtained in CO3</t>
  </si>
  <si>
    <t>% of marks obtained in CO4</t>
  </si>
  <si>
    <t>% of marks obtained in CO5</t>
  </si>
  <si>
    <t>% of marks obtained in CO6</t>
  </si>
  <si>
    <t>% of marks obtained in CO7</t>
  </si>
  <si>
    <t>TARGET</t>
  </si>
  <si>
    <t>NO OF STUDENT ATTAINED THE TARGET</t>
  </si>
  <si>
    <t>PERCENTAGE OF STUDENT ATTAINED THE TARGET</t>
  </si>
  <si>
    <t>Student Strength</t>
  </si>
  <si>
    <t>BASIC DETAILS</t>
  </si>
  <si>
    <t>Statement</t>
  </si>
  <si>
    <t>ATTAINMENT LEVELS</t>
  </si>
  <si>
    <t>-</t>
  </si>
  <si>
    <t xml:space="preserve">Semester :     </t>
  </si>
  <si>
    <t>Average</t>
  </si>
  <si>
    <t>Name and Signature of faculty(s)</t>
  </si>
  <si>
    <t>CO-PO AND CO-PSO ATTAINMENT</t>
  </si>
  <si>
    <t>CO-PO-PSO Attainment</t>
  </si>
  <si>
    <t>Assignment CO Attainment</t>
  </si>
  <si>
    <t>Value</t>
  </si>
  <si>
    <t>LOW</t>
  </si>
  <si>
    <t>MODERATE</t>
  </si>
  <si>
    <t>HIGH/SUBSTANTIAL</t>
  </si>
  <si>
    <t>NO CORRELATION</t>
  </si>
  <si>
    <t>Correlation</t>
  </si>
  <si>
    <t>Semester Exam Results</t>
  </si>
  <si>
    <r>
      <rPr>
        <b/>
        <sz val="11"/>
        <color theme="1"/>
        <rFont val="Calibri"/>
        <family val="2"/>
        <scheme val="minor"/>
      </rPr>
      <t>Engineering knowledge:</t>
    </r>
    <r>
      <rPr>
        <sz val="11"/>
        <color theme="1"/>
        <rFont val="Calibri"/>
        <family val="2"/>
        <scheme val="minor"/>
      </rPr>
      <t xml:space="preserve"> Apply the knowledge of mathematics, science, engineering fundamentals, and an engineering specialization to the solution of complex engineering problems.</t>
    </r>
  </si>
  <si>
    <r>
      <rPr>
        <b/>
        <sz val="11"/>
        <color theme="1"/>
        <rFont val="Calibri"/>
        <family val="2"/>
        <scheme val="minor"/>
      </rPr>
      <t>Problem analysis:</t>
    </r>
    <r>
      <rPr>
        <sz val="11"/>
        <color theme="1"/>
        <rFont val="Calibri"/>
        <family val="2"/>
        <scheme val="minor"/>
      </rPr>
      <t xml:space="preserve"> Identify, formulate, review research literature, and analyze complex engineering problems reaching substantiated conclusions using first principles of mathematics, natural sciences, and engineering sciences.</t>
    </r>
  </si>
  <si>
    <r>
      <rPr>
        <b/>
        <sz val="11"/>
        <color theme="1"/>
        <rFont val="Calibri"/>
        <family val="2"/>
        <scheme val="minor"/>
      </rPr>
      <t>Design/development of solutions:</t>
    </r>
    <r>
      <rPr>
        <sz val="11"/>
        <color theme="1"/>
        <rFont val="Calibri"/>
        <family val="2"/>
        <scheme val="minor"/>
      </rPr>
      <t xml:space="preserve"> Design solutions for complex engineering problems and design system components or processes that meet the specified needs with appropriate consideration for the public health and safety, and the cultural, societal, and environmental considerations.</t>
    </r>
  </si>
  <si>
    <r>
      <rPr>
        <b/>
        <sz val="11"/>
        <color theme="1"/>
        <rFont val="Calibri"/>
        <family val="2"/>
        <scheme val="minor"/>
      </rPr>
      <t>Conduct investigations of complex problems:</t>
    </r>
    <r>
      <rPr>
        <sz val="11"/>
        <color theme="1"/>
        <rFont val="Calibri"/>
        <family val="2"/>
        <scheme val="minor"/>
      </rPr>
      <t xml:space="preserve"> Use research-based knowledge and research methods including design of experiments, analysis and interpretation of data, and synthesis of the information to provide valid conclusions.</t>
    </r>
  </si>
  <si>
    <r>
      <rPr>
        <b/>
        <sz val="11"/>
        <color theme="1"/>
        <rFont val="Calibri"/>
        <family val="2"/>
        <scheme val="minor"/>
      </rPr>
      <t>Modern tool usage:</t>
    </r>
    <r>
      <rPr>
        <sz val="11"/>
        <color theme="1"/>
        <rFont val="Calibri"/>
        <family val="2"/>
        <scheme val="minor"/>
      </rPr>
      <t xml:space="preserve"> Create, select, and apply appropriate techniques, resources, and modern engineering and IT tools including prediction and modeling to complex engineering activities with an understanding of the limitations.</t>
    </r>
  </si>
  <si>
    <r>
      <rPr>
        <b/>
        <sz val="11"/>
        <color theme="1"/>
        <rFont val="Calibri"/>
        <family val="2"/>
        <scheme val="minor"/>
      </rPr>
      <t>The engineer and society:</t>
    </r>
    <r>
      <rPr>
        <sz val="11"/>
        <color theme="1"/>
        <rFont val="Calibri"/>
        <family val="2"/>
        <scheme val="minor"/>
      </rPr>
      <t xml:space="preserve"> Apply reasoning informed by the contextual knowledge to assess societal, health, safety, legal and cultural issues and the consequent responsibilities relevant to the professional engineering practice.</t>
    </r>
  </si>
  <si>
    <r>
      <rPr>
        <b/>
        <sz val="11"/>
        <color theme="1"/>
        <rFont val="Calibri"/>
        <family val="2"/>
        <scheme val="minor"/>
      </rPr>
      <t>Environment and sustainability:</t>
    </r>
    <r>
      <rPr>
        <sz val="11"/>
        <color theme="1"/>
        <rFont val="Calibri"/>
        <family val="2"/>
        <scheme val="minor"/>
      </rPr>
      <t xml:space="preserve"> Understand the impact of the professional engineering solutions in societal and environmental contexts, and demonstrate the knowledge of, and need for sustainable development.</t>
    </r>
  </si>
  <si>
    <r>
      <rPr>
        <b/>
        <sz val="11"/>
        <color theme="1"/>
        <rFont val="Calibri"/>
        <family val="2"/>
        <scheme val="minor"/>
      </rPr>
      <t>Ethics:</t>
    </r>
    <r>
      <rPr>
        <sz val="11"/>
        <color theme="1"/>
        <rFont val="Calibri"/>
        <family val="2"/>
        <scheme val="minor"/>
      </rPr>
      <t xml:space="preserve"> Apply ethical principles and commit to professional ethics and responsibilities and norms of the engineering practice.</t>
    </r>
  </si>
  <si>
    <r>
      <rPr>
        <b/>
        <sz val="11"/>
        <color theme="1"/>
        <rFont val="Calibri"/>
        <family val="2"/>
        <scheme val="minor"/>
      </rPr>
      <t>Communication:</t>
    </r>
    <r>
      <rPr>
        <sz val="11"/>
        <color theme="1"/>
        <rFont val="Calibri"/>
        <family val="2"/>
        <scheme val="minor"/>
      </rPr>
      <t xml:space="preserve"> Communicate effectively on complex engineering activities with the engineering community and with society at large, such as, being able to comprehend and write effective reports and design documentation, make effective presentations, and give and receive clear instructions.</t>
    </r>
  </si>
  <si>
    <r>
      <rPr>
        <b/>
        <sz val="11"/>
        <color theme="1"/>
        <rFont val="Calibri"/>
        <family val="2"/>
        <scheme val="minor"/>
      </rPr>
      <t xml:space="preserve">Project management and finance: </t>
    </r>
    <r>
      <rPr>
        <sz val="11"/>
        <color theme="1"/>
        <rFont val="Calibri"/>
        <family val="2"/>
        <scheme val="minor"/>
      </rPr>
      <t>Demonstrate knowledge and understanding of the engineering and management principles and apply these to one’s own work, as a member and leader in a team, to manage projects and in multidisciplinary environments.</t>
    </r>
  </si>
  <si>
    <r>
      <rPr>
        <b/>
        <sz val="11"/>
        <color theme="1"/>
        <rFont val="Calibri"/>
        <family val="2"/>
        <scheme val="minor"/>
      </rPr>
      <t xml:space="preserve">Life-long learning: </t>
    </r>
    <r>
      <rPr>
        <sz val="11"/>
        <color theme="1"/>
        <rFont val="Calibri"/>
        <family val="2"/>
        <scheme val="minor"/>
      </rPr>
      <t>Recognize the need for, and have the preparation and ability to engage in independent and life-long learning in the broadest context of technological change.</t>
    </r>
  </si>
  <si>
    <t>Apply software engineering principles and practices for developing quality software for scientific and business applications.</t>
  </si>
  <si>
    <t>Adapt to emerging Information and Communication Technologies by providing innovative ideas and solutions to novel problems.</t>
  </si>
  <si>
    <t>Analyze, design and develop computing solutions by applying foundational concepts of Computer Science and Engineering.</t>
  </si>
  <si>
    <r>
      <rPr>
        <b/>
        <sz val="11"/>
        <color theme="1"/>
        <rFont val="Calibri"/>
        <family val="2"/>
        <scheme val="minor"/>
      </rPr>
      <t xml:space="preserve">Individual and team work: </t>
    </r>
    <r>
      <rPr>
        <sz val="11"/>
        <color theme="1"/>
        <rFont val="Calibri"/>
        <family val="2"/>
        <scheme val="minor"/>
      </rPr>
      <t>Function effectively as an individual, and as a  member or leader in diverse teams, and in multidisciplinary settings.</t>
    </r>
  </si>
  <si>
    <t>Average
CO-PO Attainment</t>
  </si>
  <si>
    <t>Yes</t>
  </si>
  <si>
    <t>No</t>
  </si>
  <si>
    <t>Is this Laboratary Course?</t>
  </si>
  <si>
    <t>Is this Project Course?</t>
  </si>
  <si>
    <t>Whether  university exam for this course?</t>
  </si>
  <si>
    <t>Direct Attainment</t>
  </si>
  <si>
    <t>Direct</t>
  </si>
  <si>
    <t>Indirect</t>
  </si>
  <si>
    <t>Co Attainment</t>
  </si>
  <si>
    <t>Hide</t>
  </si>
  <si>
    <t>_</t>
  </si>
  <si>
    <t>\</t>
  </si>
  <si>
    <t>% of marks obtained in CO8</t>
  </si>
  <si>
    <t>CO8</t>
  </si>
  <si>
    <t>% of marks obtained in CO9</t>
  </si>
  <si>
    <t>% of marks obtained in CO10</t>
  </si>
  <si>
    <t>% of marks obtained in CO11</t>
  </si>
  <si>
    <t>% of marks obtained in CO12</t>
  </si>
  <si>
    <t>CO9</t>
  </si>
  <si>
    <t>CO10</t>
  </si>
  <si>
    <t>CO11</t>
  </si>
  <si>
    <t>CO12</t>
  </si>
  <si>
    <t>Course Attainment</t>
  </si>
  <si>
    <t>Survey Scale</t>
  </si>
  <si>
    <t>Developed by: Prof. Sarju S, Department of CSE, St. Joseph's College of Engineering and Technology, Palai, +91 9447233663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</si>
</sst>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5">
    <font>
      <sz val="11"/>
      <color theme="1"/>
      <name val="Calibri"/>
      <family val="2"/>
      <scheme val="minor"/>
    </font>
    <font>
      <b/>
      <sz val="11"/>
      <color theme="1"/>
      <name val="Calibri"/>
      <family val="2"/>
      <scheme val="minor"/>
    </font>
    <font>
      <sz val="16"/>
      <color theme="1"/>
      <name val="Calibri"/>
      <family val="2"/>
      <scheme val="minor"/>
    </font>
    <font>
      <sz val="16"/>
      <color theme="1"/>
      <name val="Calibri "/>
    </font>
    <font>
      <sz val="14"/>
      <color theme="1"/>
      <name val="Calibri"/>
      <family val="2"/>
      <scheme val="minor"/>
    </font>
    <font>
      <sz val="12"/>
      <color theme="1"/>
      <name val="Calibri"/>
      <family val="2"/>
      <scheme val="minor"/>
    </font>
    <font>
      <b/>
      <sz val="10"/>
      <color theme="1"/>
      <name val="Calibri"/>
      <family val="2"/>
      <scheme val="minor"/>
    </font>
    <font>
      <sz val="10"/>
      <color theme="1"/>
      <name val="Calibri"/>
      <family val="2"/>
      <scheme val="minor"/>
    </font>
    <font>
      <sz val="12"/>
      <color theme="1"/>
      <name val="Calibri "/>
    </font>
    <font>
      <sz val="13"/>
      <color theme="1"/>
      <name val="Calibri "/>
    </font>
    <font>
      <sz val="13"/>
      <color theme="1"/>
      <name val="Calibri"/>
      <family val="2"/>
      <scheme val="minor"/>
    </font>
    <font>
      <sz val="10"/>
      <color theme="1"/>
      <name val="Arial"/>
      <family val="2"/>
    </font>
    <font>
      <sz val="9"/>
      <color theme="1"/>
      <name val="Calibri"/>
      <family val="2"/>
      <scheme val="minor"/>
    </font>
    <font>
      <b/>
      <sz val="12"/>
      <color theme="1"/>
      <name val="Calibri"/>
      <family val="2"/>
      <scheme val="minor"/>
    </font>
    <font>
      <b/>
      <sz val="8"/>
      <color theme="1"/>
      <name val="Calibri"/>
      <family val="2"/>
      <scheme val="minor"/>
    </font>
  </fonts>
  <fills count="10">
    <fill>
      <patternFill patternType="none"/>
    </fill>
    <fill>
      <patternFill patternType="gray125"/>
    </fill>
    <fill>
      <patternFill patternType="solid">
        <fgColor indexed="9"/>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9"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212">
    <xf numFmtId="0" fontId="0" fillId="0" borderId="0" xfId="0"/>
    <xf numFmtId="0" fontId="0" fillId="0" borderId="1" xfId="0" applyBorder="1"/>
    <xf numFmtId="0" fontId="0" fillId="0" borderId="0" xfId="0" applyProtection="1">
      <protection locked="0"/>
    </xf>
    <xf numFmtId="0" fontId="0" fillId="0" borderId="1" xfId="0" applyBorder="1" applyAlignment="1">
      <alignment wrapText="1"/>
    </xf>
    <xf numFmtId="0" fontId="2" fillId="0" borderId="0" xfId="0" applyFont="1" applyBorder="1" applyAlignment="1" applyProtection="1">
      <protection locked="0"/>
    </xf>
    <xf numFmtId="0" fontId="5" fillId="0" borderId="0" xfId="0" applyFont="1" applyBorder="1" applyAlignment="1" applyProtection="1">
      <protection locked="0"/>
    </xf>
    <xf numFmtId="0" fontId="7" fillId="0" borderId="4" xfId="0" applyFont="1" applyBorder="1" applyAlignment="1" applyProtection="1">
      <alignment horizontal="center" vertical="center"/>
    </xf>
    <xf numFmtId="0" fontId="7" fillId="0" borderId="6" xfId="0" applyFont="1" applyBorder="1" applyAlignment="1" applyProtection="1">
      <alignment horizontal="center" vertical="center"/>
    </xf>
    <xf numFmtId="0" fontId="6" fillId="0" borderId="1" xfId="0" applyFont="1" applyFill="1" applyBorder="1" applyAlignment="1" applyProtection="1">
      <alignment horizontal="center" vertical="center"/>
    </xf>
    <xf numFmtId="0" fontId="0" fillId="0" borderId="1" xfId="0" applyBorder="1" applyProtection="1">
      <protection locked="0"/>
    </xf>
    <xf numFmtId="0" fontId="7" fillId="0" borderId="7" xfId="0" applyFont="1" applyBorder="1" applyAlignment="1" applyProtection="1">
      <alignment horizontal="center" vertical="center"/>
    </xf>
    <xf numFmtId="0" fontId="7" fillId="0" borderId="0" xfId="0" applyFont="1" applyBorder="1" applyAlignment="1" applyProtection="1">
      <alignment horizontal="center" vertical="center"/>
    </xf>
    <xf numFmtId="0" fontId="7" fillId="0" borderId="1" xfId="0" applyFont="1" applyBorder="1" applyAlignment="1" applyProtection="1">
      <alignment horizontal="center" vertical="center"/>
      <protection locked="0"/>
    </xf>
    <xf numFmtId="0" fontId="7" fillId="0" borderId="1" xfId="0" applyFont="1" applyBorder="1" applyAlignment="1" applyProtection="1">
      <alignment horizontal="center" vertical="center"/>
    </xf>
    <xf numFmtId="0" fontId="6" fillId="0" borderId="1" xfId="0" applyFont="1" applyBorder="1" applyAlignment="1" applyProtection="1">
      <alignment horizontal="center" vertical="center"/>
    </xf>
    <xf numFmtId="164" fontId="6" fillId="0" borderId="1" xfId="0" applyNumberFormat="1" applyFont="1" applyFill="1" applyBorder="1" applyAlignment="1" applyProtection="1">
      <alignment horizontal="center" vertical="center"/>
    </xf>
    <xf numFmtId="0" fontId="0" fillId="0" borderId="1" xfId="0" applyBorder="1" applyAlignment="1">
      <alignment horizontal="center" vertical="center"/>
    </xf>
    <xf numFmtId="0" fontId="2" fillId="0" borderId="0" xfId="0" applyFont="1" applyBorder="1" applyAlignment="1" applyProtection="1">
      <alignment horizontal="center"/>
      <protection locked="0"/>
    </xf>
    <xf numFmtId="0" fontId="1" fillId="0" borderId="1" xfId="0" applyFont="1" applyBorder="1" applyAlignment="1">
      <alignment horizontal="center" vertical="center"/>
    </xf>
    <xf numFmtId="0" fontId="0" fillId="0" borderId="1" xfId="0" applyBorder="1" applyAlignment="1">
      <alignment horizontal="center" vertical="center"/>
    </xf>
    <xf numFmtId="0" fontId="1" fillId="0" borderId="1" xfId="0" applyFont="1" applyBorder="1" applyAlignment="1">
      <alignment horizontal="center" vertical="center" wrapText="1"/>
    </xf>
    <xf numFmtId="0" fontId="0" fillId="0" borderId="0" xfId="0" applyBorder="1"/>
    <xf numFmtId="0" fontId="7" fillId="0" borderId="3" xfId="0" applyFont="1" applyBorder="1" applyAlignment="1" applyProtection="1">
      <alignment horizontal="center" vertical="center"/>
      <protection locked="0"/>
    </xf>
    <xf numFmtId="0" fontId="7" fillId="0" borderId="3" xfId="0" applyFont="1" applyBorder="1" applyAlignment="1" applyProtection="1">
      <alignment horizontal="center" vertical="center"/>
    </xf>
    <xf numFmtId="0" fontId="2" fillId="0" borderId="0" xfId="0" applyFont="1" applyBorder="1" applyAlignment="1"/>
    <xf numFmtId="0" fontId="5" fillId="0" borderId="0" xfId="0" applyFont="1" applyBorder="1" applyAlignment="1"/>
    <xf numFmtId="0" fontId="5" fillId="0" borderId="0" xfId="0" applyFont="1" applyBorder="1" applyAlignment="1">
      <alignment horizontal="left" vertical="center"/>
    </xf>
    <xf numFmtId="0" fontId="0" fillId="0" borderId="1" xfId="0" applyBorder="1" applyAlignment="1">
      <alignment horizontal="left" wrapText="1"/>
    </xf>
    <xf numFmtId="0" fontId="5" fillId="0" borderId="0" xfId="0" applyFont="1" applyBorder="1" applyAlignment="1">
      <alignment vertical="center"/>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0" fillId="7" borderId="1" xfId="0"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xf>
    <xf numFmtId="0" fontId="1" fillId="7" borderId="1" xfId="0" applyFont="1" applyFill="1" applyBorder="1" applyAlignment="1" applyProtection="1">
      <alignment horizontal="center" vertical="center" wrapText="1"/>
    </xf>
    <xf numFmtId="0" fontId="0" fillId="3" borderId="1" xfId="0" applyFill="1" applyBorder="1" applyAlignment="1" applyProtection="1">
      <alignment horizontal="center" vertical="center"/>
    </xf>
    <xf numFmtId="0" fontId="0" fillId="0" borderId="1" xfId="0" applyBorder="1" applyAlignment="1" applyProtection="1">
      <alignment horizontal="center" vertical="center"/>
    </xf>
    <xf numFmtId="0" fontId="1" fillId="0" borderId="0" xfId="0" applyFont="1" applyAlignment="1" applyProtection="1">
      <alignment vertical="top"/>
      <protection locked="0"/>
    </xf>
    <xf numFmtId="0" fontId="0" fillId="7" borderId="1" xfId="0" applyFont="1" applyFill="1" applyBorder="1" applyAlignment="1" applyProtection="1">
      <alignment horizontal="center" vertical="center"/>
      <protection locked="0"/>
    </xf>
    <xf numFmtId="0" fontId="0" fillId="0" borderId="0" xfId="0" applyAlignment="1" applyProtection="1">
      <alignment vertical="top"/>
      <protection locked="0"/>
    </xf>
    <xf numFmtId="0" fontId="0" fillId="7" borderId="1" xfId="0" applyFill="1" applyBorder="1" applyProtection="1">
      <protection locked="0"/>
    </xf>
    <xf numFmtId="0" fontId="1" fillId="3" borderId="1" xfId="0" applyFont="1" applyFill="1" applyBorder="1" applyProtection="1">
      <protection locked="0"/>
    </xf>
    <xf numFmtId="0" fontId="6" fillId="7" borderId="1" xfId="0" applyFont="1" applyFill="1" applyBorder="1" applyAlignment="1" applyProtection="1">
      <alignment horizontal="center" vertical="center"/>
      <protection locked="0"/>
    </xf>
    <xf numFmtId="0" fontId="6" fillId="7" borderId="1" xfId="0" applyFont="1" applyFill="1" applyBorder="1" applyAlignment="1" applyProtection="1">
      <alignment horizontal="center" vertical="center" wrapText="1"/>
      <protection locked="0"/>
    </xf>
    <xf numFmtId="0" fontId="1" fillId="3" borderId="1" xfId="0" applyFont="1" applyFill="1" applyBorder="1" applyAlignment="1" applyProtection="1">
      <protection locked="0"/>
    </xf>
    <xf numFmtId="0" fontId="0" fillId="3" borderId="1" xfId="0" applyFill="1" applyBorder="1" applyAlignment="1" applyProtection="1">
      <protection locked="0"/>
    </xf>
    <xf numFmtId="0" fontId="1" fillId="5" borderId="1" xfId="0" applyFon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Protection="1">
      <protection locked="0"/>
    </xf>
    <xf numFmtId="0" fontId="0" fillId="4" borderId="1" xfId="0" applyFill="1" applyBorder="1" applyProtection="1">
      <protection locked="0"/>
    </xf>
    <xf numFmtId="0" fontId="0" fillId="4" borderId="1" xfId="0" applyFill="1" applyBorder="1" applyAlignment="1" applyProtection="1">
      <alignment horizontal="center" vertical="center"/>
      <protection locked="0"/>
    </xf>
    <xf numFmtId="0" fontId="0" fillId="3" borderId="1" xfId="0" applyFont="1" applyFill="1" applyBorder="1" applyAlignment="1" applyProtection="1">
      <alignment horizontal="center" vertical="center"/>
      <protection locked="0"/>
    </xf>
    <xf numFmtId="0" fontId="0" fillId="8" borderId="1" xfId="0" applyFill="1" applyBorder="1" applyAlignment="1" applyProtection="1">
      <alignment vertical="center"/>
      <protection locked="0"/>
    </xf>
    <xf numFmtId="0" fontId="0" fillId="8" borderId="1" xfId="0" applyFill="1" applyBorder="1" applyAlignment="1" applyProtection="1">
      <alignment horizontal="center" vertical="center"/>
      <protection locked="0"/>
    </xf>
    <xf numFmtId="0" fontId="1" fillId="0" borderId="1" xfId="0" applyFon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1" fillId="6" borderId="1" xfId="0" applyFont="1" applyFill="1" applyBorder="1" applyAlignment="1" applyProtection="1">
      <alignment horizontal="center"/>
      <protection locked="0"/>
    </xf>
    <xf numFmtId="0" fontId="0" fillId="6" borderId="1" xfId="0" applyFill="1" applyBorder="1" applyAlignment="1" applyProtection="1">
      <alignment horizontal="center" vertical="center"/>
      <protection locked="0"/>
    </xf>
    <xf numFmtId="49" fontId="0" fillId="6" borderId="1" xfId="0" applyNumberFormat="1" applyFill="1" applyBorder="1" applyAlignment="1" applyProtection="1">
      <alignment horizontal="center" vertical="center"/>
      <protection locked="0"/>
    </xf>
    <xf numFmtId="0" fontId="12" fillId="0" borderId="0" xfId="0" applyFont="1" applyBorder="1" applyAlignment="1" applyProtection="1"/>
    <xf numFmtId="0" fontId="6" fillId="0" borderId="1" xfId="0" applyFont="1" applyBorder="1" applyAlignment="1" applyProtection="1">
      <alignment vertical="center"/>
    </xf>
    <xf numFmtId="0" fontId="5" fillId="0" borderId="0" xfId="0" applyFont="1" applyBorder="1" applyAlignment="1" applyProtection="1"/>
    <xf numFmtId="0" fontId="7" fillId="0" borderId="1" xfId="0" applyFont="1" applyBorder="1" applyAlignment="1" applyProtection="1">
      <alignment horizontal="left" vertical="center" wrapText="1"/>
    </xf>
    <xf numFmtId="0" fontId="1" fillId="0" borderId="1" xfId="0" applyFont="1" applyFill="1" applyBorder="1" applyAlignment="1" applyProtection="1">
      <alignment horizontal="center" vertical="center" textRotation="90" wrapText="1"/>
      <protection locked="0"/>
    </xf>
    <xf numFmtId="0" fontId="11" fillId="0" borderId="1" xfId="0" applyFont="1" applyBorder="1" applyAlignment="1" applyProtection="1">
      <alignment horizontal="center" wrapText="1"/>
      <protection locked="0"/>
    </xf>
    <xf numFmtId="0" fontId="11" fillId="0" borderId="1" xfId="0" applyFont="1" applyBorder="1" applyAlignment="1" applyProtection="1">
      <alignment horizontal="right" wrapText="1"/>
      <protection locked="0"/>
    </xf>
    <xf numFmtId="0" fontId="0" fillId="0" borderId="1" xfId="0" applyFont="1" applyBorder="1" applyAlignment="1" applyProtection="1">
      <alignment horizontal="center" vertical="center"/>
    </xf>
    <xf numFmtId="0" fontId="0" fillId="0" borderId="8" xfId="0" applyFont="1" applyBorder="1" applyAlignment="1" applyProtection="1">
      <alignment horizontal="left" vertical="center" wrapText="1"/>
    </xf>
    <xf numFmtId="0" fontId="1" fillId="0" borderId="1" xfId="0" applyFont="1" applyBorder="1" applyAlignment="1" applyProtection="1">
      <alignment horizontal="center"/>
    </xf>
    <xf numFmtId="0" fontId="5" fillId="0" borderId="0" xfId="0" applyFont="1" applyBorder="1" applyProtection="1">
      <protection locked="0"/>
    </xf>
    <xf numFmtId="0" fontId="0" fillId="0" borderId="1" xfId="0" applyBorder="1" applyAlignment="1" applyProtection="1">
      <alignment horizontal="center"/>
      <protection locked="0"/>
    </xf>
    <xf numFmtId="0" fontId="0" fillId="0" borderId="1" xfId="0" applyBorder="1" applyAlignment="1" applyProtection="1">
      <alignment horizontal="center"/>
    </xf>
    <xf numFmtId="0" fontId="1" fillId="0" borderId="1" xfId="0" applyFont="1" applyFill="1" applyBorder="1" applyAlignment="1" applyProtection="1">
      <alignment horizontal="center" vertical="center"/>
    </xf>
    <xf numFmtId="0" fontId="1" fillId="0" borderId="1" xfId="0" applyFont="1" applyBorder="1" applyAlignment="1" applyProtection="1">
      <alignment horizontal="center" vertical="center"/>
    </xf>
    <xf numFmtId="0" fontId="0" fillId="0" borderId="0" xfId="0" applyFont="1" applyBorder="1" applyAlignment="1" applyProtection="1">
      <protection locked="0"/>
    </xf>
    <xf numFmtId="0" fontId="0" fillId="0" borderId="0" xfId="0" applyFont="1" applyBorder="1" applyAlignment="1" applyProtection="1">
      <alignment horizontal="left" vertical="center"/>
      <protection locked="0"/>
    </xf>
    <xf numFmtId="0" fontId="0" fillId="0" borderId="0" xfId="0" applyFont="1" applyBorder="1" applyAlignment="1" applyProtection="1">
      <alignment vertical="center" wrapText="1"/>
      <protection locked="0"/>
    </xf>
    <xf numFmtId="0" fontId="1" fillId="0" borderId="1" xfId="0" applyFont="1" applyBorder="1" applyAlignment="1" applyProtection="1">
      <alignment horizontal="center" vertical="center" wrapText="1"/>
      <protection locked="0"/>
    </xf>
    <xf numFmtId="0" fontId="0" fillId="0" borderId="0" xfId="0" applyProtection="1"/>
    <xf numFmtId="0" fontId="0" fillId="5" borderId="1" xfId="0" applyFill="1" applyBorder="1" applyAlignment="1" applyProtection="1">
      <alignment horizontal="center" vertical="center"/>
      <protection locked="0"/>
    </xf>
    <xf numFmtId="0" fontId="1" fillId="0" borderId="0" xfId="0" applyFont="1" applyAlignment="1" applyProtection="1">
      <protection locked="0"/>
    </xf>
    <xf numFmtId="0" fontId="0" fillId="5" borderId="1" xfId="0"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xf>
    <xf numFmtId="0" fontId="1" fillId="0" borderId="1" xfId="0" applyFont="1" applyBorder="1" applyAlignment="1" applyProtection="1">
      <alignment horizontal="center" vertical="center"/>
      <protection locked="0"/>
    </xf>
    <xf numFmtId="0" fontId="0" fillId="7" borderId="0" xfId="0" applyFill="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7" fillId="0" borderId="9" xfId="0" applyFont="1" applyBorder="1" applyAlignment="1" applyProtection="1">
      <alignment horizontal="center" vertical="center"/>
    </xf>
    <xf numFmtId="0" fontId="7" fillId="0" borderId="11" xfId="0" applyFont="1" applyBorder="1" applyAlignment="1" applyProtection="1">
      <alignment horizontal="center" vertical="center"/>
    </xf>
    <xf numFmtId="0" fontId="0" fillId="0" borderId="9" xfId="0" applyBorder="1" applyAlignment="1" applyProtection="1">
      <alignment horizontal="center" vertical="center"/>
      <protection locked="0"/>
    </xf>
    <xf numFmtId="0" fontId="5" fillId="0" borderId="2" xfId="0" applyFont="1" applyBorder="1" applyAlignment="1" applyProtection="1">
      <alignment horizontal="left" wrapText="1"/>
      <protection locked="0"/>
    </xf>
    <xf numFmtId="0" fontId="5" fillId="0" borderId="0" xfId="0" applyFont="1" applyBorder="1" applyAlignment="1" applyProtection="1">
      <alignment horizontal="right"/>
      <protection locked="0"/>
    </xf>
    <xf numFmtId="0" fontId="5" fillId="0" borderId="2" xfId="0" applyFont="1" applyBorder="1" applyAlignment="1" applyProtection="1">
      <alignment wrapText="1"/>
      <protection locked="0"/>
    </xf>
    <xf numFmtId="0" fontId="1" fillId="0" borderId="0" xfId="0" applyFont="1" applyProtection="1">
      <protection locked="0"/>
    </xf>
    <xf numFmtId="0" fontId="5" fillId="0" borderId="0" xfId="0" applyFont="1" applyBorder="1" applyAlignment="1" applyProtection="1">
      <alignment wrapText="1"/>
      <protection locked="0"/>
    </xf>
    <xf numFmtId="0" fontId="0" fillId="0" borderId="0" xfId="0" applyAlignment="1" applyProtection="1">
      <alignment wrapText="1"/>
      <protection locked="0"/>
    </xf>
    <xf numFmtId="0" fontId="0" fillId="0" borderId="1" xfId="0" applyBorder="1" applyProtection="1"/>
    <xf numFmtId="0" fontId="5" fillId="0" borderId="0" xfId="0" applyFont="1" applyBorder="1" applyAlignment="1" applyProtection="1">
      <alignment horizontal="left" vertical="center"/>
    </xf>
    <xf numFmtId="0" fontId="5" fillId="0" borderId="0" xfId="0" applyFont="1" applyBorder="1" applyAlignment="1" applyProtection="1">
      <alignment horizontal="left" wrapText="1"/>
    </xf>
    <xf numFmtId="0" fontId="0" fillId="0" borderId="1" xfId="0" applyBorder="1" applyAlignment="1" applyProtection="1">
      <alignment wrapText="1"/>
    </xf>
    <xf numFmtId="0" fontId="1"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xf>
    <xf numFmtId="0" fontId="2" fillId="0" borderId="0" xfId="0" applyFont="1" applyBorder="1" applyAlignment="1" applyProtection="1">
      <alignment horizontal="center"/>
      <protection locked="0"/>
    </xf>
    <xf numFmtId="0" fontId="5" fillId="0" borderId="0" xfId="0" applyFont="1" applyBorder="1" applyAlignment="1" applyProtection="1">
      <alignment horizontal="left"/>
      <protection locked="0"/>
    </xf>
    <xf numFmtId="0" fontId="5" fillId="0" borderId="0" xfId="0" applyFont="1" applyBorder="1" applyAlignment="1" applyProtection="1">
      <alignment horizontal="left"/>
    </xf>
    <xf numFmtId="0" fontId="1" fillId="0" borderId="1" xfId="0" applyFont="1" applyBorder="1" applyAlignment="1" applyProtection="1">
      <alignment horizontal="center" vertical="center"/>
      <protection locked="0"/>
    </xf>
    <xf numFmtId="0" fontId="0" fillId="8" borderId="1" xfId="0" applyFill="1" applyBorder="1" applyAlignment="1" applyProtection="1">
      <alignment horizontal="center" vertical="center"/>
      <protection locked="0"/>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1" fillId="6" borderId="1" xfId="0" applyFont="1" applyFill="1" applyBorder="1" applyAlignment="1" applyProtection="1">
      <alignment horizontal="left"/>
      <protection locked="0"/>
    </xf>
    <xf numFmtId="0" fontId="0" fillId="6" borderId="1" xfId="0" applyFill="1" applyBorder="1" applyAlignment="1" applyProtection="1">
      <alignment horizontal="left" vertical="center"/>
      <protection locked="0"/>
    </xf>
    <xf numFmtId="0" fontId="1" fillId="3" borderId="9" xfId="0" applyFont="1" applyFill="1" applyBorder="1" applyAlignment="1" applyProtection="1">
      <alignment horizontal="center" vertical="center"/>
      <protection locked="0"/>
    </xf>
    <xf numFmtId="0" fontId="1" fillId="3" borderId="3" xfId="0" applyFont="1" applyFill="1" applyBorder="1" applyAlignment="1" applyProtection="1">
      <alignment horizontal="center" vertical="center"/>
      <protection locked="0"/>
    </xf>
    <xf numFmtId="0" fontId="1" fillId="7" borderId="1" xfId="0" applyFont="1" applyFill="1" applyBorder="1" applyAlignment="1" applyProtection="1">
      <alignment horizontal="center" vertical="center"/>
    </xf>
    <xf numFmtId="0" fontId="1" fillId="7" borderId="1" xfId="0" applyFont="1" applyFill="1" applyBorder="1" applyAlignment="1" applyProtection="1">
      <alignment horizontal="center"/>
      <protection locked="0"/>
    </xf>
    <xf numFmtId="0" fontId="6"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protection locked="0"/>
    </xf>
    <xf numFmtId="0" fontId="0" fillId="4" borderId="1" xfId="0" applyFill="1" applyBorder="1" applyAlignment="1" applyProtection="1">
      <alignment horizontal="center"/>
      <protection locked="0"/>
    </xf>
    <xf numFmtId="0" fontId="1" fillId="5" borderId="1" xfId="0" applyFont="1" applyFill="1" applyBorder="1" applyAlignment="1" applyProtection="1">
      <alignment horizontal="center" vertical="center"/>
      <protection locked="0"/>
    </xf>
    <xf numFmtId="0" fontId="0" fillId="3" borderId="8" xfId="0" applyFill="1" applyBorder="1" applyAlignment="1" applyProtection="1">
      <alignment horizontal="left" vertical="center"/>
      <protection locked="0"/>
    </xf>
    <xf numFmtId="0" fontId="0" fillId="3" borderId="10" xfId="0" applyFill="1" applyBorder="1" applyAlignment="1" applyProtection="1">
      <alignment horizontal="left" vertical="center"/>
      <protection locked="0"/>
    </xf>
    <xf numFmtId="0" fontId="0" fillId="3" borderId="1" xfId="0" applyFill="1" applyBorder="1" applyAlignment="1" applyProtection="1">
      <alignment horizontal="left"/>
      <protection locked="0"/>
    </xf>
    <xf numFmtId="0" fontId="1" fillId="0" borderId="4"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0" fillId="3" borderId="5" xfId="0" applyFill="1" applyBorder="1" applyAlignment="1" applyProtection="1">
      <alignment horizontal="left" vertical="center"/>
      <protection locked="0"/>
    </xf>
    <xf numFmtId="0" fontId="0" fillId="5" borderId="8" xfId="0" applyFill="1" applyBorder="1" applyAlignment="1" applyProtection="1">
      <alignment horizontal="left" vertical="center" wrapText="1"/>
      <protection locked="0"/>
    </xf>
    <xf numFmtId="0" fontId="0" fillId="5" borderId="10" xfId="0" applyFill="1" applyBorder="1" applyAlignment="1" applyProtection="1">
      <alignment horizontal="left" vertical="center" wrapText="1"/>
      <protection locked="0"/>
    </xf>
    <xf numFmtId="0" fontId="0" fillId="5" borderId="5" xfId="0" applyFill="1" applyBorder="1" applyAlignment="1" applyProtection="1">
      <alignment horizontal="left" vertical="center" wrapText="1"/>
      <protection locked="0"/>
    </xf>
    <xf numFmtId="0" fontId="0" fillId="5" borderId="1" xfId="0" applyFill="1" applyBorder="1" applyAlignment="1" applyProtection="1">
      <alignment horizontal="left" vertical="center" wrapText="1"/>
      <protection locked="0"/>
    </xf>
    <xf numFmtId="0" fontId="14" fillId="0" borderId="0" xfId="0" applyFont="1" applyAlignment="1" applyProtection="1">
      <alignment horizontal="center"/>
      <protection locked="0"/>
    </xf>
    <xf numFmtId="0" fontId="0" fillId="3" borderId="8"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4" borderId="1" xfId="0" applyFill="1" applyBorder="1" applyAlignment="1" applyProtection="1">
      <alignment horizontal="right"/>
    </xf>
    <xf numFmtId="0" fontId="0" fillId="0" borderId="0" xfId="0" applyBorder="1" applyAlignment="1" applyProtection="1">
      <alignment horizontal="center"/>
      <protection locked="0"/>
    </xf>
    <xf numFmtId="0" fontId="1" fillId="5" borderId="1" xfId="0" applyFont="1" applyFill="1" applyBorder="1" applyAlignment="1" applyProtection="1">
      <alignment horizontal="center"/>
      <protection locked="0"/>
    </xf>
    <xf numFmtId="0" fontId="1" fillId="4" borderId="1" xfId="0" applyFont="1" applyFill="1" applyBorder="1" applyAlignment="1" applyProtection="1">
      <alignment horizontal="center"/>
      <protection locked="0"/>
    </xf>
    <xf numFmtId="0" fontId="6" fillId="0" borderId="1" xfId="0" applyFont="1" applyBorder="1" applyAlignment="1" applyProtection="1">
      <alignment horizontal="center" vertical="center" textRotation="90" wrapText="1"/>
    </xf>
    <xf numFmtId="0" fontId="6" fillId="0" borderId="1" xfId="0" applyFont="1" applyBorder="1" applyAlignment="1" applyProtection="1">
      <alignment horizontal="center" vertical="center"/>
    </xf>
    <xf numFmtId="0" fontId="13" fillId="0" borderId="0" xfId="0" applyFont="1" applyBorder="1" applyAlignment="1" applyProtection="1">
      <alignment horizontal="left"/>
      <protection locked="0"/>
    </xf>
    <xf numFmtId="0" fontId="5" fillId="0" borderId="0" xfId="0" applyFont="1" applyBorder="1" applyAlignment="1" applyProtection="1">
      <alignment horizontal="left"/>
      <protection locked="0"/>
    </xf>
    <xf numFmtId="0" fontId="3" fillId="2" borderId="0" xfId="0" applyFont="1" applyFill="1" applyBorder="1" applyAlignment="1" applyProtection="1">
      <alignment horizontal="center" vertical="center"/>
      <protection locked="0"/>
    </xf>
    <xf numFmtId="0" fontId="2" fillId="0" borderId="0" xfId="0" applyFont="1" applyBorder="1" applyAlignment="1" applyProtection="1">
      <alignment horizontal="center"/>
      <protection locked="0"/>
    </xf>
    <xf numFmtId="0" fontId="13" fillId="0" borderId="0" xfId="0" applyFont="1" applyBorder="1" applyAlignment="1" applyProtection="1">
      <alignment horizontal="center"/>
      <protection locked="0"/>
    </xf>
    <xf numFmtId="0" fontId="6" fillId="0" borderId="1" xfId="0" applyFont="1" applyBorder="1" applyAlignment="1" applyProtection="1">
      <alignment horizontal="center" vertical="center" textRotation="90" wrapText="1"/>
      <protection locked="0"/>
    </xf>
    <xf numFmtId="0" fontId="6" fillId="0" borderId="9" xfId="0" applyFont="1" applyBorder="1" applyAlignment="1" applyProtection="1">
      <alignment horizontal="center" vertical="center" textRotation="90" wrapText="1"/>
    </xf>
    <xf numFmtId="0" fontId="6" fillId="0" borderId="11" xfId="0" applyFont="1" applyBorder="1" applyAlignment="1" applyProtection="1">
      <alignment horizontal="center" vertical="center" textRotation="90" wrapText="1"/>
    </xf>
    <xf numFmtId="0" fontId="6" fillId="0" borderId="3" xfId="0" applyFont="1" applyBorder="1" applyAlignment="1" applyProtection="1">
      <alignment horizontal="center" vertical="center" textRotation="90" wrapText="1"/>
    </xf>
    <xf numFmtId="0" fontId="6" fillId="0" borderId="1" xfId="0" applyFont="1" applyBorder="1" applyAlignment="1" applyProtection="1">
      <alignment horizontal="right" vertical="center"/>
      <protection locked="0"/>
    </xf>
    <xf numFmtId="0" fontId="6" fillId="0" borderId="1" xfId="0" applyFont="1" applyBorder="1" applyAlignment="1" applyProtection="1">
      <alignment horizontal="center" vertical="center"/>
      <protection locked="0"/>
    </xf>
    <xf numFmtId="0" fontId="6" fillId="0" borderId="1" xfId="0" applyFont="1" applyBorder="1" applyAlignment="1" applyProtection="1">
      <alignment horizontal="center" vertical="center" wrapText="1"/>
      <protection locked="0"/>
    </xf>
    <xf numFmtId="0" fontId="5" fillId="0" borderId="0" xfId="0" applyFont="1" applyBorder="1" applyAlignment="1" applyProtection="1">
      <alignment horizontal="left"/>
    </xf>
    <xf numFmtId="0" fontId="2" fillId="0" borderId="0" xfId="0" applyFont="1" applyBorder="1" applyAlignment="1" applyProtection="1">
      <alignment horizontal="center"/>
    </xf>
    <xf numFmtId="0" fontId="6" fillId="0" borderId="8" xfId="0" applyFont="1" applyBorder="1" applyAlignment="1" applyProtection="1">
      <alignment horizontal="right" vertical="center"/>
      <protection locked="0"/>
    </xf>
    <xf numFmtId="0" fontId="6" fillId="0" borderId="10" xfId="0" applyFont="1" applyBorder="1" applyAlignment="1" applyProtection="1">
      <alignment horizontal="right" vertical="center"/>
      <protection locked="0"/>
    </xf>
    <xf numFmtId="0" fontId="6" fillId="0" borderId="5" xfId="0" applyFont="1" applyBorder="1" applyAlignment="1" applyProtection="1">
      <alignment horizontal="right" vertical="center"/>
      <protection locked="0"/>
    </xf>
    <xf numFmtId="0" fontId="1" fillId="0" borderId="1" xfId="0" applyFont="1" applyBorder="1" applyAlignment="1" applyProtection="1">
      <alignment horizontal="center" vertical="center"/>
      <protection locked="0"/>
    </xf>
    <xf numFmtId="0" fontId="1" fillId="0" borderId="8" xfId="0" applyFont="1" applyBorder="1" applyAlignment="1" applyProtection="1">
      <alignment horizontal="right"/>
      <protection locked="0"/>
    </xf>
    <xf numFmtId="0" fontId="1" fillId="0" borderId="10" xfId="0" applyFont="1" applyBorder="1" applyAlignment="1" applyProtection="1">
      <alignment horizontal="right"/>
      <protection locked="0"/>
    </xf>
    <xf numFmtId="0" fontId="1" fillId="0" borderId="5" xfId="0" applyFont="1" applyBorder="1" applyAlignment="1" applyProtection="1">
      <alignment horizontal="right"/>
      <protection locked="0"/>
    </xf>
    <xf numFmtId="0" fontId="2" fillId="0" borderId="0" xfId="0" applyFont="1" applyBorder="1" applyAlignment="1">
      <alignment horizontal="center"/>
    </xf>
    <xf numFmtId="0" fontId="5" fillId="0" borderId="0" xfId="0" applyFont="1" applyBorder="1" applyAlignment="1">
      <alignment horizontal="left"/>
    </xf>
    <xf numFmtId="0" fontId="1" fillId="0" borderId="1" xfId="0" applyFont="1" applyBorder="1" applyAlignment="1" applyProtection="1">
      <alignment horizontal="center" vertical="center" wrapText="1"/>
      <protection locked="0"/>
    </xf>
    <xf numFmtId="0" fontId="8" fillId="2" borderId="2" xfId="0" applyFont="1" applyFill="1" applyBorder="1" applyAlignment="1" applyProtection="1">
      <alignment horizontal="center" vertical="center"/>
      <protection locked="0"/>
    </xf>
    <xf numFmtId="0" fontId="8" fillId="2" borderId="0" xfId="0" applyFont="1" applyFill="1" applyBorder="1" applyAlignment="1" applyProtection="1">
      <alignment horizontal="center" vertical="center"/>
      <protection locked="0"/>
    </xf>
    <xf numFmtId="0" fontId="2" fillId="0" borderId="2" xfId="0" applyFont="1" applyBorder="1" applyAlignment="1" applyProtection="1">
      <alignment horizontal="center"/>
      <protection locked="0"/>
    </xf>
    <xf numFmtId="0" fontId="4" fillId="0" borderId="2"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0" fillId="0" borderId="0" xfId="0" applyAlignment="1" applyProtection="1">
      <alignment horizontal="left"/>
    </xf>
    <xf numFmtId="0" fontId="5" fillId="0" borderId="0" xfId="0" applyFont="1" applyBorder="1" applyAlignment="1" applyProtection="1">
      <alignment horizontal="left" wrapText="1"/>
    </xf>
    <xf numFmtId="0" fontId="1" fillId="0" borderId="1" xfId="0" applyFont="1" applyBorder="1" applyAlignment="1" applyProtection="1">
      <alignment horizontal="center"/>
      <protection locked="0"/>
    </xf>
    <xf numFmtId="0" fontId="1" fillId="0" borderId="1" xfId="0" applyFont="1" applyBorder="1" applyAlignment="1" applyProtection="1">
      <alignment horizontal="right"/>
      <protection locked="0"/>
    </xf>
    <xf numFmtId="0" fontId="4" fillId="0" borderId="2" xfId="0" applyFont="1" applyBorder="1" applyAlignment="1" applyProtection="1">
      <alignment horizontal="center"/>
    </xf>
    <xf numFmtId="0" fontId="4" fillId="0" borderId="0" xfId="0" applyFont="1" applyBorder="1" applyAlignment="1" applyProtection="1">
      <alignment horizontal="center"/>
    </xf>
    <xf numFmtId="0" fontId="1" fillId="0" borderId="1" xfId="0" applyFont="1" applyBorder="1" applyAlignment="1">
      <alignment horizontal="center" vertical="center"/>
    </xf>
    <xf numFmtId="0" fontId="1" fillId="0" borderId="1" xfId="0" applyFont="1" applyBorder="1" applyAlignment="1">
      <alignment horizontal="right" vertical="center"/>
    </xf>
    <xf numFmtId="0" fontId="1" fillId="0" borderId="1" xfId="0" applyFont="1" applyBorder="1" applyAlignment="1">
      <alignment horizontal="right"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0" borderId="1" xfId="0" applyBorder="1" applyAlignment="1">
      <alignment horizontal="center"/>
    </xf>
    <xf numFmtId="0" fontId="9" fillId="2" borderId="0" xfId="0" applyFont="1" applyFill="1" applyBorder="1" applyAlignment="1">
      <alignment horizontal="center" vertical="center"/>
    </xf>
    <xf numFmtId="0" fontId="10" fillId="0" borderId="0" xfId="0" applyFont="1" applyBorder="1" applyAlignment="1">
      <alignment horizontal="center"/>
    </xf>
    <xf numFmtId="0" fontId="5" fillId="0" borderId="0" xfId="0" applyFont="1" applyBorder="1" applyAlignment="1">
      <alignment horizontal="left" vertical="center"/>
    </xf>
    <xf numFmtId="0" fontId="5" fillId="0" borderId="0" xfId="0" applyFont="1" applyBorder="1" applyAlignment="1"/>
    <xf numFmtId="0" fontId="1" fillId="0" borderId="1" xfId="0" applyFont="1" applyBorder="1" applyAlignment="1" applyProtection="1">
      <alignment horizontal="center" vertical="center" wrapText="1"/>
    </xf>
    <xf numFmtId="0" fontId="0" fillId="0" borderId="0" xfId="0" applyAlignment="1">
      <alignment horizontal="right"/>
    </xf>
    <xf numFmtId="0" fontId="0" fillId="0" borderId="0" xfId="0" applyBorder="1" applyAlignment="1" applyProtection="1">
      <alignment horizontal="left"/>
    </xf>
    <xf numFmtId="0" fontId="9" fillId="2" borderId="0" xfId="0" applyFont="1" applyFill="1" applyBorder="1" applyAlignment="1" applyProtection="1">
      <alignment horizontal="center" vertical="center"/>
      <protection locked="0"/>
    </xf>
    <xf numFmtId="0" fontId="10" fillId="0" borderId="0" xfId="0" applyFont="1" applyBorder="1" applyAlignment="1" applyProtection="1">
      <alignment horizontal="center"/>
    </xf>
    <xf numFmtId="0" fontId="10" fillId="0" borderId="0" xfId="0" applyFont="1" applyBorder="1" applyAlignment="1" applyProtection="1">
      <alignment horizontal="center"/>
      <protection locked="0"/>
    </xf>
    <xf numFmtId="0" fontId="0" fillId="0" borderId="0" xfId="0" applyFont="1" applyBorder="1" applyAlignment="1" applyProtection="1">
      <alignment horizontal="left"/>
    </xf>
    <xf numFmtId="0" fontId="0" fillId="0" borderId="0" xfId="0" applyAlignment="1" applyProtection="1">
      <alignment horizontal="right"/>
      <protection locked="0"/>
    </xf>
    <xf numFmtId="0" fontId="0" fillId="0" borderId="0" xfId="0" applyFont="1" applyBorder="1" applyAlignment="1" applyProtection="1">
      <alignment horizontal="left" vertical="center" wrapText="1"/>
    </xf>
    <xf numFmtId="0" fontId="1" fillId="0" borderId="7" xfId="0" applyFont="1" applyBorder="1" applyAlignment="1" applyProtection="1">
      <alignment horizontal="center" vertical="center"/>
      <protection locked="0"/>
    </xf>
    <xf numFmtId="0" fontId="1" fillId="0" borderId="0" xfId="0" applyFont="1" applyBorder="1" applyAlignment="1" applyProtection="1">
      <alignment horizontal="left"/>
      <protection locked="0"/>
    </xf>
    <xf numFmtId="0" fontId="1" fillId="0" borderId="0" xfId="0" applyFont="1" applyBorder="1" applyAlignment="1" applyProtection="1">
      <alignment horizontal="left" vertical="center"/>
      <protection locked="0"/>
    </xf>
    <xf numFmtId="0" fontId="0" fillId="0" borderId="0" xfId="0" applyFont="1" applyBorder="1" applyAlignment="1" applyProtection="1">
      <alignment horizontal="left" vertical="center"/>
      <protection locked="0"/>
    </xf>
    <xf numFmtId="0" fontId="1" fillId="0" borderId="0" xfId="0" applyFont="1" applyAlignment="1" applyProtection="1">
      <alignment horizontal="center" vertical="center"/>
      <protection locked="0"/>
    </xf>
    <xf numFmtId="0" fontId="0" fillId="0" borderId="0" xfId="0" applyAlignment="1" applyProtection="1">
      <alignment horizontal="left" vertical="center"/>
    </xf>
    <xf numFmtId="0" fontId="7" fillId="0" borderId="3" xfId="0" applyFont="1" applyBorder="1" applyAlignment="1" applyProtection="1">
      <alignment horizontal="left" vertical="center" wrapText="1"/>
      <protection locked="0"/>
    </xf>
    <xf numFmtId="0" fontId="7" fillId="0" borderId="1" xfId="0" applyFont="1" applyBorder="1" applyAlignment="1" applyProtection="1">
      <alignment horizontal="left" vertical="center" wrapText="1"/>
      <protection locked="0"/>
    </xf>
    <xf numFmtId="0" fontId="0" fillId="0" borderId="1" xfId="0" applyBorder="1" applyAlignment="1" applyProtection="1">
      <alignment horizontal="left" vertical="center"/>
      <protection locked="0"/>
    </xf>
    <xf numFmtId="0" fontId="7" fillId="0" borderId="9" xfId="0" applyFont="1" applyBorder="1" applyAlignment="1" applyProtection="1">
      <alignment horizontal="left" vertical="center" wrapText="1"/>
      <protection locked="0"/>
    </xf>
    <xf numFmtId="0" fontId="1" fillId="9" borderId="1" xfId="0" applyFont="1" applyFill="1" applyBorder="1" applyAlignment="1" applyProtection="1">
      <alignment vertical="center"/>
      <protection locked="0"/>
    </xf>
    <xf numFmtId="0" fontId="5"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 xfId="0" applyFont="1" applyFill="1" applyBorder="1" applyAlignment="1" applyProtection="1">
      <alignment horizontal="center" vertical="center"/>
      <protection locked="0"/>
    </xf>
    <xf numFmtId="0" fontId="5" fillId="0" borderId="0" xfId="0" applyFont="1" applyBorder="1" applyAlignment="1" applyProtection="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499110</xdr:colOff>
      <xdr:row>0</xdr:row>
      <xdr:rowOff>0</xdr:rowOff>
    </xdr:from>
    <xdr:to>
      <xdr:col>1</xdr:col>
      <xdr:colOff>735127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499110" y="0"/>
          <a:ext cx="784657" cy="7639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354330</xdr:colOff>
      <xdr:row>0</xdr:row>
      <xdr:rowOff>87631</xdr:rowOff>
    </xdr:from>
    <xdr:to>
      <xdr:col>1</xdr:col>
      <xdr:colOff>590347</xdr:colOff>
      <xdr:row>3</xdr:row>
      <xdr:rowOff>59055</xdr:rowOff>
    </xdr:to>
    <xdr:pic>
      <xdr:nvPicPr>
        <xdr:cNvPr id="2" name="Picture 1"/>
        <xdr:cNvPicPr>
          <a:picLocks noChangeAspect="1"/>
        </xdr:cNvPicPr>
      </xdr:nvPicPr>
      <xdr:blipFill>
        <a:blip xmlns:r="http://schemas.openxmlformats.org/officeDocument/2006/relationships" r:embed="rId1"/>
        <a:stretch>
          <a:fillRect/>
        </a:stretch>
      </xdr:blipFill>
      <xdr:spPr>
        <a:xfrm>
          <a:off x="354330" y="87631"/>
          <a:ext cx="784657" cy="76390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22861</xdr:colOff>
      <xdr:row>0</xdr:row>
      <xdr:rowOff>114303</xdr:rowOff>
    </xdr:from>
    <xdr:to>
      <xdr:col>0</xdr:col>
      <xdr:colOff>403860</xdr:colOff>
      <xdr:row>2</xdr:row>
      <xdr:rowOff>102983</xdr:rowOff>
    </xdr:to>
    <xdr:pic>
      <xdr:nvPicPr>
        <xdr:cNvPr id="2" name="Picture 1"/>
        <xdr:cNvPicPr>
          <a:picLocks noChangeAspect="1"/>
        </xdr:cNvPicPr>
      </xdr:nvPicPr>
      <xdr:blipFill>
        <a:blip xmlns:r="http://schemas.openxmlformats.org/officeDocument/2006/relationships" r:embed="rId1"/>
        <a:stretch>
          <a:fillRect/>
        </a:stretch>
      </xdr:blipFill>
      <xdr:spPr>
        <a:xfrm>
          <a:off x="22861" y="114303"/>
          <a:ext cx="380999" cy="36206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72391</xdr:colOff>
      <xdr:row>0</xdr:row>
      <xdr:rowOff>121921</xdr:rowOff>
    </xdr:from>
    <xdr:to>
      <xdr:col>0</xdr:col>
      <xdr:colOff>502920</xdr:colOff>
      <xdr:row>2</xdr:row>
      <xdr:rowOff>144823</xdr:rowOff>
    </xdr:to>
    <xdr:pic>
      <xdr:nvPicPr>
        <xdr:cNvPr id="2" name="Picture 1"/>
        <xdr:cNvPicPr>
          <a:picLocks noChangeAspect="1"/>
        </xdr:cNvPicPr>
      </xdr:nvPicPr>
      <xdr:blipFill>
        <a:blip xmlns:r="http://schemas.openxmlformats.org/officeDocument/2006/relationships" r:embed="rId1"/>
        <a:stretch>
          <a:fillRect/>
        </a:stretch>
      </xdr:blipFill>
      <xdr:spPr>
        <a:xfrm>
          <a:off x="72391" y="121921"/>
          <a:ext cx="430529" cy="41914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182880</xdr:colOff>
      <xdr:row>0</xdr:row>
      <xdr:rowOff>0</xdr:rowOff>
    </xdr:from>
    <xdr:to>
      <xdr:col>2</xdr:col>
      <xdr:colOff>205537</xdr:colOff>
      <xdr:row>2</xdr:row>
      <xdr:rowOff>238124</xdr:rowOff>
    </xdr:to>
    <xdr:pic>
      <xdr:nvPicPr>
        <xdr:cNvPr id="2" name="Picture 1"/>
        <xdr:cNvPicPr>
          <a:picLocks noChangeAspect="1"/>
        </xdr:cNvPicPr>
      </xdr:nvPicPr>
      <xdr:blipFill>
        <a:blip xmlns:r="http://schemas.openxmlformats.org/officeDocument/2006/relationships" r:embed="rId1"/>
        <a:stretch>
          <a:fillRect/>
        </a:stretch>
      </xdr:blipFill>
      <xdr:spPr>
        <a:xfrm>
          <a:off x="182880" y="0"/>
          <a:ext cx="784657" cy="76390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45721</xdr:colOff>
      <xdr:row>0</xdr:row>
      <xdr:rowOff>68581</xdr:rowOff>
    </xdr:from>
    <xdr:to>
      <xdr:col>0</xdr:col>
      <xdr:colOff>491859</xdr:colOff>
      <xdr:row>2</xdr:row>
      <xdr:rowOff>106680</xdr:rowOff>
    </xdr:to>
    <xdr:pic>
      <xdr:nvPicPr>
        <xdr:cNvPr id="2" name="Picture 1"/>
        <xdr:cNvPicPr>
          <a:picLocks noChangeAspect="1"/>
        </xdr:cNvPicPr>
      </xdr:nvPicPr>
      <xdr:blipFill>
        <a:blip xmlns:r="http://schemas.openxmlformats.org/officeDocument/2006/relationships" r:embed="rId1"/>
        <a:stretch>
          <a:fillRect/>
        </a:stretch>
      </xdr:blipFill>
      <xdr:spPr>
        <a:xfrm>
          <a:off x="45721" y="68581"/>
          <a:ext cx="446138" cy="43433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63"/>
  <sheetViews>
    <sheetView tabSelected="1" topLeftCell="F1" zoomScale="115" zoomScaleNormal="115" workbookViewId="0">
      <selection activeCell="L12" sqref="L12"/>
    </sheetView>
  </sheetViews>
  <sheetFormatPr defaultRowHeight="14.4"/>
  <cols>
    <col min="1" max="1" width="18.88671875" style="2" bestFit="1" customWidth="1"/>
    <col min="2" max="2" width="8" style="2" customWidth="1"/>
    <col min="3" max="3" width="8.88671875" style="2"/>
    <col min="4" max="4" width="40.6640625" style="2" customWidth="1"/>
    <col min="5" max="5" width="18.5546875" style="2" bestFit="1" customWidth="1"/>
    <col min="6" max="6" width="8.88671875" style="2"/>
    <col min="7" max="10" width="8.88671875" style="2" customWidth="1"/>
    <col min="11" max="11" width="8" style="2" customWidth="1"/>
    <col min="12" max="15" width="8.88671875" style="2"/>
    <col min="16" max="16" width="6.5546875" style="2" customWidth="1"/>
    <col min="17" max="17" width="10.44140625" style="2" bestFit="1" customWidth="1"/>
    <col min="18" max="16384" width="8.88671875" style="2"/>
  </cols>
  <sheetData>
    <row r="1" spans="1:24">
      <c r="A1" s="126" t="s">
        <v>109</v>
      </c>
      <c r="B1" s="127"/>
      <c r="C1" s="127"/>
      <c r="D1" s="127"/>
      <c r="E1" s="127"/>
      <c r="F1" s="38"/>
      <c r="G1" s="117" t="str">
        <f>IF(E5="Yes","Lab Experiments",IF(E4="Yes","Project Reviews","Internal Test 1"))</f>
        <v>Internal Test 1</v>
      </c>
      <c r="H1" s="117"/>
      <c r="I1" s="117"/>
      <c r="J1" s="39" t="s">
        <v>151</v>
      </c>
      <c r="K1" s="40"/>
      <c r="L1" s="117" t="str">
        <f>IF(OR(E5="Yes",E4="Yes")," ","Internal Test 2")</f>
        <v>Internal Test 2</v>
      </c>
      <c r="M1" s="117"/>
      <c r="N1" s="117"/>
      <c r="O1" s="39" t="s">
        <v>151</v>
      </c>
      <c r="Q1" s="117" t="str">
        <f>IF(OR(E5="Yes",E4="Yes")," ","Assignments")</f>
        <v>Assignments</v>
      </c>
      <c r="R1" s="117"/>
      <c r="S1" s="117"/>
      <c r="T1" s="39" t="s">
        <v>151</v>
      </c>
      <c r="U1" s="118" t="s">
        <v>125</v>
      </c>
      <c r="V1" s="118"/>
      <c r="W1" s="118"/>
      <c r="X1" s="41" t="s">
        <v>151</v>
      </c>
    </row>
    <row r="2" spans="1:24" ht="28.8">
      <c r="A2" s="42" t="s">
        <v>59</v>
      </c>
      <c r="B2" s="125"/>
      <c r="C2" s="125"/>
      <c r="D2" s="125"/>
      <c r="E2" s="125"/>
      <c r="F2" s="40"/>
      <c r="G2" s="120" t="s">
        <v>96</v>
      </c>
      <c r="H2" s="120"/>
      <c r="I2" s="43" t="s">
        <v>17</v>
      </c>
      <c r="J2" s="44" t="s">
        <v>97</v>
      </c>
      <c r="K2" s="40"/>
      <c r="L2" s="119" t="str">
        <f>IF(OR(E5="Yes",E4="Yes")," ","Qn")</f>
        <v>Qn</v>
      </c>
      <c r="M2" s="119"/>
      <c r="N2" s="105" t="str">
        <f>IF(OR(E5="Yes",E4="Yes"),"","CO")</f>
        <v>CO</v>
      </c>
      <c r="O2" s="34" t="str">
        <f>IF(OR(E5="Yes",E4="Yes"),"","Max. Marks")</f>
        <v>Max. Marks</v>
      </c>
      <c r="Q2" s="104" t="str">
        <f>IF(OR(E5="Yes",E4="Yes")," ","Assignment")</f>
        <v>Assignment</v>
      </c>
      <c r="R2" s="104" t="str">
        <f>IF(OR(E5="Yes",E4="Yes")," ","Qn")</f>
        <v>Qn</v>
      </c>
      <c r="S2" s="104" t="str">
        <f>IF(OR(E5="Yes",E4="Yes")," ","CO")</f>
        <v>CO</v>
      </c>
      <c r="T2" s="35" t="str">
        <f>IF(OR(E5="Yes",E4="Yes")," ","Max. Marks")</f>
        <v>Max. Marks</v>
      </c>
    </row>
    <row r="3" spans="1:24">
      <c r="A3" s="42" t="s">
        <v>56</v>
      </c>
      <c r="B3" s="125"/>
      <c r="C3" s="125"/>
      <c r="D3" s="125"/>
      <c r="E3" s="125"/>
      <c r="F3" s="40"/>
      <c r="G3" s="33"/>
      <c r="H3" s="33"/>
      <c r="I3" s="33"/>
      <c r="J3" s="33"/>
      <c r="K3" s="40"/>
      <c r="L3" s="33"/>
      <c r="M3" s="33"/>
      <c r="N3" s="33"/>
      <c r="O3" s="33"/>
      <c r="Q3" s="33"/>
      <c r="R3" s="33"/>
      <c r="S3" s="33"/>
      <c r="T3" s="33"/>
    </row>
    <row r="4" spans="1:24">
      <c r="A4" s="42" t="s">
        <v>60</v>
      </c>
      <c r="B4" s="123"/>
      <c r="C4" s="128"/>
      <c r="D4" s="45" t="s">
        <v>145</v>
      </c>
      <c r="E4" s="46" t="s">
        <v>143</v>
      </c>
      <c r="F4" s="40"/>
      <c r="G4" s="33"/>
      <c r="H4" s="33"/>
      <c r="I4" s="33"/>
      <c r="J4" s="33"/>
      <c r="K4" s="40"/>
      <c r="L4" s="33"/>
      <c r="M4" s="33"/>
      <c r="N4" s="33"/>
      <c r="O4" s="33"/>
      <c r="Q4" s="33"/>
      <c r="R4" s="33"/>
      <c r="S4" s="33"/>
      <c r="T4" s="33"/>
    </row>
    <row r="5" spans="1:24">
      <c r="A5" s="42" t="s">
        <v>70</v>
      </c>
      <c r="B5" s="123"/>
      <c r="C5" s="128"/>
      <c r="D5" s="45" t="s">
        <v>144</v>
      </c>
      <c r="E5" s="46" t="s">
        <v>143</v>
      </c>
      <c r="F5" s="40"/>
      <c r="G5" s="33"/>
      <c r="H5" s="33"/>
      <c r="I5" s="33"/>
      <c r="J5" s="33"/>
      <c r="K5" s="40"/>
      <c r="L5" s="33"/>
      <c r="M5" s="33"/>
      <c r="N5" s="33"/>
      <c r="O5" s="33"/>
      <c r="Q5" s="33"/>
      <c r="R5" s="33"/>
      <c r="S5" s="33"/>
      <c r="T5" s="33"/>
    </row>
    <row r="6" spans="1:24">
      <c r="A6" s="42" t="s">
        <v>69</v>
      </c>
      <c r="B6" s="123"/>
      <c r="C6" s="124"/>
      <c r="D6" s="124"/>
      <c r="E6" s="124"/>
      <c r="F6" s="40"/>
      <c r="G6" s="33"/>
      <c r="H6" s="33"/>
      <c r="I6" s="33"/>
      <c r="J6" s="33"/>
      <c r="K6" s="40"/>
      <c r="L6" s="33"/>
      <c r="M6" s="33"/>
      <c r="N6" s="33"/>
      <c r="O6" s="33"/>
      <c r="Q6" s="33"/>
      <c r="R6" s="33"/>
      <c r="S6" s="33"/>
      <c r="T6" s="33"/>
    </row>
    <row r="7" spans="1:24">
      <c r="A7" s="42" t="s">
        <v>61</v>
      </c>
      <c r="B7" s="125"/>
      <c r="C7" s="125"/>
      <c r="D7" s="125"/>
      <c r="E7" s="125"/>
      <c r="F7" s="40"/>
      <c r="G7" s="33"/>
      <c r="H7" s="33"/>
      <c r="I7" s="33"/>
      <c r="J7" s="33"/>
      <c r="K7" s="40"/>
      <c r="L7" s="33"/>
      <c r="M7" s="33"/>
      <c r="N7" s="33"/>
      <c r="O7" s="33"/>
      <c r="Q7" s="33"/>
      <c r="R7" s="33"/>
      <c r="S7" s="33"/>
      <c r="T7" s="33"/>
    </row>
    <row r="8" spans="1:24">
      <c r="A8" s="42" t="s">
        <v>108</v>
      </c>
      <c r="B8" s="134">
        <v>0</v>
      </c>
      <c r="C8" s="135"/>
      <c r="D8" s="45" t="s">
        <v>146</v>
      </c>
      <c r="E8" s="46" t="s">
        <v>142</v>
      </c>
      <c r="F8" s="40"/>
      <c r="G8" s="33"/>
      <c r="H8" s="33"/>
      <c r="I8" s="33"/>
      <c r="J8" s="33"/>
      <c r="K8" s="40"/>
      <c r="L8" s="33"/>
      <c r="M8" s="33"/>
      <c r="N8" s="33"/>
      <c r="O8" s="33"/>
      <c r="Q8" s="33"/>
      <c r="R8" s="33"/>
      <c r="S8" s="33"/>
      <c r="T8" s="33"/>
    </row>
    <row r="9" spans="1:24">
      <c r="D9" s="137"/>
      <c r="E9" s="137"/>
      <c r="F9" s="40"/>
      <c r="G9" s="33"/>
      <c r="H9" s="33"/>
      <c r="I9" s="33"/>
      <c r="J9" s="33"/>
      <c r="K9" s="40"/>
      <c r="L9" s="33"/>
      <c r="M9" s="33"/>
      <c r="N9" s="33"/>
      <c r="O9" s="33"/>
      <c r="Q9" s="33"/>
      <c r="R9" s="33"/>
      <c r="S9" s="33"/>
      <c r="T9" s="33"/>
    </row>
    <row r="10" spans="1:24">
      <c r="A10" s="138" t="s">
        <v>54</v>
      </c>
      <c r="B10" s="138"/>
      <c r="C10" s="138"/>
      <c r="D10" s="138"/>
      <c r="E10" s="138"/>
      <c r="F10" s="40"/>
      <c r="G10" s="33"/>
      <c r="H10" s="33"/>
      <c r="I10" s="33"/>
      <c r="J10" s="33"/>
      <c r="K10" s="40"/>
      <c r="L10" s="33"/>
      <c r="M10" s="33"/>
      <c r="N10" s="33"/>
      <c r="O10" s="33"/>
      <c r="Q10" s="33"/>
      <c r="R10" s="33"/>
      <c r="S10" s="33"/>
      <c r="T10" s="33"/>
    </row>
    <row r="11" spans="1:24">
      <c r="A11" s="47" t="s">
        <v>17</v>
      </c>
      <c r="B11" s="122" t="s">
        <v>110</v>
      </c>
      <c r="C11" s="122"/>
      <c r="D11" s="122"/>
      <c r="E11" s="47" t="s">
        <v>35</v>
      </c>
      <c r="F11" s="40"/>
      <c r="G11" s="33"/>
      <c r="H11" s="33"/>
      <c r="I11" s="33"/>
      <c r="J11" s="33"/>
      <c r="K11" s="40"/>
      <c r="L11" s="33"/>
      <c r="M11" s="33"/>
      <c r="N11" s="33"/>
      <c r="O11" s="33"/>
      <c r="Q11" s="33"/>
      <c r="R11" s="33"/>
      <c r="S11" s="33"/>
      <c r="T11" s="33"/>
    </row>
    <row r="12" spans="1:24" ht="28.2" customHeight="1">
      <c r="A12" s="48"/>
      <c r="B12" s="129"/>
      <c r="C12" s="130"/>
      <c r="D12" s="131"/>
      <c r="E12" s="48">
        <v>50</v>
      </c>
      <c r="F12" s="40" t="s">
        <v>153</v>
      </c>
      <c r="G12" s="33"/>
      <c r="H12" s="33"/>
      <c r="I12" s="33"/>
      <c r="J12" s="33"/>
      <c r="K12" s="40"/>
      <c r="L12" s="33"/>
      <c r="M12" s="33"/>
      <c r="N12" s="33"/>
      <c r="O12" s="33"/>
      <c r="Q12" s="33"/>
      <c r="R12" s="33"/>
      <c r="S12" s="33"/>
      <c r="T12" s="33"/>
    </row>
    <row r="13" spans="1:24" ht="30" customHeight="1">
      <c r="A13" s="83"/>
      <c r="B13" s="132"/>
      <c r="C13" s="132"/>
      <c r="D13" s="132"/>
      <c r="E13" s="81">
        <v>50</v>
      </c>
      <c r="F13" s="40"/>
      <c r="G13" s="33"/>
      <c r="H13" s="33"/>
      <c r="I13" s="33"/>
      <c r="J13" s="33"/>
      <c r="K13" s="40"/>
      <c r="L13" s="33"/>
      <c r="M13" s="33"/>
      <c r="N13" s="33"/>
      <c r="O13" s="33"/>
      <c r="Q13" s="33"/>
      <c r="R13" s="33"/>
      <c r="S13" s="33"/>
      <c r="T13" s="33"/>
    </row>
    <row r="14" spans="1:24" ht="30" customHeight="1">
      <c r="A14" s="83"/>
      <c r="B14" s="132"/>
      <c r="C14" s="132"/>
      <c r="D14" s="132"/>
      <c r="E14" s="81">
        <v>50</v>
      </c>
      <c r="F14" s="40"/>
      <c r="G14" s="33"/>
      <c r="H14" s="33"/>
      <c r="I14" s="33"/>
      <c r="J14" s="33"/>
      <c r="K14" s="40"/>
      <c r="L14" s="33"/>
      <c r="M14" s="33"/>
      <c r="N14" s="33"/>
      <c r="O14" s="33"/>
      <c r="Q14" s="33"/>
      <c r="R14" s="33"/>
      <c r="S14" s="33"/>
      <c r="T14" s="33"/>
    </row>
    <row r="15" spans="1:24" ht="47.4" customHeight="1">
      <c r="A15" s="83"/>
      <c r="B15" s="132"/>
      <c r="C15" s="132"/>
      <c r="D15" s="132"/>
      <c r="E15" s="81">
        <v>50</v>
      </c>
      <c r="F15" s="40"/>
      <c r="G15" s="33"/>
      <c r="H15" s="33"/>
      <c r="I15" s="33"/>
      <c r="J15" s="33"/>
      <c r="K15" s="40"/>
      <c r="L15" s="33"/>
      <c r="M15" s="33"/>
      <c r="N15" s="33"/>
      <c r="O15" s="33"/>
      <c r="Q15" s="33"/>
      <c r="R15" s="33"/>
      <c r="S15" s="33"/>
      <c r="T15" s="33"/>
    </row>
    <row r="16" spans="1:24" ht="30" customHeight="1">
      <c r="A16" s="83"/>
      <c r="B16" s="132"/>
      <c r="C16" s="132"/>
      <c r="D16" s="132"/>
      <c r="E16" s="83" t="s">
        <v>152</v>
      </c>
      <c r="F16" s="40"/>
      <c r="G16" s="33"/>
      <c r="H16" s="33"/>
      <c r="I16" s="33"/>
      <c r="J16" s="33"/>
      <c r="K16" s="40"/>
      <c r="L16" s="33"/>
      <c r="M16" s="33"/>
      <c r="N16" s="33"/>
      <c r="O16" s="33"/>
      <c r="Q16" s="33"/>
      <c r="R16" s="33"/>
      <c r="S16" s="33"/>
      <c r="T16" s="33"/>
    </row>
    <row r="17" spans="1:22" ht="30" customHeight="1">
      <c r="A17" s="83"/>
      <c r="B17" s="132"/>
      <c r="C17" s="132"/>
      <c r="D17" s="132"/>
      <c r="E17" s="83" t="s">
        <v>152</v>
      </c>
      <c r="F17" s="40"/>
      <c r="G17" s="33"/>
      <c r="H17" s="33"/>
      <c r="I17" s="33"/>
      <c r="J17" s="33"/>
      <c r="K17" s="40"/>
      <c r="L17" s="33"/>
      <c r="M17" s="33"/>
      <c r="N17" s="33"/>
      <c r="O17" s="33"/>
      <c r="Q17" s="33"/>
      <c r="R17" s="33"/>
      <c r="S17" s="33"/>
      <c r="T17" s="33"/>
    </row>
    <row r="18" spans="1:22" ht="30" customHeight="1">
      <c r="A18" s="83"/>
      <c r="B18" s="132"/>
      <c r="C18" s="132"/>
      <c r="D18" s="132"/>
      <c r="E18" s="83" t="s">
        <v>152</v>
      </c>
      <c r="F18" s="40"/>
      <c r="G18" s="33"/>
      <c r="H18" s="33"/>
      <c r="I18" s="33"/>
      <c r="J18" s="33"/>
      <c r="K18" s="40"/>
      <c r="L18" s="33"/>
      <c r="M18" s="33"/>
      <c r="N18" s="33"/>
      <c r="O18" s="33"/>
      <c r="Q18" s="33"/>
      <c r="R18" s="33"/>
      <c r="S18" s="33"/>
      <c r="T18" s="33"/>
    </row>
    <row r="19" spans="1:22" ht="30" customHeight="1">
      <c r="A19" s="83"/>
      <c r="B19" s="132"/>
      <c r="C19" s="132"/>
      <c r="D19" s="132"/>
      <c r="E19" s="83" t="s">
        <v>152</v>
      </c>
      <c r="F19" s="40"/>
      <c r="G19" s="33"/>
      <c r="H19" s="33"/>
      <c r="I19" s="33"/>
      <c r="J19" s="33"/>
      <c r="K19" s="40"/>
      <c r="L19" s="33"/>
      <c r="M19" s="33"/>
      <c r="N19" s="33"/>
      <c r="O19" s="33"/>
      <c r="Q19" s="33"/>
      <c r="R19" s="33"/>
      <c r="S19" s="33"/>
      <c r="T19" s="33"/>
    </row>
    <row r="20" spans="1:22" ht="30" customHeight="1">
      <c r="A20" s="83"/>
      <c r="B20" s="132"/>
      <c r="C20" s="132"/>
      <c r="D20" s="132"/>
      <c r="E20" s="83" t="s">
        <v>152</v>
      </c>
      <c r="F20" s="40"/>
      <c r="G20" s="89"/>
      <c r="H20" s="89"/>
      <c r="I20" s="89"/>
      <c r="J20" s="89"/>
      <c r="K20" s="40"/>
      <c r="L20" s="89"/>
      <c r="M20" s="89"/>
      <c r="N20" s="89"/>
      <c r="O20" s="89"/>
      <c r="Q20" s="89"/>
      <c r="R20" s="89"/>
      <c r="S20" s="89"/>
      <c r="T20" s="89"/>
    </row>
    <row r="21" spans="1:22" ht="30" customHeight="1">
      <c r="A21" s="83"/>
      <c r="B21" s="132"/>
      <c r="C21" s="132"/>
      <c r="D21" s="132"/>
      <c r="E21" s="83" t="s">
        <v>152</v>
      </c>
      <c r="F21" s="40"/>
      <c r="G21" s="89"/>
      <c r="H21" s="89"/>
      <c r="I21" s="89"/>
      <c r="J21" s="89"/>
      <c r="K21" s="40"/>
      <c r="L21" s="89"/>
      <c r="M21" s="89"/>
      <c r="N21" s="89"/>
      <c r="O21" s="89"/>
      <c r="Q21" s="89"/>
      <c r="R21" s="89"/>
      <c r="S21" s="89"/>
      <c r="T21" s="89"/>
    </row>
    <row r="22" spans="1:22" ht="30" customHeight="1">
      <c r="A22" s="83"/>
      <c r="B22" s="132"/>
      <c r="C22" s="132"/>
      <c r="D22" s="132"/>
      <c r="E22" s="83" t="s">
        <v>152</v>
      </c>
      <c r="F22" s="40"/>
      <c r="G22" s="89"/>
      <c r="H22" s="89"/>
      <c r="I22" s="89"/>
      <c r="J22" s="89"/>
      <c r="K22" s="40"/>
      <c r="L22" s="89"/>
      <c r="M22" s="89"/>
      <c r="N22" s="89"/>
      <c r="O22" s="89"/>
      <c r="Q22" s="89"/>
      <c r="R22" s="89"/>
      <c r="S22" s="89"/>
      <c r="T22" s="89"/>
    </row>
    <row r="23" spans="1:22" ht="30" customHeight="1">
      <c r="A23" s="83"/>
      <c r="B23" s="132"/>
      <c r="C23" s="132"/>
      <c r="D23" s="132"/>
      <c r="E23" s="83" t="s">
        <v>152</v>
      </c>
      <c r="F23" s="40"/>
      <c r="G23" s="89"/>
      <c r="H23" s="89"/>
      <c r="I23" s="89"/>
      <c r="J23" s="89"/>
      <c r="K23" s="40"/>
      <c r="L23" s="89"/>
      <c r="M23" s="89"/>
      <c r="N23" s="89"/>
      <c r="O23" s="89"/>
      <c r="Q23" s="89"/>
      <c r="R23" s="89"/>
      <c r="S23" s="89"/>
      <c r="T23" s="89"/>
    </row>
    <row r="24" spans="1:22">
      <c r="A24" s="137"/>
      <c r="B24" s="137"/>
      <c r="F24" s="40"/>
      <c r="G24" s="49"/>
      <c r="H24" s="49"/>
      <c r="I24" s="49"/>
      <c r="J24" s="49"/>
      <c r="K24" s="40"/>
      <c r="L24" s="40"/>
      <c r="M24" s="40"/>
      <c r="N24" s="40"/>
    </row>
    <row r="25" spans="1:22">
      <c r="A25" s="50"/>
      <c r="B25" s="50"/>
      <c r="F25" s="40"/>
      <c r="G25" s="115" t="s">
        <v>17</v>
      </c>
      <c r="H25" s="115" t="s">
        <v>78</v>
      </c>
      <c r="I25" s="115" t="s">
        <v>79</v>
      </c>
      <c r="J25" s="115" t="s">
        <v>80</v>
      </c>
      <c r="K25" s="115" t="s">
        <v>81</v>
      </c>
      <c r="L25" s="115" t="s">
        <v>82</v>
      </c>
      <c r="M25" s="115" t="s">
        <v>83</v>
      </c>
      <c r="N25" s="115" t="s">
        <v>84</v>
      </c>
      <c r="O25" s="115" t="s">
        <v>85</v>
      </c>
      <c r="P25" s="115" t="s">
        <v>86</v>
      </c>
      <c r="Q25" s="115" t="s">
        <v>87</v>
      </c>
      <c r="R25" s="115" t="s">
        <v>88</v>
      </c>
      <c r="S25" s="115" t="s">
        <v>89</v>
      </c>
      <c r="T25" s="115" t="s">
        <v>90</v>
      </c>
      <c r="U25" s="115" t="s">
        <v>91</v>
      </c>
      <c r="V25" s="115" t="s">
        <v>92</v>
      </c>
    </row>
    <row r="26" spans="1:22">
      <c r="A26" s="139" t="s">
        <v>111</v>
      </c>
      <c r="B26" s="139"/>
      <c r="C26" s="139"/>
      <c r="D26" s="139"/>
      <c r="E26" s="139"/>
      <c r="F26" s="40"/>
      <c r="G26" s="116"/>
      <c r="H26" s="116"/>
      <c r="I26" s="116"/>
      <c r="J26" s="116"/>
      <c r="K26" s="116"/>
      <c r="L26" s="116"/>
      <c r="M26" s="116"/>
      <c r="N26" s="116"/>
      <c r="O26" s="116"/>
      <c r="P26" s="116"/>
      <c r="Q26" s="116"/>
      <c r="R26" s="116"/>
      <c r="S26" s="116"/>
      <c r="T26" s="116"/>
      <c r="U26" s="116"/>
      <c r="V26" s="116"/>
    </row>
    <row r="27" spans="1:22">
      <c r="A27" s="51">
        <v>70</v>
      </c>
      <c r="B27" s="121" t="s">
        <v>76</v>
      </c>
      <c r="C27" s="121"/>
      <c r="D27" s="121"/>
      <c r="E27" s="52">
        <v>3</v>
      </c>
      <c r="F27" s="40"/>
      <c r="G27" s="36" t="str">
        <f t="shared" ref="G27:G32" si="0">IF(A12=0,"-",A12)</f>
        <v>-</v>
      </c>
      <c r="H27" s="53" t="s">
        <v>112</v>
      </c>
      <c r="I27" s="53" t="s">
        <v>112</v>
      </c>
      <c r="J27" s="53" t="s">
        <v>112</v>
      </c>
      <c r="K27" s="53" t="s">
        <v>112</v>
      </c>
      <c r="L27" s="53" t="s">
        <v>112</v>
      </c>
      <c r="M27" s="53" t="s">
        <v>112</v>
      </c>
      <c r="N27" s="53" t="s">
        <v>112</v>
      </c>
      <c r="O27" s="53" t="s">
        <v>112</v>
      </c>
      <c r="P27" s="53" t="s">
        <v>112</v>
      </c>
      <c r="Q27" s="53" t="s">
        <v>112</v>
      </c>
      <c r="R27" s="53" t="s">
        <v>112</v>
      </c>
      <c r="S27" s="53" t="s">
        <v>112</v>
      </c>
      <c r="T27" s="53" t="s">
        <v>112</v>
      </c>
      <c r="U27" s="53" t="s">
        <v>112</v>
      </c>
      <c r="V27" s="53" t="s">
        <v>112</v>
      </c>
    </row>
    <row r="28" spans="1:22">
      <c r="A28" s="51">
        <v>60</v>
      </c>
      <c r="B28" s="121" t="s">
        <v>76</v>
      </c>
      <c r="C28" s="121"/>
      <c r="D28" s="121"/>
      <c r="E28" s="52">
        <v>2</v>
      </c>
      <c r="F28" s="40"/>
      <c r="G28" s="36" t="str">
        <f t="shared" si="0"/>
        <v>-</v>
      </c>
      <c r="H28" s="53" t="s">
        <v>112</v>
      </c>
      <c r="I28" s="53" t="s">
        <v>112</v>
      </c>
      <c r="J28" s="53" t="s">
        <v>112</v>
      </c>
      <c r="K28" s="53" t="s">
        <v>112</v>
      </c>
      <c r="L28" s="53" t="s">
        <v>112</v>
      </c>
      <c r="M28" s="53" t="s">
        <v>112</v>
      </c>
      <c r="N28" s="53" t="s">
        <v>112</v>
      </c>
      <c r="O28" s="53" t="s">
        <v>112</v>
      </c>
      <c r="P28" s="53" t="s">
        <v>112</v>
      </c>
      <c r="Q28" s="53" t="s">
        <v>112</v>
      </c>
      <c r="R28" s="53" t="s">
        <v>112</v>
      </c>
      <c r="S28" s="53" t="s">
        <v>112</v>
      </c>
      <c r="T28" s="53" t="s">
        <v>112</v>
      </c>
      <c r="U28" s="53" t="s">
        <v>112</v>
      </c>
      <c r="V28" s="53" t="s">
        <v>112</v>
      </c>
    </row>
    <row r="29" spans="1:22">
      <c r="A29" s="51">
        <v>50</v>
      </c>
      <c r="B29" s="121" t="s">
        <v>76</v>
      </c>
      <c r="C29" s="121"/>
      <c r="D29" s="121"/>
      <c r="E29" s="52">
        <v>1</v>
      </c>
      <c r="F29" s="40"/>
      <c r="G29" s="36" t="str">
        <f t="shared" si="0"/>
        <v>-</v>
      </c>
      <c r="H29" s="53" t="s">
        <v>112</v>
      </c>
      <c r="I29" s="53" t="s">
        <v>112</v>
      </c>
      <c r="J29" s="53" t="s">
        <v>112</v>
      </c>
      <c r="K29" s="53" t="s">
        <v>112</v>
      </c>
      <c r="L29" s="53" t="s">
        <v>112</v>
      </c>
      <c r="M29" s="53" t="s">
        <v>112</v>
      </c>
      <c r="N29" s="53" t="s">
        <v>112</v>
      </c>
      <c r="O29" s="53" t="s">
        <v>112</v>
      </c>
      <c r="P29" s="53" t="s">
        <v>112</v>
      </c>
      <c r="Q29" s="53" t="s">
        <v>112</v>
      </c>
      <c r="R29" s="53" t="s">
        <v>112</v>
      </c>
      <c r="S29" s="53" t="s">
        <v>112</v>
      </c>
      <c r="T29" s="53" t="s">
        <v>112</v>
      </c>
      <c r="U29" s="53" t="s">
        <v>112</v>
      </c>
      <c r="V29" s="53" t="s">
        <v>112</v>
      </c>
    </row>
    <row r="30" spans="1:22">
      <c r="A30" s="136" t="str">
        <f>CONCATENATE("Less than ",A29,"% students Score More than Set Target:")</f>
        <v>Less than 50% students Score More than Set Target:</v>
      </c>
      <c r="B30" s="136"/>
      <c r="C30" s="136"/>
      <c r="D30" s="136"/>
      <c r="E30" s="52">
        <v>0</v>
      </c>
      <c r="F30" s="40"/>
      <c r="G30" s="36" t="str">
        <f t="shared" si="0"/>
        <v>-</v>
      </c>
      <c r="H30" s="53" t="s">
        <v>112</v>
      </c>
      <c r="I30" s="53" t="s">
        <v>112</v>
      </c>
      <c r="J30" s="53" t="s">
        <v>112</v>
      </c>
      <c r="K30" s="53" t="s">
        <v>112</v>
      </c>
      <c r="L30" s="53" t="s">
        <v>112</v>
      </c>
      <c r="M30" s="53" t="s">
        <v>112</v>
      </c>
      <c r="N30" s="53" t="s">
        <v>112</v>
      </c>
      <c r="O30" s="53" t="s">
        <v>112</v>
      </c>
      <c r="P30" s="53" t="s">
        <v>112</v>
      </c>
      <c r="Q30" s="53" t="s">
        <v>112</v>
      </c>
      <c r="R30" s="53" t="s">
        <v>112</v>
      </c>
      <c r="S30" s="53" t="s">
        <v>112</v>
      </c>
      <c r="T30" s="53" t="s">
        <v>112</v>
      </c>
      <c r="U30" s="53" t="s">
        <v>112</v>
      </c>
      <c r="V30" s="53" t="s">
        <v>112</v>
      </c>
    </row>
    <row r="31" spans="1:22">
      <c r="A31" s="50"/>
      <c r="B31" s="49"/>
      <c r="F31" s="40"/>
      <c r="G31" s="36" t="str">
        <f t="shared" si="0"/>
        <v>-</v>
      </c>
      <c r="H31" s="53" t="s">
        <v>112</v>
      </c>
      <c r="I31" s="53" t="s">
        <v>112</v>
      </c>
      <c r="J31" s="53" t="s">
        <v>112</v>
      </c>
      <c r="K31" s="53" t="s">
        <v>112</v>
      </c>
      <c r="L31" s="53" t="s">
        <v>112</v>
      </c>
      <c r="M31" s="53" t="s">
        <v>112</v>
      </c>
      <c r="N31" s="53" t="s">
        <v>112</v>
      </c>
      <c r="O31" s="53" t="s">
        <v>112</v>
      </c>
      <c r="P31" s="53" t="s">
        <v>112</v>
      </c>
      <c r="Q31" s="53" t="s">
        <v>112</v>
      </c>
      <c r="R31" s="53" t="s">
        <v>112</v>
      </c>
      <c r="S31" s="53" t="s">
        <v>112</v>
      </c>
      <c r="T31" s="53" t="s">
        <v>112</v>
      </c>
      <c r="U31" s="53" t="s">
        <v>112</v>
      </c>
      <c r="V31" s="53" t="s">
        <v>112</v>
      </c>
    </row>
    <row r="32" spans="1:22">
      <c r="A32" s="50"/>
      <c r="B32" s="49"/>
      <c r="G32" s="36" t="str">
        <f t="shared" si="0"/>
        <v>-</v>
      </c>
      <c r="H32" s="53" t="s">
        <v>112</v>
      </c>
      <c r="I32" s="53" t="s">
        <v>112</v>
      </c>
      <c r="J32" s="53" t="s">
        <v>112</v>
      </c>
      <c r="K32" s="53" t="s">
        <v>112</v>
      </c>
      <c r="L32" s="53" t="s">
        <v>112</v>
      </c>
      <c r="M32" s="53" t="s">
        <v>112</v>
      </c>
      <c r="N32" s="53" t="s">
        <v>112</v>
      </c>
      <c r="O32" s="53" t="s">
        <v>112</v>
      </c>
      <c r="P32" s="53" t="s">
        <v>112</v>
      </c>
      <c r="Q32" s="53" t="s">
        <v>112</v>
      </c>
      <c r="R32" s="53" t="s">
        <v>112</v>
      </c>
      <c r="S32" s="53" t="s">
        <v>112</v>
      </c>
      <c r="T32" s="53" t="s">
        <v>112</v>
      </c>
      <c r="U32" s="53" t="s">
        <v>112</v>
      </c>
      <c r="V32" s="53" t="s">
        <v>112</v>
      </c>
    </row>
    <row r="33" spans="1:22">
      <c r="A33" s="50"/>
      <c r="B33" s="49"/>
      <c r="G33" s="36" t="str">
        <f t="shared" ref="G33:G38" si="1">IF(A18=0,"-",A18)</f>
        <v>-</v>
      </c>
      <c r="H33" s="53" t="s">
        <v>112</v>
      </c>
      <c r="I33" s="53" t="s">
        <v>112</v>
      </c>
      <c r="J33" s="53" t="s">
        <v>112</v>
      </c>
      <c r="K33" s="53" t="s">
        <v>112</v>
      </c>
      <c r="L33" s="53" t="s">
        <v>112</v>
      </c>
      <c r="M33" s="53" t="s">
        <v>112</v>
      </c>
      <c r="N33" s="53" t="s">
        <v>112</v>
      </c>
      <c r="O33" s="53" t="s">
        <v>112</v>
      </c>
      <c r="P33" s="53" t="s">
        <v>112</v>
      </c>
      <c r="Q33" s="53" t="s">
        <v>112</v>
      </c>
      <c r="R33" s="53" t="s">
        <v>112</v>
      </c>
      <c r="S33" s="53" t="s">
        <v>112</v>
      </c>
      <c r="T33" s="53" t="s">
        <v>112</v>
      </c>
      <c r="U33" s="53" t="s">
        <v>112</v>
      </c>
      <c r="V33" s="53" t="s">
        <v>112</v>
      </c>
    </row>
    <row r="34" spans="1:22">
      <c r="A34" s="50"/>
      <c r="B34" s="49"/>
      <c r="G34" s="36" t="str">
        <f t="shared" si="1"/>
        <v>-</v>
      </c>
      <c r="H34" s="53" t="s">
        <v>112</v>
      </c>
      <c r="I34" s="53" t="s">
        <v>112</v>
      </c>
      <c r="J34" s="53" t="s">
        <v>112</v>
      </c>
      <c r="K34" s="53" t="s">
        <v>112</v>
      </c>
      <c r="L34" s="53" t="s">
        <v>112</v>
      </c>
      <c r="M34" s="53" t="s">
        <v>112</v>
      </c>
      <c r="N34" s="53" t="s">
        <v>112</v>
      </c>
      <c r="O34" s="53" t="s">
        <v>112</v>
      </c>
      <c r="P34" s="53" t="s">
        <v>112</v>
      </c>
      <c r="Q34" s="53" t="s">
        <v>112</v>
      </c>
      <c r="R34" s="53" t="s">
        <v>112</v>
      </c>
      <c r="S34" s="53" t="s">
        <v>112</v>
      </c>
      <c r="T34" s="53" t="s">
        <v>112</v>
      </c>
      <c r="U34" s="53" t="s">
        <v>112</v>
      </c>
      <c r="V34" s="53" t="s">
        <v>112</v>
      </c>
    </row>
    <row r="35" spans="1:22">
      <c r="A35" s="50"/>
      <c r="B35" s="49"/>
      <c r="G35" s="36" t="str">
        <f t="shared" si="1"/>
        <v>-</v>
      </c>
      <c r="H35" s="53" t="s">
        <v>112</v>
      </c>
      <c r="I35" s="53" t="s">
        <v>112</v>
      </c>
      <c r="J35" s="53" t="s">
        <v>112</v>
      </c>
      <c r="K35" s="53" t="s">
        <v>112</v>
      </c>
      <c r="L35" s="53" t="s">
        <v>112</v>
      </c>
      <c r="M35" s="53" t="s">
        <v>112</v>
      </c>
      <c r="N35" s="53" t="s">
        <v>112</v>
      </c>
      <c r="O35" s="53" t="s">
        <v>112</v>
      </c>
      <c r="P35" s="53" t="s">
        <v>112</v>
      </c>
      <c r="Q35" s="53" t="s">
        <v>112</v>
      </c>
      <c r="R35" s="53" t="s">
        <v>112</v>
      </c>
      <c r="S35" s="53" t="s">
        <v>112</v>
      </c>
      <c r="T35" s="53" t="s">
        <v>112</v>
      </c>
      <c r="U35" s="53" t="s">
        <v>112</v>
      </c>
      <c r="V35" s="53" t="s">
        <v>112</v>
      </c>
    </row>
    <row r="36" spans="1:22">
      <c r="A36" s="50"/>
      <c r="B36" s="49"/>
      <c r="G36" s="36" t="str">
        <f t="shared" si="1"/>
        <v>-</v>
      </c>
      <c r="H36" s="53" t="s">
        <v>112</v>
      </c>
      <c r="I36" s="53" t="s">
        <v>112</v>
      </c>
      <c r="J36" s="53" t="s">
        <v>112</v>
      </c>
      <c r="K36" s="53" t="s">
        <v>112</v>
      </c>
      <c r="L36" s="53" t="s">
        <v>112</v>
      </c>
      <c r="M36" s="53" t="s">
        <v>112</v>
      </c>
      <c r="N36" s="53" t="s">
        <v>112</v>
      </c>
      <c r="O36" s="53" t="s">
        <v>112</v>
      </c>
      <c r="P36" s="53" t="s">
        <v>112</v>
      </c>
      <c r="Q36" s="53" t="s">
        <v>112</v>
      </c>
      <c r="R36" s="53" t="s">
        <v>112</v>
      </c>
      <c r="S36" s="53" t="s">
        <v>112</v>
      </c>
      <c r="T36" s="53" t="s">
        <v>112</v>
      </c>
      <c r="U36" s="53" t="s">
        <v>112</v>
      </c>
      <c r="V36" s="53" t="s">
        <v>112</v>
      </c>
    </row>
    <row r="37" spans="1:22">
      <c r="A37" s="50"/>
      <c r="B37" s="49"/>
      <c r="G37" s="36" t="str">
        <f t="shared" si="1"/>
        <v>-</v>
      </c>
      <c r="H37" s="53" t="s">
        <v>112</v>
      </c>
      <c r="I37" s="53" t="s">
        <v>112</v>
      </c>
      <c r="J37" s="53" t="s">
        <v>112</v>
      </c>
      <c r="K37" s="53" t="s">
        <v>112</v>
      </c>
      <c r="L37" s="53" t="s">
        <v>112</v>
      </c>
      <c r="M37" s="53" t="s">
        <v>112</v>
      </c>
      <c r="N37" s="53" t="s">
        <v>112</v>
      </c>
      <c r="O37" s="53" t="s">
        <v>112</v>
      </c>
      <c r="P37" s="53" t="s">
        <v>112</v>
      </c>
      <c r="Q37" s="53" t="s">
        <v>112</v>
      </c>
      <c r="R37" s="53" t="s">
        <v>112</v>
      </c>
      <c r="S37" s="53" t="s">
        <v>112</v>
      </c>
      <c r="T37" s="53" t="s">
        <v>112</v>
      </c>
      <c r="U37" s="53" t="s">
        <v>112</v>
      </c>
      <c r="V37" s="53" t="s">
        <v>112</v>
      </c>
    </row>
    <row r="38" spans="1:22">
      <c r="A38" s="110" t="s">
        <v>147</v>
      </c>
      <c r="B38" s="110"/>
      <c r="C38" s="110"/>
      <c r="D38" s="54" t="s">
        <v>52</v>
      </c>
      <c r="E38" s="55">
        <v>70</v>
      </c>
      <c r="G38" s="36" t="str">
        <f t="shared" si="1"/>
        <v>-</v>
      </c>
      <c r="H38" s="53" t="s">
        <v>112</v>
      </c>
      <c r="I38" s="53" t="s">
        <v>112</v>
      </c>
      <c r="J38" s="53" t="s">
        <v>112</v>
      </c>
      <c r="K38" s="53" t="s">
        <v>112</v>
      </c>
      <c r="L38" s="53" t="s">
        <v>112</v>
      </c>
      <c r="M38" s="53" t="s">
        <v>112</v>
      </c>
      <c r="N38" s="53" t="s">
        <v>112</v>
      </c>
      <c r="O38" s="53" t="s">
        <v>112</v>
      </c>
      <c r="P38" s="53" t="s">
        <v>112</v>
      </c>
      <c r="Q38" s="53" t="s">
        <v>112</v>
      </c>
      <c r="R38" s="53" t="s">
        <v>112</v>
      </c>
      <c r="S38" s="53" t="s">
        <v>112</v>
      </c>
      <c r="T38" s="53" t="s">
        <v>112</v>
      </c>
      <c r="U38" s="53" t="s">
        <v>112</v>
      </c>
      <c r="V38" s="53" t="s">
        <v>112</v>
      </c>
    </row>
    <row r="39" spans="1:22">
      <c r="A39" s="110"/>
      <c r="B39" s="110"/>
      <c r="C39" s="110"/>
      <c r="D39" s="54" t="s">
        <v>41</v>
      </c>
      <c r="E39" s="55">
        <v>30</v>
      </c>
      <c r="G39" s="56" t="s">
        <v>114</v>
      </c>
      <c r="H39" s="37" t="str">
        <f>IFERROR(ROUND(AVERAGE(H27:H38),0),"-")</f>
        <v>-</v>
      </c>
      <c r="I39" s="37" t="str">
        <f t="shared" ref="I39:V39" si="2">IFERROR(ROUND(AVERAGE(I27:I38),0),"-")</f>
        <v>-</v>
      </c>
      <c r="J39" s="37" t="str">
        <f t="shared" si="2"/>
        <v>-</v>
      </c>
      <c r="K39" s="37" t="str">
        <f t="shared" si="2"/>
        <v>-</v>
      </c>
      <c r="L39" s="37" t="str">
        <f t="shared" si="2"/>
        <v>-</v>
      </c>
      <c r="M39" s="37" t="str">
        <f t="shared" si="2"/>
        <v>-</v>
      </c>
      <c r="N39" s="37" t="str">
        <f t="shared" si="2"/>
        <v>-</v>
      </c>
      <c r="O39" s="37" t="str">
        <f t="shared" si="2"/>
        <v>-</v>
      </c>
      <c r="P39" s="37" t="str">
        <f t="shared" si="2"/>
        <v>-</v>
      </c>
      <c r="Q39" s="37" t="str">
        <f t="shared" si="2"/>
        <v>-</v>
      </c>
      <c r="R39" s="37" t="str">
        <f t="shared" si="2"/>
        <v>-</v>
      </c>
      <c r="S39" s="37" t="str">
        <f t="shared" si="2"/>
        <v>-</v>
      </c>
      <c r="T39" s="37" t="str">
        <f t="shared" si="2"/>
        <v>-</v>
      </c>
      <c r="U39" s="37" t="str">
        <f t="shared" si="2"/>
        <v>-</v>
      </c>
      <c r="V39" s="37" t="str">
        <f t="shared" si="2"/>
        <v>-</v>
      </c>
    </row>
    <row r="40" spans="1:22">
      <c r="A40" s="110" t="s">
        <v>150</v>
      </c>
      <c r="B40" s="110"/>
      <c r="C40" s="110"/>
      <c r="D40" s="54" t="s">
        <v>148</v>
      </c>
      <c r="E40" s="55">
        <v>80</v>
      </c>
      <c r="G40" s="113" t="s">
        <v>124</v>
      </c>
      <c r="H40" s="113"/>
      <c r="I40" s="113"/>
      <c r="J40" s="113"/>
      <c r="K40" s="58" t="s">
        <v>119</v>
      </c>
    </row>
    <row r="41" spans="1:22">
      <c r="A41" s="110"/>
      <c r="B41" s="110"/>
      <c r="C41" s="110"/>
      <c r="D41" s="54" t="s">
        <v>149</v>
      </c>
      <c r="E41" s="55">
        <v>20</v>
      </c>
      <c r="G41" s="114" t="s">
        <v>120</v>
      </c>
      <c r="H41" s="114"/>
      <c r="I41" s="114"/>
      <c r="J41" s="114"/>
      <c r="K41" s="59">
        <v>1</v>
      </c>
    </row>
    <row r="42" spans="1:22">
      <c r="G42" s="114" t="s">
        <v>121</v>
      </c>
      <c r="H42" s="114"/>
      <c r="I42" s="114"/>
      <c r="J42" s="114"/>
      <c r="K42" s="59">
        <v>2</v>
      </c>
    </row>
    <row r="43" spans="1:22">
      <c r="G43" s="114" t="s">
        <v>122</v>
      </c>
      <c r="H43" s="114"/>
      <c r="I43" s="114"/>
      <c r="J43" s="114"/>
      <c r="K43" s="59">
        <v>3</v>
      </c>
    </row>
    <row r="44" spans="1:22">
      <c r="G44" s="114" t="s">
        <v>123</v>
      </c>
      <c r="H44" s="114"/>
      <c r="I44" s="114"/>
      <c r="J44" s="114"/>
      <c r="K44" s="60" t="s">
        <v>112</v>
      </c>
    </row>
    <row r="46" spans="1:22" ht="30" customHeight="1">
      <c r="G46" s="57" t="s">
        <v>78</v>
      </c>
      <c r="H46" s="111" t="s">
        <v>126</v>
      </c>
      <c r="I46" s="112"/>
      <c r="J46" s="112"/>
      <c r="K46" s="112"/>
      <c r="L46" s="112"/>
      <c r="M46" s="112"/>
      <c r="N46" s="112"/>
      <c r="O46" s="112"/>
      <c r="P46" s="112"/>
      <c r="Q46" s="112"/>
      <c r="R46" s="112"/>
      <c r="S46" s="112"/>
      <c r="T46" s="112"/>
      <c r="U46" s="112"/>
      <c r="V46" s="112"/>
    </row>
    <row r="47" spans="1:22" ht="32.4" customHeight="1">
      <c r="G47" s="57" t="s">
        <v>79</v>
      </c>
      <c r="H47" s="111" t="s">
        <v>127</v>
      </c>
      <c r="I47" s="112"/>
      <c r="J47" s="112"/>
      <c r="K47" s="112"/>
      <c r="L47" s="112"/>
      <c r="M47" s="112"/>
      <c r="N47" s="112"/>
      <c r="O47" s="112"/>
      <c r="P47" s="112"/>
      <c r="Q47" s="112"/>
      <c r="R47" s="112"/>
      <c r="S47" s="112"/>
      <c r="T47" s="112"/>
      <c r="U47" s="112"/>
      <c r="V47" s="112"/>
    </row>
    <row r="48" spans="1:22" ht="31.8" customHeight="1">
      <c r="G48" s="57" t="s">
        <v>80</v>
      </c>
      <c r="H48" s="111" t="s">
        <v>128</v>
      </c>
      <c r="I48" s="112"/>
      <c r="J48" s="112"/>
      <c r="K48" s="112"/>
      <c r="L48" s="112"/>
      <c r="M48" s="112"/>
      <c r="N48" s="112"/>
      <c r="O48" s="112"/>
      <c r="P48" s="112"/>
      <c r="Q48" s="112"/>
      <c r="R48" s="112"/>
      <c r="S48" s="112"/>
      <c r="T48" s="112"/>
      <c r="U48" s="112"/>
      <c r="V48" s="112"/>
    </row>
    <row r="49" spans="1:22" ht="28.2" customHeight="1">
      <c r="G49" s="57" t="s">
        <v>81</v>
      </c>
      <c r="H49" s="111" t="s">
        <v>129</v>
      </c>
      <c r="I49" s="112"/>
      <c r="J49" s="112"/>
      <c r="K49" s="112"/>
      <c r="L49" s="112"/>
      <c r="M49" s="112"/>
      <c r="N49" s="112"/>
      <c r="O49" s="112"/>
      <c r="P49" s="112"/>
      <c r="Q49" s="112"/>
      <c r="R49" s="112"/>
      <c r="S49" s="112"/>
      <c r="T49" s="112"/>
      <c r="U49" s="112"/>
      <c r="V49" s="112"/>
    </row>
    <row r="50" spans="1:22" ht="27.6" customHeight="1">
      <c r="G50" s="57" t="s">
        <v>82</v>
      </c>
      <c r="H50" s="111" t="s">
        <v>130</v>
      </c>
      <c r="I50" s="112"/>
      <c r="J50" s="112"/>
      <c r="K50" s="112"/>
      <c r="L50" s="112"/>
      <c r="M50" s="112"/>
      <c r="N50" s="112"/>
      <c r="O50" s="112"/>
      <c r="P50" s="112"/>
      <c r="Q50" s="112"/>
      <c r="R50" s="112"/>
      <c r="S50" s="112"/>
      <c r="T50" s="112"/>
      <c r="U50" s="112"/>
      <c r="V50" s="112"/>
    </row>
    <row r="51" spans="1:22" ht="30.6" customHeight="1">
      <c r="G51" s="57" t="s">
        <v>83</v>
      </c>
      <c r="H51" s="111" t="s">
        <v>131</v>
      </c>
      <c r="I51" s="112"/>
      <c r="J51" s="112"/>
      <c r="K51" s="112"/>
      <c r="L51" s="112"/>
      <c r="M51" s="112"/>
      <c r="N51" s="112"/>
      <c r="O51" s="112"/>
      <c r="P51" s="112"/>
      <c r="Q51" s="112"/>
      <c r="R51" s="112"/>
      <c r="S51" s="112"/>
      <c r="T51" s="112"/>
      <c r="U51" s="112"/>
      <c r="V51" s="112"/>
    </row>
    <row r="52" spans="1:22" ht="31.8" customHeight="1">
      <c r="G52" s="57" t="s">
        <v>84</v>
      </c>
      <c r="H52" s="111" t="s">
        <v>132</v>
      </c>
      <c r="I52" s="112"/>
      <c r="J52" s="112"/>
      <c r="K52" s="112"/>
      <c r="L52" s="112"/>
      <c r="M52" s="112"/>
      <c r="N52" s="112"/>
      <c r="O52" s="112"/>
      <c r="P52" s="112"/>
      <c r="Q52" s="112"/>
      <c r="R52" s="112"/>
      <c r="S52" s="112"/>
      <c r="T52" s="112"/>
      <c r="U52" s="112"/>
      <c r="V52" s="112"/>
    </row>
    <row r="53" spans="1:22">
      <c r="G53" s="57" t="s">
        <v>85</v>
      </c>
      <c r="H53" s="111" t="s">
        <v>133</v>
      </c>
      <c r="I53" s="112"/>
      <c r="J53" s="112"/>
      <c r="K53" s="112"/>
      <c r="L53" s="112"/>
      <c r="M53" s="112"/>
      <c r="N53" s="112"/>
      <c r="O53" s="112"/>
      <c r="P53" s="112"/>
      <c r="Q53" s="112"/>
      <c r="R53" s="112"/>
      <c r="S53" s="112"/>
      <c r="T53" s="112"/>
      <c r="U53" s="112"/>
      <c r="V53" s="112"/>
    </row>
    <row r="54" spans="1:22">
      <c r="G54" s="57" t="s">
        <v>86</v>
      </c>
      <c r="H54" s="111" t="s">
        <v>140</v>
      </c>
      <c r="I54" s="112"/>
      <c r="J54" s="112"/>
      <c r="K54" s="112"/>
      <c r="L54" s="112"/>
      <c r="M54" s="112"/>
      <c r="N54" s="112"/>
      <c r="O54" s="112"/>
      <c r="P54" s="112"/>
      <c r="Q54" s="112"/>
      <c r="R54" s="112"/>
      <c r="S54" s="112"/>
      <c r="T54" s="112"/>
      <c r="U54" s="112"/>
      <c r="V54" s="112"/>
    </row>
    <row r="55" spans="1:22" ht="32.4" customHeight="1">
      <c r="G55" s="57" t="s">
        <v>87</v>
      </c>
      <c r="H55" s="111" t="s">
        <v>134</v>
      </c>
      <c r="I55" s="112"/>
      <c r="J55" s="112"/>
      <c r="K55" s="112"/>
      <c r="L55" s="112"/>
      <c r="M55" s="112"/>
      <c r="N55" s="112"/>
      <c r="O55" s="112"/>
      <c r="P55" s="112"/>
      <c r="Q55" s="112"/>
      <c r="R55" s="112"/>
      <c r="S55" s="112"/>
      <c r="T55" s="112"/>
      <c r="U55" s="112"/>
      <c r="V55" s="112"/>
    </row>
    <row r="56" spans="1:22" ht="28.8" customHeight="1">
      <c r="G56" s="57" t="s">
        <v>88</v>
      </c>
      <c r="H56" s="111" t="s">
        <v>135</v>
      </c>
      <c r="I56" s="112"/>
      <c r="J56" s="112"/>
      <c r="K56" s="112"/>
      <c r="L56" s="112"/>
      <c r="M56" s="112"/>
      <c r="N56" s="112"/>
      <c r="O56" s="112"/>
      <c r="P56" s="112"/>
      <c r="Q56" s="112"/>
      <c r="R56" s="112"/>
      <c r="S56" s="112"/>
      <c r="T56" s="112"/>
      <c r="U56" s="112"/>
      <c r="V56" s="112"/>
    </row>
    <row r="57" spans="1:22" ht="35.4" customHeight="1">
      <c r="G57" s="57" t="s">
        <v>89</v>
      </c>
      <c r="H57" s="111" t="s">
        <v>136</v>
      </c>
      <c r="I57" s="112"/>
      <c r="J57" s="112"/>
      <c r="K57" s="112"/>
      <c r="L57" s="112"/>
      <c r="M57" s="112"/>
      <c r="N57" s="112"/>
      <c r="O57" s="112"/>
      <c r="P57" s="112"/>
      <c r="Q57" s="112"/>
      <c r="R57" s="112"/>
      <c r="S57" s="112"/>
      <c r="T57" s="112"/>
      <c r="U57" s="112"/>
      <c r="V57" s="112"/>
    </row>
    <row r="58" spans="1:22">
      <c r="G58" s="57" t="s">
        <v>90</v>
      </c>
      <c r="H58" s="111" t="s">
        <v>139</v>
      </c>
      <c r="I58" s="112"/>
      <c r="J58" s="112"/>
      <c r="K58" s="112"/>
      <c r="L58" s="112"/>
      <c r="M58" s="112"/>
      <c r="N58" s="112"/>
      <c r="O58" s="112"/>
      <c r="P58" s="112"/>
      <c r="Q58" s="112"/>
      <c r="R58" s="112"/>
      <c r="S58" s="112"/>
      <c r="T58" s="112"/>
      <c r="U58" s="112"/>
      <c r="V58" s="112"/>
    </row>
    <row r="59" spans="1:22">
      <c r="G59" s="57" t="s">
        <v>91</v>
      </c>
      <c r="H59" s="111" t="s">
        <v>137</v>
      </c>
      <c r="I59" s="112"/>
      <c r="J59" s="112"/>
      <c r="K59" s="112"/>
      <c r="L59" s="112"/>
      <c r="M59" s="112"/>
      <c r="N59" s="112"/>
      <c r="O59" s="112"/>
      <c r="P59" s="112"/>
      <c r="Q59" s="112"/>
      <c r="R59" s="112"/>
      <c r="S59" s="112"/>
      <c r="T59" s="112"/>
      <c r="U59" s="112"/>
      <c r="V59" s="112"/>
    </row>
    <row r="60" spans="1:22">
      <c r="G60" s="57" t="s">
        <v>92</v>
      </c>
      <c r="H60" s="111" t="s">
        <v>138</v>
      </c>
      <c r="I60" s="112"/>
      <c r="J60" s="112"/>
      <c r="K60" s="112"/>
      <c r="L60" s="112"/>
      <c r="M60" s="112"/>
      <c r="N60" s="112"/>
      <c r="O60" s="112"/>
      <c r="P60" s="112"/>
      <c r="Q60" s="112"/>
      <c r="R60" s="112"/>
      <c r="S60" s="112"/>
      <c r="T60" s="112"/>
      <c r="U60" s="112"/>
      <c r="V60" s="112"/>
    </row>
    <row r="63" spans="1:22">
      <c r="A63" s="133" t="s">
        <v>166</v>
      </c>
      <c r="B63" s="133"/>
      <c r="C63" s="133"/>
      <c r="D63" s="133"/>
      <c r="E63" s="133"/>
    </row>
  </sheetData>
  <sheetProtection algorithmName="SHA-512" hashValue="mSj/OA8/T5hbTUmJm/ghGuNV27131HYrYTA2V1Po+tVuKtAFNdvIZXRJ/i/y5seWWS3p25GHhlU+CvW9epCLeA==" saltValue="gPcz12T3v1Y89s0Y/5eHSw==" spinCount="100000" sheet="1" objects="1" scenarios="1"/>
  <dataConsolidate/>
  <mergeCells count="74">
    <mergeCell ref="A63:E63"/>
    <mergeCell ref="B8:C8"/>
    <mergeCell ref="B18:D18"/>
    <mergeCell ref="B28:D28"/>
    <mergeCell ref="B29:D29"/>
    <mergeCell ref="B19:D19"/>
    <mergeCell ref="B20:D20"/>
    <mergeCell ref="B21:D21"/>
    <mergeCell ref="B22:D22"/>
    <mergeCell ref="B23:D23"/>
    <mergeCell ref="A30:D30"/>
    <mergeCell ref="D9:E9"/>
    <mergeCell ref="A24:B24"/>
    <mergeCell ref="B17:D17"/>
    <mergeCell ref="A10:E10"/>
    <mergeCell ref="A26:E26"/>
    <mergeCell ref="B27:D27"/>
    <mergeCell ref="B11:D11"/>
    <mergeCell ref="B6:E6"/>
    <mergeCell ref="B7:E7"/>
    <mergeCell ref="A1:E1"/>
    <mergeCell ref="B2:E2"/>
    <mergeCell ref="B3:E3"/>
    <mergeCell ref="B5:C5"/>
    <mergeCell ref="B4:C4"/>
    <mergeCell ref="B12:D12"/>
    <mergeCell ref="B13:D13"/>
    <mergeCell ref="B14:D14"/>
    <mergeCell ref="B15:D15"/>
    <mergeCell ref="B16:D16"/>
    <mergeCell ref="L1:N1"/>
    <mergeCell ref="L2:M2"/>
    <mergeCell ref="H25:H26"/>
    <mergeCell ref="I25:I26"/>
    <mergeCell ref="J25:J26"/>
    <mergeCell ref="G1:I1"/>
    <mergeCell ref="G2:H2"/>
    <mergeCell ref="G25:G26"/>
    <mergeCell ref="K25:K26"/>
    <mergeCell ref="L25:L26"/>
    <mergeCell ref="M25:M26"/>
    <mergeCell ref="N25:N26"/>
    <mergeCell ref="T25:T26"/>
    <mergeCell ref="U25:U26"/>
    <mergeCell ref="V25:V26"/>
    <mergeCell ref="Q1:S1"/>
    <mergeCell ref="O25:O26"/>
    <mergeCell ref="P25:P26"/>
    <mergeCell ref="Q25:Q26"/>
    <mergeCell ref="R25:R26"/>
    <mergeCell ref="S25:S26"/>
    <mergeCell ref="U1:W1"/>
    <mergeCell ref="H59:V59"/>
    <mergeCell ref="H60:V60"/>
    <mergeCell ref="H51:V51"/>
    <mergeCell ref="H52:V52"/>
    <mergeCell ref="H53:V53"/>
    <mergeCell ref="H54:V54"/>
    <mergeCell ref="H55:V55"/>
    <mergeCell ref="A38:C39"/>
    <mergeCell ref="A40:C41"/>
    <mergeCell ref="H56:V56"/>
    <mergeCell ref="H57:V57"/>
    <mergeCell ref="H58:V58"/>
    <mergeCell ref="H46:V46"/>
    <mergeCell ref="H47:V47"/>
    <mergeCell ref="H48:V48"/>
    <mergeCell ref="H49:V49"/>
    <mergeCell ref="H50:V50"/>
    <mergeCell ref="G40:J40"/>
    <mergeCell ref="G41:J41"/>
    <mergeCell ref="G42:J42"/>
    <mergeCell ref="G43:J43"/>
    <mergeCell ref="G44:J44"/>
  </mergeCells>
  <dataValidations count="9">
    <dataValidation type="list" allowBlank="1" showInputMessage="1" showErrorMessage="1" sqref="J1 X1 T1 O1">
      <formula1>"Show,Hide"</formula1>
    </dataValidation>
    <dataValidation type="list" allowBlank="1" showInputMessage="1" showErrorMessage="1" sqref="Q3:Q23">
      <formula1>"1,2,3,4,5,6,7,8,9,10,11,12"</formula1>
    </dataValidation>
    <dataValidation type="list" allowBlank="1" showInputMessage="1" showErrorMessage="1" sqref="N20:N23 I20:I23 S20:S23">
      <formula1>"CO1,CO2,CO3,CO4,CO5,CO6,CO7"</formula1>
    </dataValidation>
    <dataValidation type="list" allowBlank="1" showInputMessage="1" showErrorMessage="1" sqref="H27:V38">
      <formula1>"-,1,2,3"</formula1>
    </dataValidation>
    <dataValidation type="list" allowBlank="1" showInputMessage="1" showErrorMessage="1" sqref="E4:E5 E8">
      <formula1>"Yes,No"</formula1>
    </dataValidation>
    <dataValidation type="list" allowBlank="1" showInputMessage="1" showErrorMessage="1" sqref="L3:L23 G3:G19 G21:G23">
      <formula1>"1,2,3,4,5,6,7,8,9,10,11,12,13,14,15,16,17,18,19"</formula1>
    </dataValidation>
    <dataValidation type="list" allowBlank="1" showInputMessage="1" showErrorMessage="1" sqref="H3:H23 M3:M23 R3:R23">
      <formula1>"a,b,c,d,e,f,g"</formula1>
    </dataValidation>
    <dataValidation type="list" allowBlank="1" showInputMessage="1" showErrorMessage="1" sqref="T25:V26">
      <formula1>"PSO1,PSO2,PSO3"</formula1>
    </dataValidation>
    <dataValidation type="list" allowBlank="1" showInputMessage="1" showErrorMessage="1" sqref="N3:N19 S3:S19 I3:I19">
      <formula1>"CO1,CO2,CO3,CO4,CO5,CO6,CO7,CO8,CO9,CO10,CO11,CO12"</formula1>
    </dataValidation>
  </dataValidation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144"/>
  <sheetViews>
    <sheetView topLeftCell="A4" workbookViewId="0">
      <selection activeCell="AV8" sqref="AV8"/>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5" width="9.109375" style="2" hidden="1" customWidth="1"/>
    <col min="46" max="16384" width="9.109375" style="2"/>
  </cols>
  <sheetData>
    <row r="1" spans="1:45" ht="20.399999999999999">
      <c r="A1" s="144" t="s">
        <v>0</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5" ht="21">
      <c r="A2" s="145">
        <f>INPUT!B2</f>
        <v>0</v>
      </c>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row>
    <row r="3" spans="1:45" ht="21">
      <c r="A3" s="145" t="str">
        <f>INPUT!G1</f>
        <v>Internal Test 1</v>
      </c>
      <c r="B3" s="145"/>
      <c r="C3" s="145"/>
      <c r="D3" s="145"/>
      <c r="E3" s="145"/>
      <c r="F3" s="145"/>
      <c r="G3" s="145"/>
      <c r="H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row>
    <row r="4" spans="1:45" ht="21">
      <c r="A4" s="145" t="s">
        <v>49</v>
      </c>
      <c r="B4" s="145"/>
      <c r="C4" s="145"/>
      <c r="D4" s="145"/>
      <c r="E4" s="145"/>
      <c r="F4" s="145"/>
      <c r="G4" s="145"/>
      <c r="H4" s="145"/>
      <c r="I4" s="145"/>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row>
    <row r="5" spans="1:45" ht="21">
      <c r="A5" s="17"/>
      <c r="B5" s="17"/>
      <c r="C5" s="17"/>
      <c r="D5" s="17"/>
      <c r="E5" s="17"/>
      <c r="F5" s="17"/>
      <c r="G5" s="17"/>
      <c r="H5" s="17"/>
      <c r="I5" s="17"/>
      <c r="J5" s="17"/>
      <c r="K5" s="17"/>
      <c r="L5" s="17"/>
      <c r="M5" s="17"/>
      <c r="N5" s="17"/>
      <c r="O5" s="17"/>
      <c r="P5" s="17"/>
      <c r="Q5" s="17"/>
      <c r="R5" s="17"/>
      <c r="S5" s="17"/>
      <c r="T5" s="17"/>
      <c r="U5" s="17"/>
      <c r="V5" s="17"/>
      <c r="W5" s="17"/>
      <c r="X5" s="17"/>
      <c r="Y5" s="17"/>
      <c r="Z5" s="17"/>
      <c r="AA5" s="17"/>
      <c r="AB5" s="17"/>
      <c r="AC5" s="84"/>
      <c r="AD5" s="84"/>
      <c r="AE5" s="84"/>
      <c r="AF5" s="84"/>
      <c r="AG5" s="84"/>
      <c r="AH5" s="17"/>
      <c r="AI5" s="17"/>
      <c r="AJ5" s="17"/>
      <c r="AK5" s="17"/>
      <c r="AL5" s="17"/>
      <c r="AM5" s="17"/>
      <c r="AN5" s="17"/>
    </row>
    <row r="6" spans="1:45" ht="21">
      <c r="A6" s="142" t="s">
        <v>56</v>
      </c>
      <c r="B6" s="142"/>
      <c r="C6" s="5">
        <f>INPUT!B3</f>
        <v>0</v>
      </c>
      <c r="D6" s="146" t="s">
        <v>57</v>
      </c>
      <c r="E6" s="146"/>
      <c r="F6" s="146"/>
      <c r="G6" s="5"/>
      <c r="H6" s="5">
        <f>INPUT!B4</f>
        <v>0</v>
      </c>
      <c r="I6" s="5"/>
      <c r="J6" s="5"/>
      <c r="K6" s="5"/>
      <c r="L6" s="142" t="s">
        <v>70</v>
      </c>
      <c r="M6" s="142"/>
      <c r="N6" s="142"/>
      <c r="O6" s="142"/>
      <c r="P6" s="142"/>
      <c r="Q6" s="4"/>
      <c r="R6" s="143">
        <f>INPUT!B5</f>
        <v>0</v>
      </c>
      <c r="S6" s="143"/>
      <c r="T6" s="143"/>
      <c r="U6" s="143"/>
      <c r="V6" s="4"/>
      <c r="W6" s="4"/>
      <c r="X6" s="4"/>
      <c r="Y6" s="4"/>
      <c r="Z6" s="4"/>
      <c r="AA6" s="4"/>
      <c r="AB6" s="4"/>
      <c r="AC6" s="4"/>
      <c r="AD6" s="4"/>
      <c r="AE6" s="4"/>
      <c r="AF6" s="4"/>
      <c r="AG6" s="4"/>
      <c r="AH6" s="4"/>
      <c r="AI6" s="4"/>
      <c r="AJ6" s="4"/>
      <c r="AK6" s="4"/>
      <c r="AL6" s="4"/>
      <c r="AM6" s="4"/>
      <c r="AN6" s="4"/>
    </row>
    <row r="7" spans="1:45" ht="21">
      <c r="A7" s="142" t="s">
        <v>61</v>
      </c>
      <c r="B7" s="142"/>
      <c r="C7" s="143">
        <f>INPUT!B7</f>
        <v>0</v>
      </c>
      <c r="D7" s="143"/>
      <c r="E7" s="143"/>
      <c r="F7" s="143"/>
      <c r="G7" s="143"/>
      <c r="H7" s="143"/>
      <c r="I7" s="5"/>
      <c r="J7" s="5"/>
      <c r="K7" s="5"/>
      <c r="L7" s="142" t="s">
        <v>69</v>
      </c>
      <c r="M7" s="142"/>
      <c r="N7" s="142"/>
      <c r="O7" s="142"/>
      <c r="P7" s="142"/>
      <c r="Q7" s="4"/>
      <c r="R7" s="143">
        <f>INPUT!B6</f>
        <v>0</v>
      </c>
      <c r="S7" s="143"/>
      <c r="T7" s="143"/>
      <c r="U7" s="143"/>
      <c r="V7" s="143"/>
      <c r="W7" s="143"/>
      <c r="X7" s="143"/>
      <c r="Y7" s="143"/>
      <c r="Z7" s="143"/>
      <c r="AA7" s="143"/>
      <c r="AB7" s="143"/>
      <c r="AC7" s="143"/>
      <c r="AD7" s="143"/>
      <c r="AE7" s="143"/>
      <c r="AF7" s="143"/>
      <c r="AG7" s="143"/>
      <c r="AH7" s="143"/>
      <c r="AI7" s="143"/>
      <c r="AJ7" s="4"/>
      <c r="AK7" s="4"/>
      <c r="AL7" s="4"/>
      <c r="AM7" s="4"/>
      <c r="AN7" s="4"/>
    </row>
    <row r="8" spans="1:45" ht="21">
      <c r="A8" s="29"/>
      <c r="B8" s="29"/>
      <c r="C8" s="29"/>
      <c r="D8" s="29"/>
      <c r="E8" s="29"/>
      <c r="F8" s="29"/>
      <c r="G8" s="29"/>
      <c r="H8" s="29"/>
      <c r="I8" s="5"/>
      <c r="J8" s="5"/>
      <c r="K8" s="5"/>
      <c r="L8" s="29"/>
      <c r="M8" s="29"/>
      <c r="N8" s="29"/>
      <c r="O8" s="29"/>
      <c r="P8" s="29"/>
      <c r="Q8" s="4"/>
      <c r="R8" s="29"/>
      <c r="S8" s="29"/>
      <c r="T8" s="29"/>
      <c r="U8" s="29"/>
      <c r="V8" s="29"/>
      <c r="W8" s="29"/>
      <c r="X8" s="29"/>
      <c r="Y8" s="29"/>
      <c r="Z8" s="29"/>
      <c r="AA8" s="29"/>
      <c r="AB8" s="29"/>
      <c r="AC8" s="85"/>
      <c r="AD8" s="85"/>
      <c r="AE8" s="85"/>
      <c r="AF8" s="85"/>
      <c r="AG8" s="85"/>
      <c r="AH8" s="29"/>
      <c r="AI8" s="29"/>
      <c r="AJ8" s="4"/>
      <c r="AK8" s="4"/>
      <c r="AL8" s="4"/>
      <c r="AM8" s="4"/>
      <c r="AN8" s="4"/>
    </row>
    <row r="9" spans="1:45" ht="21" hidden="1">
      <c r="A9" s="61">
        <f>INPUT!B8</f>
        <v>0</v>
      </c>
      <c r="B9" s="4"/>
      <c r="C9" s="4"/>
      <c r="D9" s="4"/>
      <c r="E9" s="4"/>
      <c r="F9" s="4"/>
      <c r="G9" s="4"/>
      <c r="H9" s="4"/>
      <c r="I9" s="4"/>
      <c r="J9" s="4"/>
      <c r="K9" s="4"/>
      <c r="L9" s="4"/>
      <c r="M9" s="4"/>
      <c r="N9" s="4"/>
      <c r="O9" s="4"/>
      <c r="P9" s="4"/>
      <c r="Q9" s="4"/>
      <c r="R9" s="4"/>
      <c r="S9" s="4"/>
      <c r="T9" s="4"/>
      <c r="U9" s="4"/>
      <c r="V9" s="61">
        <f>IF(D12="CO1",D13,0)+IF(E12="CO1",E13,0)+IF(F12="CO1",F13,0)+IF(G12="CO1",G13,0)+IF(H12="CO1",H13,0)+IF(I12="CO1",I13,0)+IF(J12="CO1",J13,0)+IF(K12="CO1",K13,0)+IF(L12="CO1",L13,0)+IF(M12="CO1",M13,0)+IF(N12="CO1",N13,0)+IF(O12="CO1",O13,0)+IF(P12="CO1",P13,0)+IF(Q12="CO1",Q13,0)+IF(R12="CO1",R13,0)+IF(S12="CO1",S13,0)+IF(T12="CO1",T13,0)</f>
        <v>0</v>
      </c>
      <c r="W9" s="61">
        <f>IF(D12="CO2",D13,0)+IF(E12="CO2",E13,0)+IF(F12="CO2",F13,0)+IF(G12="CO2",G13,0)+IF(H12="CO2",H13,0)+IF(I12="CO2",I13,0)+IF(J12="CO2",J13,0)+IF(K12="CO2",K13,0)+IF(L12="CO2",L13,0)+IF(M12="CO2",M13,0)+IF(N12="CO2",N13,0)+IF(O12="CO2",O13,0)+IF(P12="CO2",P13,0)+IF(Q12="CO2",Q13,0)+IF(R12="CO2",R13,0)+IF(S12="CO2",S13,0)+IF(T12="CO2",T13,0)</f>
        <v>0</v>
      </c>
      <c r="X9" s="61">
        <f>IF(D12="CO3",D13,0)+IF(E12="CO3",E13,0)+IF(F12="CO3",F13,0)+IF(G12="CO3",G13,0)+IF(H12="CO3",H13,0)+IF(I12="CO3",I13,0)+IF(J12="CO3",J13,0)+IF(K12="CO3",K13,0)+IF(L12="CO3",L13,0)+IF(M12="CO3",M13,0)+IF(N12="CO3",N13,0)+IF(O12="CO3",O13,0)+IF(P12="CO3",P13,0)+IF(Q12="CO3",Q13,0)+IF(R12="CO3",R13,0)+IF(S12="CO3",S13,0)+IF(T12="CO3",T13,0)</f>
        <v>0</v>
      </c>
      <c r="Y9" s="61">
        <f>IF(D12="CO4",D13,0)+IF(E12="CO4",E13,0)+IF(F12="CO4",F13,0)+IF(G12="CO4",G13,0)+IF(H12="CO4",H13,0)+IF(I12="CO4",I13,0)+IF(J12="CO4",J13,0)+IF(K12="CO4",K13,0)+IF(L12="CO4",L13,0)+IF(M12="CO4",M13,0)+IF(N12="CO4",N13,0)+IF(O12="CO4",O13,0)+IF(P12="CO4",P13,0)+IF(Q12="CO4",Q13,0)+IF(R12="CO4",R13,0)+IF(S12="CO4",S13,0)+IF(T12="CO4",T13,0)</f>
        <v>0</v>
      </c>
      <c r="Z9" s="61">
        <f>IF(D12="CO5",D13,0)+IF(E12="CO5",E13,0)+IF(F12="CO5",F13,0)+IF(G12="CO5",G13,0)+IF(H12="CO5",H13,0)+IF(I12="CO5",I13,0)+IF(J12="CO5",J13,0)+IF(K12="CO5",K13,0)+IF(L12="CO5",L13,0)+IF(M12="CO5",M13,0)+IF(N12="CO5",N13,0)+IF(O12="CO5",O13,0)+IF(P12="CO5",P13,0)+IF(Q12="CO5",Q13,0)+IF(R12="CO5",R13,0)+IF(S12="CO5",S13,0)+IF(T12="CO5",T13,0)</f>
        <v>0</v>
      </c>
      <c r="AA9" s="61">
        <f>IF(D12="CO6",D13,0)+IF(E12="CO6",E13,0)+IF(F12="CO6",F13,0)+IF(G12="CO6",G13,0)+IF(H12="CO6",H13,0)+IF(I12="CO6",I13,0)+IF(J12="CO6",J13,0)+IF(K12="CO6",K13,0)+IF(L12="CO6",L13,0)+IF(M12="CO6",M13,0)+IF(N12="CO6",N13,0)+IF(O12="CO6",O13,0)+IF(P12="CO6",P13,0)+IF(Q12="CO6",Q13,0)+IF(R12="CO6",R13,0)+IF(S12="CO6",S13,0)+IF(T12="CO6",T13,0)</f>
        <v>0</v>
      </c>
      <c r="AB9" s="61">
        <f>IF(D12="CO7",D13,0)+IF(E12="CO7",E13,0)+IF(F12="CO7",F13,0)+IF(G12="CO7",G13,0)+IF(H12="CO7",H13,0)+IF(I12="CO7",I13,0)+IF(J12="CO7",J13,0)+IF(K12="CO7",K13,0)+IF(L12="CO7",L13,0)+IF(M12="CO7",M13,0)+IF(N12="CO7",N13,0)+IF(O12="CO7",O13,0)+IF(P12="CO7",P13,0)+IF(Q12="CO7",Q13,0)+IF(R12="CO7",R13,0)+IF(S12="CO7",S13,0)+IF(T12="CO7",T13,0)</f>
        <v>0</v>
      </c>
      <c r="AC9" s="61">
        <f>IF(D12="CO8",D13,0)+IF(E12="CO8",E13,0)+IF(F12="CO8",F13,0)+IF(G12="CO8",G13,0)+IF(H12="CO8",H13,0)+IF(I12="CO8",I13,0)+IF(J12="CO8",J13,0)+IF(K12="CO8",K13,0)+IF(L12="CO8",L13,0)+IF(M12="CO8",M13,0)+IF(N12="CO8",N13,0)+IF(O12="CO8",O13,0)+IF(P12="CO8",P13,0)+IF(Q12="CO8",Q13,0)+IF(R12="CO8",R13,0)+IF(S12="CO8",S13,0)+IF(T12="CO8",T13,0)</f>
        <v>0</v>
      </c>
      <c r="AD9" s="61">
        <f>IF(D12="CO9",D13,0)+IF(E12="CO9",E13,0)+IF(F12="CO9",F13,0)+IF(G12="CO9",G13,0)+IF(H12="CO9",H13,0)+IF(I12="CO9",I13,0)+IF(J12="CO9",J13,0)+IF(K12="CO9",K13,0)+IF(L12="CO9",L13,0)+IF(M12="CO9",M13,0)+IF(N12="CO9",N13,0)+IF(O12="CO9",O13,0)+IF(P12="CO9",P13,0)+IF(Q12="CO9",Q13,0)+IF(R12="CO9",R13,0)+IF(S12="CO9",S13,0)+IF(T12="CO9",T13,0)</f>
        <v>0</v>
      </c>
      <c r="AE9" s="61">
        <f>IF(D12="CO10",D13,0)+IF(E12="CO10",E13,0)+IF(F12="CO10",F13,0)+IF(G12="CO10",G13,0)+IF(H12="CO10",H13,0)+IF(I12="CO10",I13,0)+IF(J12="CO10",J13,0)+IF(K12="CO10",K13,0)+IF(L12="CO10",L13,0)+IF(M12="CO10",M13,0)+IF(N12="CO10",N13,0)+IF(O12="CO10",O13,0)+IF(P12="CO10",P13,0)+IF(Q12="CO10",Q13,0)+IF(R12="CO10",R13,0)+IF(S12="CO10",S13,0)+IF(T12="CO10",T13,0)</f>
        <v>0</v>
      </c>
      <c r="AF9" s="61">
        <f>IF(D12="CO11",D13,0)+IF(E12="CO11",E13,0)+IF(F12="CO11",F13,0)+IF(G12="CO11",G13,0)+IF(H12="CO11",H13,0)+IF(I12="CO11",I13,0)+IF(J12="CO11",J13,0)+IF(K12="CO11",K13,0)+IF(L12="CO11",L13,0)+IF(M12="CO11",M13,0)+IF(N12="CO11",N13,0)+IF(O12="CO11",O13,0)+IF(P12="CO11",P13,0)+IF(Q12="CO11",Q13,0)+IF(R12="CO11",R13,0)+IF(S12="CO11",S13,0)+IF(T12="CO11",T13,0)</f>
        <v>0</v>
      </c>
      <c r="AG9" s="61">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2" t="s">
        <v>73</v>
      </c>
      <c r="B10" s="153" t="s">
        <v>55</v>
      </c>
      <c r="C10" s="152" t="s">
        <v>1</v>
      </c>
      <c r="D10" s="62" t="str">
        <f>CONCATENATE("Q.No:",INPUT!G3)</f>
        <v>Q.No:</v>
      </c>
      <c r="E10" s="62" t="str">
        <f>CONCATENATE("Q.No:",INPUT!G4)</f>
        <v>Q.No:</v>
      </c>
      <c r="F10" s="62" t="str">
        <f>CONCATENATE("Q.No:",INPUT!G5)</f>
        <v>Q.No:</v>
      </c>
      <c r="G10" s="62" t="str">
        <f>CONCATENATE("Q.No:",INPUT!G6)</f>
        <v>Q.No:</v>
      </c>
      <c r="H10" s="62" t="str">
        <f>CONCATENATE("Q.No:",INPUT!G7)</f>
        <v>Q.No:</v>
      </c>
      <c r="I10" s="62" t="str">
        <f>CONCATENATE("Q.No:",INPUT!G8)</f>
        <v>Q.No:</v>
      </c>
      <c r="J10" s="62" t="str">
        <f>CONCATENATE("Q.No:",INPUT!G9)</f>
        <v>Q.No:</v>
      </c>
      <c r="K10" s="62" t="str">
        <f>CONCATENATE("Q.No:",INPUT!G10)</f>
        <v>Q.No:</v>
      </c>
      <c r="L10" s="62" t="str">
        <f>CONCATENATE("Q.No:",INPUT!G11)</f>
        <v>Q.No:</v>
      </c>
      <c r="M10" s="62" t="str">
        <f>CONCATENATE("Q.No:",INPUT!G12)</f>
        <v>Q.No:</v>
      </c>
      <c r="N10" s="62" t="str">
        <f>CONCATENATE("Q.No:",INPUT!G13)</f>
        <v>Q.No:</v>
      </c>
      <c r="O10" s="62" t="str">
        <f>CONCATENATE("Q.No:",INPUT!G14)</f>
        <v>Q.No:</v>
      </c>
      <c r="P10" s="62" t="str">
        <f>CONCATENATE("Q.No:",INPUT!G15)</f>
        <v>Q.No:</v>
      </c>
      <c r="Q10" s="62" t="str">
        <f>CONCATENATE("Q.No:",INPUT!G16)</f>
        <v>Q.No:</v>
      </c>
      <c r="R10" s="62" t="str">
        <f>CONCATENATE("Q.No:",INPUT!G17)</f>
        <v>Q.No:</v>
      </c>
      <c r="S10" s="62" t="str">
        <f>CONCATENATE("Q.No:",INPUT!G18)</f>
        <v>Q.No:</v>
      </c>
      <c r="T10" s="62" t="str">
        <f>CONCATENATE("Q.No:",INPUT!G19)</f>
        <v>Q.No:</v>
      </c>
      <c r="U10" s="30" t="s">
        <v>3</v>
      </c>
      <c r="V10" s="140"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0"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0"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0"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0"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0"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0"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8"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48"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48"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48"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48"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47" t="s">
        <v>98</v>
      </c>
      <c r="AI10" s="147" t="s">
        <v>99</v>
      </c>
      <c r="AJ10" s="147" t="s">
        <v>100</v>
      </c>
      <c r="AK10" s="147" t="s">
        <v>101</v>
      </c>
      <c r="AL10" s="147" t="s">
        <v>102</v>
      </c>
      <c r="AM10" s="147" t="s">
        <v>103</v>
      </c>
      <c r="AN10" s="147" t="s">
        <v>104</v>
      </c>
      <c r="AO10" s="147" t="s">
        <v>154</v>
      </c>
      <c r="AP10" s="147" t="s">
        <v>156</v>
      </c>
      <c r="AQ10" s="147" t="s">
        <v>157</v>
      </c>
      <c r="AR10" s="147" t="s">
        <v>158</v>
      </c>
      <c r="AS10" s="147" t="s">
        <v>159</v>
      </c>
    </row>
    <row r="11" spans="1:45">
      <c r="A11" s="152"/>
      <c r="B11" s="153"/>
      <c r="C11" s="152"/>
      <c r="D11" s="87">
        <f>INPUT!H3</f>
        <v>0</v>
      </c>
      <c r="E11" s="87">
        <f>INPUT!H4</f>
        <v>0</v>
      </c>
      <c r="F11" s="87">
        <f>INPUT!H5</f>
        <v>0</v>
      </c>
      <c r="G11" s="87">
        <f>INPUT!H6</f>
        <v>0</v>
      </c>
      <c r="H11" s="87">
        <f>INPUT!H7</f>
        <v>0</v>
      </c>
      <c r="I11" s="87">
        <f>INPUT!H8</f>
        <v>0</v>
      </c>
      <c r="J11" s="87">
        <f>INPUT!H9</f>
        <v>0</v>
      </c>
      <c r="K11" s="87">
        <f>INPUT!H10</f>
        <v>0</v>
      </c>
      <c r="L11" s="87">
        <f>INPUT!H11</f>
        <v>0</v>
      </c>
      <c r="M11" s="87">
        <f>INPUT!H12</f>
        <v>0</v>
      </c>
      <c r="N11" s="87">
        <f>INPUT!H13</f>
        <v>0</v>
      </c>
      <c r="O11" s="87">
        <f>INPUT!H14</f>
        <v>0</v>
      </c>
      <c r="P11" s="87">
        <f>INPUT!H15</f>
        <v>0</v>
      </c>
      <c r="Q11" s="87">
        <f>INPUT!H16</f>
        <v>0</v>
      </c>
      <c r="R11" s="87">
        <f>INPUT!H17</f>
        <v>0</v>
      </c>
      <c r="S11" s="87">
        <f>INPUT!H18</f>
        <v>0</v>
      </c>
      <c r="T11" s="87">
        <f>INPUT!H19</f>
        <v>0</v>
      </c>
      <c r="U11" s="141">
        <f>SUM(D13:T13)</f>
        <v>0</v>
      </c>
      <c r="V11" s="140"/>
      <c r="W11" s="140"/>
      <c r="X11" s="140"/>
      <c r="Y11" s="140"/>
      <c r="Z11" s="140"/>
      <c r="AA11" s="140"/>
      <c r="AB11" s="140"/>
      <c r="AC11" s="149"/>
      <c r="AD11" s="149"/>
      <c r="AE11" s="149"/>
      <c r="AF11" s="149"/>
      <c r="AG11" s="149"/>
      <c r="AH11" s="147"/>
      <c r="AI11" s="147"/>
      <c r="AJ11" s="147"/>
      <c r="AK11" s="147"/>
      <c r="AL11" s="147"/>
      <c r="AM11" s="147"/>
      <c r="AN11" s="147"/>
      <c r="AO11" s="147"/>
      <c r="AP11" s="147"/>
      <c r="AQ11" s="147"/>
      <c r="AR11" s="147"/>
      <c r="AS11" s="147"/>
    </row>
    <row r="12" spans="1:45" ht="19.8" customHeight="1">
      <c r="A12" s="152"/>
      <c r="B12" s="153"/>
      <c r="C12" s="152"/>
      <c r="D12" s="87">
        <f>INPUT!I3</f>
        <v>0</v>
      </c>
      <c r="E12" s="87">
        <f>INPUT!I4</f>
        <v>0</v>
      </c>
      <c r="F12" s="87">
        <f>INPUT!I5</f>
        <v>0</v>
      </c>
      <c r="G12" s="87">
        <f>INPUT!I6</f>
        <v>0</v>
      </c>
      <c r="H12" s="87">
        <f>INPUT!I7</f>
        <v>0</v>
      </c>
      <c r="I12" s="87">
        <f>INPUT!I8</f>
        <v>0</v>
      </c>
      <c r="J12" s="87">
        <f>INPUT!I9</f>
        <v>0</v>
      </c>
      <c r="K12" s="87">
        <f>INPUT!I10</f>
        <v>0</v>
      </c>
      <c r="L12" s="87">
        <f>INPUT!I11</f>
        <v>0</v>
      </c>
      <c r="M12" s="87">
        <f>INPUT!I12</f>
        <v>0</v>
      </c>
      <c r="N12" s="87">
        <f>INPUT!I13</f>
        <v>0</v>
      </c>
      <c r="O12" s="87">
        <f>INPUT!I14</f>
        <v>0</v>
      </c>
      <c r="P12" s="87">
        <f>INPUT!I15</f>
        <v>0</v>
      </c>
      <c r="Q12" s="87">
        <f>INPUT!I16</f>
        <v>0</v>
      </c>
      <c r="R12" s="87">
        <f>INPUT!I17</f>
        <v>0</v>
      </c>
      <c r="S12" s="87">
        <f>INPUT!I18</f>
        <v>0</v>
      </c>
      <c r="T12" s="87">
        <f>INPUT!I19</f>
        <v>0</v>
      </c>
      <c r="U12" s="141"/>
      <c r="V12" s="140"/>
      <c r="W12" s="140"/>
      <c r="X12" s="140"/>
      <c r="Y12" s="140"/>
      <c r="Z12" s="140"/>
      <c r="AA12" s="140"/>
      <c r="AB12" s="140"/>
      <c r="AC12" s="149"/>
      <c r="AD12" s="149"/>
      <c r="AE12" s="149"/>
      <c r="AF12" s="149"/>
      <c r="AG12" s="149"/>
      <c r="AH12" s="147"/>
      <c r="AI12" s="147"/>
      <c r="AJ12" s="147"/>
      <c r="AK12" s="147"/>
      <c r="AL12" s="147"/>
      <c r="AM12" s="147"/>
      <c r="AN12" s="147"/>
      <c r="AO12" s="147"/>
      <c r="AP12" s="147"/>
      <c r="AQ12" s="147"/>
      <c r="AR12" s="147"/>
      <c r="AS12" s="147"/>
    </row>
    <row r="13" spans="1:45" ht="21" customHeight="1">
      <c r="A13" s="152"/>
      <c r="B13" s="153"/>
      <c r="C13" s="152"/>
      <c r="D13" s="87">
        <f>INPUT!J3</f>
        <v>0</v>
      </c>
      <c r="E13" s="87">
        <f>INPUT!J4</f>
        <v>0</v>
      </c>
      <c r="F13" s="87">
        <f>INPUT!J5</f>
        <v>0</v>
      </c>
      <c r="G13" s="87">
        <f>INPUT!J6</f>
        <v>0</v>
      </c>
      <c r="H13" s="87">
        <f>INPUT!J7</f>
        <v>0</v>
      </c>
      <c r="I13" s="87">
        <f>INPUT!J8</f>
        <v>0</v>
      </c>
      <c r="J13" s="87">
        <f>INPUT!J9</f>
        <v>0</v>
      </c>
      <c r="K13" s="87">
        <f>INPUT!J10</f>
        <v>0</v>
      </c>
      <c r="L13" s="87">
        <f>INPUT!J11</f>
        <v>0</v>
      </c>
      <c r="M13" s="87">
        <f>INPUT!J12</f>
        <v>0</v>
      </c>
      <c r="N13" s="87">
        <f>INPUT!J13</f>
        <v>0</v>
      </c>
      <c r="O13" s="87">
        <f>INPUT!J14</f>
        <v>0</v>
      </c>
      <c r="P13" s="87">
        <f>INPUT!J15</f>
        <v>0</v>
      </c>
      <c r="Q13" s="87">
        <f>INPUT!J16</f>
        <v>0</v>
      </c>
      <c r="R13" s="87">
        <f>INPUT!J17</f>
        <v>0</v>
      </c>
      <c r="S13" s="87">
        <f>INPUT!J18</f>
        <v>0</v>
      </c>
      <c r="T13" s="87">
        <f>INPUT!J19</f>
        <v>0</v>
      </c>
      <c r="U13" s="141"/>
      <c r="V13" s="140"/>
      <c r="W13" s="140"/>
      <c r="X13" s="140"/>
      <c r="Y13" s="140"/>
      <c r="Z13" s="140"/>
      <c r="AA13" s="140"/>
      <c r="AB13" s="140"/>
      <c r="AC13" s="150"/>
      <c r="AD13" s="150"/>
      <c r="AE13" s="150"/>
      <c r="AF13" s="150"/>
      <c r="AG13" s="150"/>
      <c r="AH13" s="147"/>
      <c r="AI13" s="147"/>
      <c r="AJ13" s="147"/>
      <c r="AK13" s="147"/>
      <c r="AL13" s="147"/>
      <c r="AM13" s="147"/>
      <c r="AN13" s="147"/>
      <c r="AO13" s="147"/>
      <c r="AP13" s="147"/>
      <c r="AQ13" s="147"/>
      <c r="AR13" s="147"/>
      <c r="AS13" s="147"/>
    </row>
    <row r="14" spans="1:45" ht="33" hidden="1" customHeight="1">
      <c r="A14" s="22">
        <v>0</v>
      </c>
      <c r="B14" s="22"/>
      <c r="C14" s="202"/>
      <c r="D14" s="22"/>
      <c r="E14" s="22"/>
      <c r="F14" s="22"/>
      <c r="G14" s="22"/>
      <c r="H14" s="22"/>
      <c r="I14" s="22"/>
      <c r="J14" s="22"/>
      <c r="K14" s="22"/>
      <c r="L14" s="22"/>
      <c r="M14" s="22"/>
      <c r="N14" s="22"/>
      <c r="O14" s="22"/>
      <c r="P14" s="22"/>
      <c r="Q14" s="22"/>
      <c r="R14" s="22"/>
      <c r="S14" s="22"/>
      <c r="T14" s="22"/>
      <c r="U14" s="23">
        <f t="shared" ref="U14:U45" si="0">SUM(D14:T14)</f>
        <v>0</v>
      </c>
      <c r="V14" s="23">
        <f t="shared" ref="V14:V45" si="1">IF($D$12="CO1",D14,0)+IF($E$12="CO1",E14,0)+IF($F$12="CO1",F14,0)+IF($G$12="CO1",G14,0)+IF($H$12="CO1",H14,0)+IF($I$12="CO1",I14,0)+IF($J$12="CO1",J14,0)+IF($K$12="CO1",K14,0)+IF($L$12="CO1",L14,0)+IF($M$12="CO1",M14,0)+IF($N$12="CO1",N14,0)+IF($O$12="CO1",O14,0)+IF($P$12="CO1",P14,0)+IF($Q$12="CO1",Q14,0)+IF($R$12="CO1",R14,0)+IF($S$12="CO1",S14,0)+IF($T$12="CO1",T14,0)</f>
        <v>0</v>
      </c>
      <c r="W14" s="23">
        <f t="shared" ref="W14:W45" si="2">IF($D$12="CO2",D14,0)+IF($E$12="CO2",E14,0)+IF($F$12="CO2",F14,0)+IF($G$12="CO2",G14,0)+IF($H$12="CO2",H14,0)+IF($I$12="CO2",I14,0)+IF($J$12="CO2",J14,0)+IF($K$12="CO2",K14,0)+IF($L$12="CO2",L14,0)+IF($M$12="CO2",M14,0)+IF($N$12="CO2",N14,0)+IF($O$12="CO2",O14,0)+IF($P$12="CO2",P14,0)+IF($Q$12="CO2",Q14,0)+IF($R$12="CO2",R14,0)+IF($S$12="CO2",S14,0)+IF($T$12="CO2",T14,0)</f>
        <v>0</v>
      </c>
      <c r="X14" s="23">
        <f t="shared" ref="X14:X45" si="3">IF($D$12="CO3",D14,0)+IF($E$12="CO3",E14,0)+IF($F$12="CO3",F14,0)+IF($G$12="CO3",G14,0)+IF($H$12="CO3",H14,0)+IF($I$12="CO3",I14,0)+IF($J$12="CO3",J14,0)+IF($K$12="CO3",K14,0)+IF($L$12="CO3",L14,0)+IF($M$12="CO3",M14,0)+IF($N$12="CO3",N14,0)+IF($O$12="CO3",O14,0)+IF($P$12="CO3",P14,0)+IF($Q$12="CO3",Q14,0)+IF($R$12="CO3",R14,0)+IF($S$12="CO3",S14,0)+IF($T$12="CO3",T14,0)</f>
        <v>0</v>
      </c>
      <c r="Y14" s="23">
        <f t="shared" ref="Y14:Y45" si="4">IF($D$12="CO4",D14,0)+IF($E$12="CO4",E14,0)+IF($F$12="CO4",F14,0)+IF($G$12="CO4",G14,0)+IF($H$12="CO4",H14,0)+IF($I$12="CO4",I14,0)+IF($J$12="CO4",J14,0)+IF($K$12="CO4",K14,0)+IF($L$12="CO4",L14,0)+IF($M$12="CO4",M14,0)+IF($N$12="CO4",N14,0)+IF($O$12="CO4",O14,0)+IF($P$12="CO4",P14,0)+IF($Q$12="CO4",Q14,0)+IF($R$12="CO4",R14,0)+IF($S$12="CO4",S14,0)+IF($T$12="CO4",T14,0)</f>
        <v>0</v>
      </c>
      <c r="Z14" s="23">
        <f t="shared" ref="Z14:Z45" si="5">IF($D$12="CO5",D14,0)+IF($E$12="CO5",E14,0)+IF($F$12="CO5",F14,0)+IF($G$12="CO5",G14,0)+IF($H$12="CO5",H14,0)+IF($I$12="CO5",I14,0)+IF($J$12="CO5",J14,0)+IF($K$12="CO5",K14,0)+IF($L$12="CO5",L14,0)+IF($M$12="CO5",M14,0)+IF($N$12="CO5",N14,0)+IF($O$12="CO5",O14,0)+IF($P$12="CO5",P14,0)+IF($Q$12="CO5",Q14,0)+IF($R$12="CO5",R14,0)+IF($S$12="CO5",S14,0)+IF($T$12="CO5",T14,0)</f>
        <v>0</v>
      </c>
      <c r="AA14" s="23">
        <f t="shared" ref="AA14:AA45" si="6">IF($D$12="CO6",D14,0)+IF($E$12="CO6",E14,0)+IF($F$12="CO6",F14,0)+IF($G$12="CO6",G14,0)+IF($H$12="CO6",H14,0)+IF($I$12="CO6",I14,0)+IF($J$12="CO6",J14,0)+IF($K$12="CO6",K14,0)+IF($L$12="CO6",L14,0)+IF($M$12="CO6",M14,0)+IF($N$12="CO6",N14,0)+IF($O$12="CO6",O14,0)+IF($P$12="CO6",P14,0)+IF($Q$12="CO6",Q14,0)+IF($R$12="CO6",R14,0)+IF($S$12="CO6",S14,0)+IF($T$12="CO6",T14,0)</f>
        <v>0</v>
      </c>
      <c r="AB14" s="23">
        <f t="shared" ref="AB14:AB45" si="7">IF($D$12="CO7",D14,0)+IF($E$12="CO7",E14,0)+IF($F$12="CO7",F14,0)+IF($G$12="CO7",G14,0)+IF($H$12="CO7",H14,0)+IF($I$12="CO7",I14,0)+IF($J$12="CO7",J14,0)+IF($K$12="CO7",K14,0)+IF($L$12="CO7",L14,0)+IF($M$12="CO7",M14,0)+IF($N$12="CO7",N14,0)+IF($O$12="CO7",O14,0)+IF($P$12="CO7",P14,0)+IF($Q$12="CO7",Q14,0)+IF($R$12="CO7",R14,0)+IF($S$12="CO7",S14,0)+IF($T$12="CO7",T14,0)</f>
        <v>0</v>
      </c>
      <c r="AC14" s="23">
        <f>IF($D$12="CO8",D14,0)+IF($E$12="CO8",E14,0)+IF($F$12="CO8",F14,0)+IF($G$12="CO8",G14,0)+IF($H$12="CO8",H14,0)+IF($I$12="CO8",I14,0)+IF($J$12="CO8",J14,0)+IF($K$12="CO8",K14,0)+IF($L$12="CO8",L14,0)+IF($M$12="CO8",M14,0)+IF($N$12="CO8",N14,0)+IF($O$12="CO8",O14,0)+IF($P$12="CO8",P14,0)+IF($Q$12="CO8",Q14,0)+IF($R$12="CO8",R14,0)+IF($S$12="CO8",S14,0)+IF($T$12="CO8",T14,0)</f>
        <v>0</v>
      </c>
      <c r="AD14" s="23">
        <f t="shared" ref="AD14:AD45" si="8">IF($D$12="CO9",D14,0)+IF($E$12="CO9",E14,0)+IF($F$12="CO9",F14,0)+IF($G$12="CO9",G14,0)+IF($H$12="CO9",H14,0)+IF($I$12="CO9",I14,0)+IF($J$12="CO9",J14,0)+IF($K$12="CO9",K14,0)+IF($L$12="CO9",L14,0)+IF($M$12="CO9",M14,0)+IF($N$12="CO9",N14,0)+IF($O$12="CO9",O14,0)+IF($P$12="CO9",P14,0)+IF($Q$12="CO9",Q14,0)+IF($R$12="CO9",R14,0)+IF($S$12="CO9",S14,0)+IF($T$12="CO9",T14,0)</f>
        <v>0</v>
      </c>
      <c r="AE14" s="23">
        <f>IF($D$12="CO10",D14,0)+IF($E$12="CO10",E14,0)+IF($F$12="CO10",F14,0)+IF($G$12="CO10",G14,0)+IF($H$12="CO10",H14,0)+IF($I$12="CO10",I14,0)+IF($J$12="CO10",J14,0)+IF($K$12="CO10",K14,0)+IF($L$12="CO10",L14,0)+IF($M$12="CO10",M14,0)+IF($N$12="CO10",N14,0)+IF($O$12="CO10",O14,0)+IF($P$12="CO10",P14,0)+IF($Q$12="CO10",Q14,0)+IF($R$12="CO10",R14,0)+IF($S$12="CO10",S14,0)+IF($T$12="CO10",T14,0)</f>
        <v>0</v>
      </c>
      <c r="AF14" s="23">
        <f>IF($D$12="CO11",D14,0)+IF($E$12="CO11",E14,0)+IF($F$12="CO11",F14,0)+IF($G$12="CO11",G14,0)+IF($H$12="CO11",H14,0)+IF($I$12="CO11",I14,0)+IF($J$12="CO11",J14,0)+IF($K$12="CO11",K14,0)+IF($L$12="CO11",L14,0)+IF($M$12="CO11",M14,0)+IF($N$12="CO11",N14,0)+IF($O$12="CO11",O14,0)+IF($P$12="CO11",P14,0)+IF($Q$12="CO11",Q14,0)+IF($R$12="CO11",R14,0)+IF($S$12="CO11",S14,0)+IF($T$12="CO11",T14,0)</f>
        <v>0</v>
      </c>
      <c r="AG14" s="23">
        <f>IF($D$12="CO12",D14,0)+IF($E$12="CO12",E14,0)+IF($F$12="CO12",F14,0)+IF($G$12="CO12",G14,0)+IF($H$12="CO12",H14,0)+IF($I$12="CO12",I14,0)+IF($J$12="CO12",J14,0)+IF($K$12="CO12",K14,0)+IF($L$12="CO12",L14,0)+IF($M$12="CO12",M14,0)+IF($N$12="CO12",N14,0)+IF($O$12="CO12",O14,0)+IF($P$12="CO12",P14,0)+IF($Q$12="CO12",Q14,0)+IF($R$12="CO12",R14,0)+IF($S$12="CO12",S14,0)+IF($T$12="CO12",T14,0)</f>
        <v>0</v>
      </c>
      <c r="AH14" s="23" t="e">
        <f t="shared" ref="AH14:AH45" si="9">ROUND(V14/(IF($D$12="CO1",$D$13,0)+IF($E$12="CO1",$E$13,0)+IF($F$12="CO1",$F$13,0)+IF($G$12="CO1",$G$13,0)+IF($H$12="CO1",$H$13,0)+IF($I$12="CO1",$I$13,0)+IF($J$12="CO1",$J$13,0)+IF($K$12="CO1",$K$13,0)+IF($L$12="CO1",$L$13,0)+IF($M$12="CO1",$M$13,0)+IF($N$12="CO1",$N$13,0)+IF($O$12="CO1",$O$13,0)+IF($P$12="CO1",$P$13,0)+IF($Q$12="CO1",$Q$13,0)+IF($R$12="CO1",$R$13,0)+IF($S$12="CO1",$S$13,0)+IF($T$12="CO1",$T$13,0))*100,2)</f>
        <v>#DIV/0!</v>
      </c>
      <c r="AI14" s="23" t="e">
        <f t="shared" ref="AI14:AI45" si="10">ROUND(W14/(IF($D$12="CO2",$D$13,0)+IF($E$12="CO2",$E$13,0)+IF($F$12="CO2",$F$13,0)+IF($G$12="CO2",$G$13,0)+IF($H$12="CO2",$H$13,0)+IF($I$12="CO2",$I$13,0)+IF($J$12="CO2",$J$13,0)+IF($K$12="CO2",$K$13,0)+IF($L$12="CO2",$L$13,0)+IF($M$12="CO2",$M$13,0)+IF($N$12="CO2",$N$13,0)+IF($O$12="CO2",$O$13,0)+IF($P$12="CO2",$P$13,0)+IF($Q$12="CO2",$Q$13,0)+IF($R$12="CO2",$R$13,0)+IF($S$12="CO2",$S$13,0)+IF($T$12="CO2",$T$13,0))*100,2)</f>
        <v>#DIV/0!</v>
      </c>
      <c r="AJ14" s="10" t="e">
        <f t="shared" ref="AJ14:AJ45" si="11">ROUND(X14/(IF($D$12="CO3",$D$13,0)+IF($E$12="CO3",$E$13,0)+IF($F$12="CO3",$F$13,0)+IF($G$12="CO3",$G$13,0)+IF($H$12="CO3",$H$13,0)+IF($I$12="CO3",$I$13,0)+IF($J$12="CO3",$J$13,0)+IF($K$12="CO3",$K$13,0)+IF($L$12="CO3",$L$13,0)+IF($M$12="CO3",$M$13,0)+IF($N$12="CO3",$N$13,0)+IF($O$12="CO3",$O$13,0)+IF($P$12="CO3",$P$13,0)+IF($Q$12="CO3",$Q$13,0)+IF($R$12="CO3",$R$13,0)+IF($S$12="CO3",$S$13,0)+IF($T$12="CO3",$T$13,0))*100,2)</f>
        <v>#DIV/0!</v>
      </c>
      <c r="AK14" s="6" t="e">
        <f t="shared" ref="AK14:AK45" si="12">ROUND(Y14/(IF($D$12="CO4",$D$13,0)+IF($E$12="CO4",$E$13,0)+IF($F$12="CO4",$F$13,0)+IF($G$12="CO4",$G$13,0)+IF($H$12="CO4",$H$13,0)+IF($I$12="CO4",$I$13,0)+IF($J$12="CO4",$J$13,0)+IF($K$12="CO4",$K$13,0)+IF($L$12="CO4",$L$13,0)+IF($M$12="CO4",$M$13,0)+IF($N$12="CO4",$N$13,0)+IF($O$12="CO4",$O$13,0)+IF($P$12="CO4",$P$13,0)+IF($Q$12="CO4",$Q$13,0)+IF($R$12="CO4",$R$13,0)+IF($S$12="CO4",$S$13,0)+IF($T$12="CO4",$T$13,0))*100,2)</f>
        <v>#DIV/0!</v>
      </c>
      <c r="AL14" s="6" t="e">
        <f t="shared" ref="AL14:AL45" si="13">ROUND(Z14/(IF($D$12="CO5",$D$13,0)+IF($E$12="CO5",$E$13,0)+IF($F$12="CO5",$F$13,0)+IF($G$12="CO5",$G$13,0)+IF($H$12="CO5",$H$13,0)+IF($I$12="CO5",$I$13,0)+IF($J$12="CO5",$J$13,0)+IF($K$12="CO5",$K$13,0)+IF($L$12="CO5",$L$13,0)+IF($M$12="CO5",$M$13,0)+IF($N$12="CO5",$N$13,0)+IF($O$12="CO5",$O$13,0)+IF($P$12="CO5",$P$13,0)+IF($Q$12="CO5",$Q$13,0)+IF($R$12="CO5",$R$13,0)+IF($S$12="CO5",$S$13,0)+IF($T$12="CO5",$T$13,0))*100,2)</f>
        <v>#DIV/0!</v>
      </c>
      <c r="AM14" s="6" t="e">
        <f t="shared" ref="AM14:AM45" si="14">ROUND(AA14/(IF($D$12="CO6",$D$13,0)+IF($E$12="CO6",$E$13,0)+IF($F$12="CO6",$F$13,0)+IF($G$12="CO6",$G$13,0)+IF($H$12="CO6",$H$13,0)+IF($I$12="CO6",$I$13,0)+IF($J$12="CO6",$J$13,0)+IF($K$12="CO6",$K$13,0)+IF($L$12="CO6",$L$13,0)+IF($M$12="CO6",$M$13,0)+IF($N$12="CO6",$N$13,0)+IF($O$12="CO6",$O$13,0)+IF($P$12="CO6",$P$13,0)+IF($Q$12="CO6",$Q$13,0)+IF($R$12="CO6",$R$13,0)+IF($S$12="CO6",$S$13,0)+IF($T$12="CO6",$T$13,0))*100,2)</f>
        <v>#DIV/0!</v>
      </c>
      <c r="AN14" s="6" t="e">
        <f t="shared" ref="AN14:AN45" si="15">ROUND(AB14/(IF($D$12="CO7",$D$13,0)+IF($E$12="CO7",$E$13,0)+IF($F$12="CO7",$F$13,0)+IF($G$12="CO7",$G$13,0)+IF($H$12="CO7",$H$13,0)+IF($I$12="CO7",$I$13,0)+IF($J$12="CO7",$J$13,0)+IF($K$12="CO7",$K$13,0)+IF($L$12="CO7",$L$13,0)+IF($M$12="CO7",$M$13,0)+IF($N$12="CO7",$N$13,0)+IF($O$12="CO7",$O$13,0)+IF($P$12="CO7",$P$13,0)+IF($Q$12="CO7",$Q$13,0)+IF($R$12="CO7",$R$13,0)+IF($S$12="CO7",$S$13,0)+IF($T$12="CO7",$T$13,0))*100,2)</f>
        <v>#DIV/0!</v>
      </c>
      <c r="AO14" s="57" t="e">
        <f t="shared" ref="AO14:AO45" si="16">ROUND(AC14/(IF($D$12="CO8",$D$13,0)+IF($E$12="CO8",$E$13,0)+IF($F$12="CO8",$F$13,0)+IF($G$12="CO8",$G$13,0)+IF($H$12="CO8",$H$13,0)+IF($I$12="CO8",$I$13,0)+IF($J$12="CO8",$J$13,0)+IF($K$12="CO8",$K$13,0)+IF($L$12="CO8",$L$13,0)+IF($M$12="CO8",$M$13,0)+IF($N$12="CO8",$N$13,0)+IF($O$12="CO8",$O$13,0)+IF($P$12="CO8",$P$13,0)+IF($Q$12="CO8",$Q$13,0)+IF($R$12="CO8",$R$13,0)+IF($S$12="CO8",$S$13,0)+IF($T$12="CO8",$T$13,0))*100,2)</f>
        <v>#DIV/0!</v>
      </c>
      <c r="AP14" s="57" t="e">
        <f>ROUND(AD14/(IF($D$12="CO9",$D$13,0)+IF($E$12="CO9",$E$13,0)+IF($F$12="CO9",$F$13,0)+IF($G$12="CO9",$G$13,0)+IF($H$12="CO9",$H$13,0)+IF($I$12="CO9",$I$13,0)+IF($J$12="CO9",$J$13,0)+IF($K$12="CO9",$K$13,0)+IF($L$12="CO9",$L$13,0)+IF($M$12="CO9",$M$13,0)+IF($N$12="CO9",$N$13,0)+IF($O$12="CO9",$O$13,0)+IF($P$12="CO9",$P$13,0)+IF($Q$12="CO9",$Q$13,0)+IF($R$12="CO9",$R$13,0)+IF($S$12="CO9",$S$13,0)+IF($T$12="CO9",$T$13,0))*100,2)</f>
        <v>#DIV/0!</v>
      </c>
      <c r="AQ14" s="57" t="e">
        <f>ROUND(AE14/(IF($D$12="CO10",$D$13,0)+IF($E$12="CO10",$E$13,0)+IF($F$12="CO10",$F$13,0)+IF($G$12="CO10",$G$13,0)+IF($H$12="CO10",$H$13,0)+IF($I$12="CO10",$I$13,0)+IF($J$12="CO10",$J$13,0)+IF($K$12="CO10",$K$13,0)+IF($L$12="CO10",$L$13,0)+IF($M$12="CO10",$M$13,0)+IF($N$12="CO10",$N$13,0)+IF($O$12="CO10",$O$13,0)+IF($P$12="CO10",$P$13,0)+IF($Q$12="CO10",$Q$13,0)+IF($R$12="CO10",$R$13,0)+IF($S$12="CO10",$S$13,0)+IF($T$12="CO10",$T$13,0))*100,2)</f>
        <v>#DIV/0!</v>
      </c>
      <c r="AR14" s="57" t="e">
        <f>ROUND(AF14/(IF($D$12="CO11",$D$13,0)+IF($E$12="CO11",$E$13,0)+IF($F$12="CO11",$F$13,0)+IF($G$12="CO11",$G$13,0)+IF($H$12="CO11",$H$13,0)+IF($I$12="CO11",$I$13,0)+IF($J$12="CO11",$J$13,0)+IF($K$12="CO11",$K$13,0)+IF($L$12="CO11",$L$13,0)+IF($M$12="CO11",$M$13,0)+IF($N$12="CO11",$N$13,0)+IF($O$12="CO11",$O$13,0)+IF($P$12="CO11",$P$13,0)+IF($Q$12="CO11",$Q$13,0)+IF($R$12="CO11",$R$13,0)+IF($S$12="CO11",$S$13,0)+IF($T$12="CO11",$T$13,0))*100,2)</f>
        <v>#DIV/0!</v>
      </c>
      <c r="AS14" s="57"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2">
        <v>0</v>
      </c>
      <c r="B15" s="12"/>
      <c r="C15" s="202"/>
      <c r="D15" s="12"/>
      <c r="E15" s="12"/>
      <c r="F15" s="12"/>
      <c r="G15" s="12"/>
      <c r="H15" s="12"/>
      <c r="I15" s="12"/>
      <c r="J15" s="12"/>
      <c r="K15" s="12"/>
      <c r="L15" s="12"/>
      <c r="M15" s="12"/>
      <c r="N15" s="12"/>
      <c r="O15" s="12"/>
      <c r="P15" s="12"/>
      <c r="Q15" s="12"/>
      <c r="R15" s="12"/>
      <c r="S15" s="12"/>
      <c r="T15" s="12"/>
      <c r="U15" s="13">
        <f t="shared" si="0"/>
        <v>0</v>
      </c>
      <c r="V15" s="13">
        <f t="shared" si="1"/>
        <v>0</v>
      </c>
      <c r="W15" s="13">
        <f t="shared" si="2"/>
        <v>0</v>
      </c>
      <c r="X15" s="13">
        <f t="shared" si="3"/>
        <v>0</v>
      </c>
      <c r="Y15" s="13">
        <f t="shared" si="4"/>
        <v>0</v>
      </c>
      <c r="Z15" s="13">
        <f t="shared" si="5"/>
        <v>0</v>
      </c>
      <c r="AA15" s="13">
        <f t="shared" si="6"/>
        <v>0</v>
      </c>
      <c r="AB15" s="13">
        <f t="shared" si="7"/>
        <v>0</v>
      </c>
      <c r="AC15" s="23">
        <f>IF($D$12="CO8",D15,0)+IF($E$12="CO8",E15,0)+IF($F$12="CO8",F15,0)+IF($G$12="CO8",G15,0)+IF($H$12="CO8",H15,0)+IF($I$12="CO8",I15,0)+IF($J$12="CO8",J15,0)+IF($K$12="CO8",K15,0)+IF($L$12="CO8",L15,0)+IF($M$12="CO8",M15,0)+IF($N$12="CO8",N15,0)+IF($O$12="CO8",O15,0)+IF($P$12="CO8",P15,0)+IF($Q$12="CO8",Q15,0)+IF($R$12="CO8",R15,0)+IF($S$12="CO8",S15,0)+IF($T$12="CO8",T15,0)</f>
        <v>0</v>
      </c>
      <c r="AD15" s="23">
        <f t="shared" si="8"/>
        <v>0</v>
      </c>
      <c r="AE15" s="23">
        <f t="shared" ref="AE15:AE78" si="17">IF($D$12="CO10",D15,0)+IF($E$12="CO10",E15,0)+IF($F$12="CO10",F15,0)+IF($G$12="CO10",G15,0)+IF($H$12="CO10",H15,0)+IF($I$12="CO10",I15,0)+IF($J$12="CO10",J15,0)+IF($K$12="CO10",K15,0)+IF($L$12="CO10",L15,0)+IF($M$12="CO10",M15,0)+IF($N$12="CO10",N15,0)+IF($O$12="CO10",O15,0)+IF($P$12="CO10",P15,0)+IF($Q$12="CO10",Q15,0)+IF($R$12="CO10",R15,0)+IF($S$12="CO10",S15,0)+IF($T$12="CO10",T15,0)</f>
        <v>0</v>
      </c>
      <c r="AF15" s="23">
        <f t="shared" ref="AF15:AF78" si="18">IF($D$12="CO11",D15,0)+IF($E$12="CO11",E15,0)+IF($F$12="CO11",F15,0)+IF($G$12="CO11",G15,0)+IF($H$12="CO11",H15,0)+IF($I$12="CO11",I15,0)+IF($J$12="CO11",J15,0)+IF($K$12="CO11",K15,0)+IF($L$12="CO11",L15,0)+IF($M$12="CO11",M15,0)+IF($N$12="CO11",N15,0)+IF($O$12="CO11",O15,0)+IF($P$12="CO11",P15,0)+IF($Q$12="CO11",Q15,0)+IF($R$12="CO11",R15,0)+IF($S$12="CO11",S15,0)+IF($T$12="CO11",T15,0)</f>
        <v>0</v>
      </c>
      <c r="AG15" s="23">
        <f t="shared" ref="AG15:AG78" si="19">IF($D$12="CO12",D15,0)+IF($E$12="CO12",E15,0)+IF($F$12="CO12",F15,0)+IF($G$12="CO12",G15,0)+IF($H$12="CO12",H15,0)+IF($I$12="CO12",I15,0)+IF($J$12="CO12",J15,0)+IF($K$12="CO12",K15,0)+IF($L$12="CO12",L15,0)+IF($M$12="CO12",M15,0)+IF($N$12="CO12",N15,0)+IF($O$12="CO12",O15,0)+IF($P$12="CO12",P15,0)+IF($Q$12="CO12",Q15,0)+IF($R$12="CO12",R15,0)+IF($S$12="CO12",S15,0)+IF($T$12="CO12",T15,0)</f>
        <v>0</v>
      </c>
      <c r="AH15" s="13" t="e">
        <f t="shared" si="9"/>
        <v>#DIV/0!</v>
      </c>
      <c r="AI15" s="13" t="e">
        <f t="shared" si="10"/>
        <v>#DIV/0!</v>
      </c>
      <c r="AJ15" s="10" t="e">
        <f t="shared" si="11"/>
        <v>#DIV/0!</v>
      </c>
      <c r="AK15" s="6" t="e">
        <f t="shared" si="12"/>
        <v>#DIV/0!</v>
      </c>
      <c r="AL15" s="6" t="e">
        <f t="shared" si="13"/>
        <v>#DIV/0!</v>
      </c>
      <c r="AM15" s="6" t="e">
        <f t="shared" si="14"/>
        <v>#DIV/0!</v>
      </c>
      <c r="AN15" s="6" t="e">
        <f t="shared" si="15"/>
        <v>#DIV/0!</v>
      </c>
      <c r="AO15" s="57" t="e">
        <f t="shared" si="16"/>
        <v>#DIV/0!</v>
      </c>
      <c r="AP15" s="57" t="e">
        <f t="shared" ref="AP15:AP78" si="20">ROUND(AD15/(IF($D$12="CO9",$D$13,0)+IF($E$12="CO9",$E$13,0)+IF($F$12="CO9",$F$13,0)+IF($G$12="CO9",$G$13,0)+IF($H$12="CO9",$H$13,0)+IF($I$12="CO9",$I$13,0)+IF($J$12="CO9",$J$13,0)+IF($K$12="CO9",$K$13,0)+IF($L$12="CO9",$L$13,0)+IF($M$12="CO9",$M$13,0)+IF($N$12="CO9",$N$13,0)+IF($O$12="CO9",$O$13,0)+IF($P$12="CO9",$P$13,0)+IF($Q$12="CO9",$Q$13,0)+IF($R$12="CO9",$R$13,0)+IF($S$12="CO9",$S$13,0)+IF($T$12="CO9",$T$13,0))*100,2)</f>
        <v>#DIV/0!</v>
      </c>
      <c r="AQ15" s="57" t="e">
        <f t="shared" ref="AQ15:AQ78" si="21">ROUND(AE15/(IF($D$12="CO10",$D$13,0)+IF($E$12="CO10",$E$13,0)+IF($F$12="CO10",$F$13,0)+IF($G$12="CO10",$G$13,0)+IF($H$12="CO10",$H$13,0)+IF($I$12="CO10",$I$13,0)+IF($J$12="CO10",$J$13,0)+IF($K$12="CO10",$K$13,0)+IF($L$12="CO10",$L$13,0)+IF($M$12="CO10",$M$13,0)+IF($N$12="CO10",$N$13,0)+IF($O$12="CO10",$O$13,0)+IF($P$12="CO10",$P$13,0)+IF($Q$12="CO10",$Q$13,0)+IF($R$12="CO10",$R$13,0)+IF($S$12="CO10",$S$13,0)+IF($T$12="CO10",$T$13,0))*100,2)</f>
        <v>#DIV/0!</v>
      </c>
      <c r="AR15" s="57" t="e">
        <f t="shared" ref="AR15:AR78" si="22">ROUND(AF15/(IF($D$12="CO11",$D$13,0)+IF($E$12="CO11",$E$13,0)+IF($F$12="CO11",$F$13,0)+IF($G$12="CO11",$G$13,0)+IF($H$12="CO11",$H$13,0)+IF($I$12="CO11",$I$13,0)+IF($J$12="CO11",$J$13,0)+IF($K$12="CO11",$K$13,0)+IF($L$12="CO11",$L$13,0)+IF($M$12="CO11",$M$13,0)+IF($N$12="CO11",$N$13,0)+IF($O$12="CO11",$O$13,0)+IF($P$12="CO11",$P$13,0)+IF($Q$12="CO11",$Q$13,0)+IF($R$12="CO11",$R$13,0)+IF($S$12="CO11",$S$13,0)+IF($T$12="CO11",$T$13,0))*100,2)</f>
        <v>#DIV/0!</v>
      </c>
      <c r="AS15" s="57" t="e">
        <f t="shared" ref="AS15:AS78" si="23">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2">
        <v>0</v>
      </c>
      <c r="B16" s="12"/>
      <c r="C16" s="202"/>
      <c r="D16" s="12"/>
      <c r="E16" s="12"/>
      <c r="F16" s="12"/>
      <c r="G16" s="12"/>
      <c r="H16" s="12"/>
      <c r="I16" s="12"/>
      <c r="J16" s="12"/>
      <c r="K16" s="12"/>
      <c r="L16" s="12"/>
      <c r="M16" s="12"/>
      <c r="N16" s="12"/>
      <c r="O16" s="12"/>
      <c r="P16" s="12"/>
      <c r="Q16" s="12"/>
      <c r="R16" s="12"/>
      <c r="S16" s="12"/>
      <c r="T16" s="12"/>
      <c r="U16" s="13">
        <f t="shared" si="0"/>
        <v>0</v>
      </c>
      <c r="V16" s="13">
        <f t="shared" si="1"/>
        <v>0</v>
      </c>
      <c r="W16" s="13">
        <f t="shared" si="2"/>
        <v>0</v>
      </c>
      <c r="X16" s="13">
        <f t="shared" si="3"/>
        <v>0</v>
      </c>
      <c r="Y16" s="13">
        <f t="shared" si="4"/>
        <v>0</v>
      </c>
      <c r="Z16" s="13">
        <f t="shared" si="5"/>
        <v>0</v>
      </c>
      <c r="AA16" s="13">
        <f t="shared" si="6"/>
        <v>0</v>
      </c>
      <c r="AB16" s="13">
        <f t="shared" si="7"/>
        <v>0</v>
      </c>
      <c r="AC16" s="23">
        <f t="shared" ref="AC16:AC79" si="24">IF($D$12="CO8",D16,0)+IF($E$12="CO8",E16,0)+IF($F$12="CO8",F16,0)+IF($G$12="CO8",G16,0)+IF($H$12="CO8",H16,0)+IF($I$12="CO8",I16,0)+IF($J$12="CO8",J16,0)+IF($K$12="CO8",K16,0)+IF($L$12="CO8",L16,0)+IF($M$12="CO8",M16,0)+IF($N$12="CO8",N16,0)+IF($O$12="CO8",O16,0)+IF($P$12="CO8",P16,0)+IF($Q$12="CO8",Q16,0)+IF($R$12="CO8",R16,0)+IF($S$12="CO8",S16,0)+IF($T$12="CO8",T16,0)</f>
        <v>0</v>
      </c>
      <c r="AD16" s="23">
        <f t="shared" si="8"/>
        <v>0</v>
      </c>
      <c r="AE16" s="23">
        <f t="shared" si="17"/>
        <v>0</v>
      </c>
      <c r="AF16" s="23">
        <f t="shared" si="18"/>
        <v>0</v>
      </c>
      <c r="AG16" s="23">
        <f t="shared" si="19"/>
        <v>0</v>
      </c>
      <c r="AH16" s="13" t="e">
        <f t="shared" si="9"/>
        <v>#DIV/0!</v>
      </c>
      <c r="AI16" s="13" t="e">
        <f t="shared" si="10"/>
        <v>#DIV/0!</v>
      </c>
      <c r="AJ16" s="10" t="e">
        <f t="shared" si="11"/>
        <v>#DIV/0!</v>
      </c>
      <c r="AK16" s="6" t="e">
        <f t="shared" si="12"/>
        <v>#DIV/0!</v>
      </c>
      <c r="AL16" s="6" t="e">
        <f t="shared" si="13"/>
        <v>#DIV/0!</v>
      </c>
      <c r="AM16" s="6" t="e">
        <f t="shared" si="14"/>
        <v>#DIV/0!</v>
      </c>
      <c r="AN16" s="6" t="e">
        <f t="shared" si="15"/>
        <v>#DIV/0!</v>
      </c>
      <c r="AO16" s="57" t="e">
        <f t="shared" si="16"/>
        <v>#DIV/0!</v>
      </c>
      <c r="AP16" s="57" t="e">
        <f t="shared" si="20"/>
        <v>#DIV/0!</v>
      </c>
      <c r="AQ16" s="57" t="e">
        <f t="shared" si="21"/>
        <v>#DIV/0!</v>
      </c>
      <c r="AR16" s="57" t="e">
        <f t="shared" si="22"/>
        <v>#DIV/0!</v>
      </c>
      <c r="AS16" s="57" t="e">
        <f t="shared" si="23"/>
        <v>#DIV/0!</v>
      </c>
    </row>
    <row r="17" spans="1:45" ht="33" hidden="1" customHeight="1">
      <c r="A17" s="22">
        <v>0</v>
      </c>
      <c r="B17" s="12"/>
      <c r="C17" s="202"/>
      <c r="D17" s="12"/>
      <c r="E17" s="12"/>
      <c r="F17" s="12"/>
      <c r="G17" s="12"/>
      <c r="H17" s="12"/>
      <c r="I17" s="12"/>
      <c r="J17" s="12"/>
      <c r="K17" s="12"/>
      <c r="L17" s="12"/>
      <c r="M17" s="12"/>
      <c r="N17" s="12"/>
      <c r="O17" s="12"/>
      <c r="P17" s="12"/>
      <c r="Q17" s="12"/>
      <c r="R17" s="12"/>
      <c r="S17" s="12"/>
      <c r="T17" s="12"/>
      <c r="U17" s="13">
        <f t="shared" si="0"/>
        <v>0</v>
      </c>
      <c r="V17" s="13">
        <f t="shared" si="1"/>
        <v>0</v>
      </c>
      <c r="W17" s="13">
        <f t="shared" si="2"/>
        <v>0</v>
      </c>
      <c r="X17" s="13">
        <f t="shared" si="3"/>
        <v>0</v>
      </c>
      <c r="Y17" s="13">
        <f t="shared" si="4"/>
        <v>0</v>
      </c>
      <c r="Z17" s="13">
        <f t="shared" si="5"/>
        <v>0</v>
      </c>
      <c r="AA17" s="13">
        <f t="shared" si="6"/>
        <v>0</v>
      </c>
      <c r="AB17" s="13">
        <f t="shared" si="7"/>
        <v>0</v>
      </c>
      <c r="AC17" s="23">
        <f t="shared" si="24"/>
        <v>0</v>
      </c>
      <c r="AD17" s="23">
        <f t="shared" si="8"/>
        <v>0</v>
      </c>
      <c r="AE17" s="23">
        <f t="shared" si="17"/>
        <v>0</v>
      </c>
      <c r="AF17" s="23">
        <f t="shared" si="18"/>
        <v>0</v>
      </c>
      <c r="AG17" s="23">
        <f t="shared" si="19"/>
        <v>0</v>
      </c>
      <c r="AH17" s="13" t="e">
        <f t="shared" si="9"/>
        <v>#DIV/0!</v>
      </c>
      <c r="AI17" s="13" t="e">
        <f t="shared" si="10"/>
        <v>#DIV/0!</v>
      </c>
      <c r="AJ17" s="10" t="e">
        <f t="shared" si="11"/>
        <v>#DIV/0!</v>
      </c>
      <c r="AK17" s="6" t="e">
        <f t="shared" si="12"/>
        <v>#DIV/0!</v>
      </c>
      <c r="AL17" s="6" t="e">
        <f t="shared" si="13"/>
        <v>#DIV/0!</v>
      </c>
      <c r="AM17" s="6" t="e">
        <f t="shared" si="14"/>
        <v>#DIV/0!</v>
      </c>
      <c r="AN17" s="6" t="e">
        <f t="shared" si="15"/>
        <v>#DIV/0!</v>
      </c>
      <c r="AO17" s="57" t="e">
        <f t="shared" si="16"/>
        <v>#DIV/0!</v>
      </c>
      <c r="AP17" s="57" t="e">
        <f t="shared" si="20"/>
        <v>#DIV/0!</v>
      </c>
      <c r="AQ17" s="57" t="e">
        <f t="shared" si="21"/>
        <v>#DIV/0!</v>
      </c>
      <c r="AR17" s="57" t="e">
        <f t="shared" si="22"/>
        <v>#DIV/0!</v>
      </c>
      <c r="AS17" s="57" t="e">
        <f t="shared" si="23"/>
        <v>#DIV/0!</v>
      </c>
    </row>
    <row r="18" spans="1:45" ht="33" hidden="1" customHeight="1">
      <c r="A18" s="22">
        <v>0</v>
      </c>
      <c r="B18" s="12"/>
      <c r="C18" s="202"/>
      <c r="D18" s="12"/>
      <c r="E18" s="12"/>
      <c r="F18" s="12"/>
      <c r="G18" s="12"/>
      <c r="H18" s="12"/>
      <c r="I18" s="12"/>
      <c r="J18" s="12"/>
      <c r="K18" s="12"/>
      <c r="L18" s="12"/>
      <c r="M18" s="12"/>
      <c r="N18" s="12"/>
      <c r="O18" s="12"/>
      <c r="P18" s="12"/>
      <c r="Q18" s="12"/>
      <c r="R18" s="12"/>
      <c r="S18" s="12"/>
      <c r="T18" s="12"/>
      <c r="U18" s="13">
        <f t="shared" si="0"/>
        <v>0</v>
      </c>
      <c r="V18" s="13">
        <f t="shared" si="1"/>
        <v>0</v>
      </c>
      <c r="W18" s="13">
        <f t="shared" si="2"/>
        <v>0</v>
      </c>
      <c r="X18" s="13">
        <f t="shared" si="3"/>
        <v>0</v>
      </c>
      <c r="Y18" s="13">
        <f t="shared" si="4"/>
        <v>0</v>
      </c>
      <c r="Z18" s="13">
        <f t="shared" si="5"/>
        <v>0</v>
      </c>
      <c r="AA18" s="13">
        <f t="shared" si="6"/>
        <v>0</v>
      </c>
      <c r="AB18" s="13">
        <f t="shared" si="7"/>
        <v>0</v>
      </c>
      <c r="AC18" s="23">
        <f t="shared" si="24"/>
        <v>0</v>
      </c>
      <c r="AD18" s="23">
        <f t="shared" si="8"/>
        <v>0</v>
      </c>
      <c r="AE18" s="23">
        <f t="shared" si="17"/>
        <v>0</v>
      </c>
      <c r="AF18" s="23">
        <f t="shared" si="18"/>
        <v>0</v>
      </c>
      <c r="AG18" s="23">
        <f t="shared" si="19"/>
        <v>0</v>
      </c>
      <c r="AH18" s="13" t="e">
        <f t="shared" si="9"/>
        <v>#DIV/0!</v>
      </c>
      <c r="AI18" s="13" t="e">
        <f t="shared" si="10"/>
        <v>#DIV/0!</v>
      </c>
      <c r="AJ18" s="10" t="e">
        <f t="shared" si="11"/>
        <v>#DIV/0!</v>
      </c>
      <c r="AK18" s="6" t="e">
        <f t="shared" si="12"/>
        <v>#DIV/0!</v>
      </c>
      <c r="AL18" s="6" t="e">
        <f t="shared" si="13"/>
        <v>#DIV/0!</v>
      </c>
      <c r="AM18" s="6" t="e">
        <f t="shared" si="14"/>
        <v>#DIV/0!</v>
      </c>
      <c r="AN18" s="6" t="e">
        <f t="shared" si="15"/>
        <v>#DIV/0!</v>
      </c>
      <c r="AO18" s="57" t="e">
        <f t="shared" si="16"/>
        <v>#DIV/0!</v>
      </c>
      <c r="AP18" s="57" t="e">
        <f t="shared" si="20"/>
        <v>#DIV/0!</v>
      </c>
      <c r="AQ18" s="57" t="e">
        <f t="shared" si="21"/>
        <v>#DIV/0!</v>
      </c>
      <c r="AR18" s="57" t="e">
        <f t="shared" si="22"/>
        <v>#DIV/0!</v>
      </c>
      <c r="AS18" s="57" t="e">
        <f t="shared" si="23"/>
        <v>#DIV/0!</v>
      </c>
    </row>
    <row r="19" spans="1:45" ht="33" hidden="1" customHeight="1">
      <c r="A19" s="22">
        <v>0</v>
      </c>
      <c r="B19" s="12"/>
      <c r="C19" s="202"/>
      <c r="D19" s="12"/>
      <c r="E19" s="12"/>
      <c r="F19" s="12"/>
      <c r="G19" s="12"/>
      <c r="H19" s="12"/>
      <c r="I19" s="12"/>
      <c r="J19" s="12"/>
      <c r="K19" s="12"/>
      <c r="L19" s="12"/>
      <c r="M19" s="12"/>
      <c r="N19" s="12"/>
      <c r="O19" s="12"/>
      <c r="P19" s="12"/>
      <c r="Q19" s="12"/>
      <c r="R19" s="12"/>
      <c r="S19" s="12"/>
      <c r="T19" s="12"/>
      <c r="U19" s="13">
        <f t="shared" si="0"/>
        <v>0</v>
      </c>
      <c r="V19" s="13">
        <f t="shared" si="1"/>
        <v>0</v>
      </c>
      <c r="W19" s="13">
        <f t="shared" si="2"/>
        <v>0</v>
      </c>
      <c r="X19" s="13">
        <f t="shared" si="3"/>
        <v>0</v>
      </c>
      <c r="Y19" s="13">
        <f t="shared" si="4"/>
        <v>0</v>
      </c>
      <c r="Z19" s="13">
        <f t="shared" si="5"/>
        <v>0</v>
      </c>
      <c r="AA19" s="13">
        <f t="shared" si="6"/>
        <v>0</v>
      </c>
      <c r="AB19" s="13">
        <f t="shared" si="7"/>
        <v>0</v>
      </c>
      <c r="AC19" s="23">
        <f t="shared" si="24"/>
        <v>0</v>
      </c>
      <c r="AD19" s="23">
        <f t="shared" si="8"/>
        <v>0</v>
      </c>
      <c r="AE19" s="23">
        <f t="shared" si="17"/>
        <v>0</v>
      </c>
      <c r="AF19" s="23">
        <f t="shared" si="18"/>
        <v>0</v>
      </c>
      <c r="AG19" s="23">
        <f t="shared" si="19"/>
        <v>0</v>
      </c>
      <c r="AH19" s="13" t="e">
        <f t="shared" si="9"/>
        <v>#DIV/0!</v>
      </c>
      <c r="AI19" s="13" t="e">
        <f t="shared" si="10"/>
        <v>#DIV/0!</v>
      </c>
      <c r="AJ19" s="10" t="e">
        <f t="shared" si="11"/>
        <v>#DIV/0!</v>
      </c>
      <c r="AK19" s="6" t="e">
        <f t="shared" si="12"/>
        <v>#DIV/0!</v>
      </c>
      <c r="AL19" s="6" t="e">
        <f t="shared" si="13"/>
        <v>#DIV/0!</v>
      </c>
      <c r="AM19" s="6" t="e">
        <f t="shared" si="14"/>
        <v>#DIV/0!</v>
      </c>
      <c r="AN19" s="6" t="e">
        <f t="shared" si="15"/>
        <v>#DIV/0!</v>
      </c>
      <c r="AO19" s="57" t="e">
        <f t="shared" si="16"/>
        <v>#DIV/0!</v>
      </c>
      <c r="AP19" s="57" t="e">
        <f t="shared" si="20"/>
        <v>#DIV/0!</v>
      </c>
      <c r="AQ19" s="57" t="e">
        <f t="shared" si="21"/>
        <v>#DIV/0!</v>
      </c>
      <c r="AR19" s="57" t="e">
        <f t="shared" si="22"/>
        <v>#DIV/0!</v>
      </c>
      <c r="AS19" s="57" t="e">
        <f t="shared" si="23"/>
        <v>#DIV/0!</v>
      </c>
    </row>
    <row r="20" spans="1:45" ht="33" hidden="1" customHeight="1">
      <c r="A20" s="22">
        <v>0</v>
      </c>
      <c r="B20" s="12"/>
      <c r="C20" s="202"/>
      <c r="D20" s="12"/>
      <c r="E20" s="12"/>
      <c r="F20" s="12"/>
      <c r="G20" s="12"/>
      <c r="H20" s="12"/>
      <c r="I20" s="12"/>
      <c r="J20" s="12"/>
      <c r="K20" s="12"/>
      <c r="L20" s="12"/>
      <c r="M20" s="12"/>
      <c r="N20" s="12"/>
      <c r="O20" s="12"/>
      <c r="P20" s="12"/>
      <c r="Q20" s="12"/>
      <c r="R20" s="12"/>
      <c r="S20" s="12"/>
      <c r="T20" s="12"/>
      <c r="U20" s="13">
        <f t="shared" si="0"/>
        <v>0</v>
      </c>
      <c r="V20" s="13">
        <f t="shared" si="1"/>
        <v>0</v>
      </c>
      <c r="W20" s="13">
        <f t="shared" si="2"/>
        <v>0</v>
      </c>
      <c r="X20" s="13">
        <f t="shared" si="3"/>
        <v>0</v>
      </c>
      <c r="Y20" s="13">
        <f t="shared" si="4"/>
        <v>0</v>
      </c>
      <c r="Z20" s="13">
        <f t="shared" si="5"/>
        <v>0</v>
      </c>
      <c r="AA20" s="13">
        <f t="shared" si="6"/>
        <v>0</v>
      </c>
      <c r="AB20" s="13">
        <f t="shared" si="7"/>
        <v>0</v>
      </c>
      <c r="AC20" s="23">
        <f t="shared" si="24"/>
        <v>0</v>
      </c>
      <c r="AD20" s="23">
        <f t="shared" si="8"/>
        <v>0</v>
      </c>
      <c r="AE20" s="23">
        <f t="shared" si="17"/>
        <v>0</v>
      </c>
      <c r="AF20" s="23">
        <f t="shared" si="18"/>
        <v>0</v>
      </c>
      <c r="AG20" s="23">
        <f t="shared" si="19"/>
        <v>0</v>
      </c>
      <c r="AH20" s="13" t="e">
        <f t="shared" si="9"/>
        <v>#DIV/0!</v>
      </c>
      <c r="AI20" s="13" t="e">
        <f t="shared" si="10"/>
        <v>#DIV/0!</v>
      </c>
      <c r="AJ20" s="10" t="e">
        <f t="shared" si="11"/>
        <v>#DIV/0!</v>
      </c>
      <c r="AK20" s="6" t="e">
        <f t="shared" si="12"/>
        <v>#DIV/0!</v>
      </c>
      <c r="AL20" s="6" t="e">
        <f t="shared" si="13"/>
        <v>#DIV/0!</v>
      </c>
      <c r="AM20" s="6" t="e">
        <f t="shared" si="14"/>
        <v>#DIV/0!</v>
      </c>
      <c r="AN20" s="6" t="e">
        <f t="shared" si="15"/>
        <v>#DIV/0!</v>
      </c>
      <c r="AO20" s="57" t="e">
        <f t="shared" si="16"/>
        <v>#DIV/0!</v>
      </c>
      <c r="AP20" s="57" t="e">
        <f t="shared" si="20"/>
        <v>#DIV/0!</v>
      </c>
      <c r="AQ20" s="57" t="e">
        <f t="shared" si="21"/>
        <v>#DIV/0!</v>
      </c>
      <c r="AR20" s="57" t="e">
        <f t="shared" si="22"/>
        <v>#DIV/0!</v>
      </c>
      <c r="AS20" s="57" t="e">
        <f t="shared" si="23"/>
        <v>#DIV/0!</v>
      </c>
    </row>
    <row r="21" spans="1:45" ht="33" hidden="1" customHeight="1">
      <c r="A21" s="22">
        <v>0</v>
      </c>
      <c r="B21" s="12"/>
      <c r="C21" s="202"/>
      <c r="D21" s="12"/>
      <c r="E21" s="12"/>
      <c r="F21" s="12"/>
      <c r="G21" s="12"/>
      <c r="H21" s="12"/>
      <c r="I21" s="12"/>
      <c r="J21" s="12"/>
      <c r="K21" s="12"/>
      <c r="L21" s="12"/>
      <c r="M21" s="12"/>
      <c r="N21" s="12"/>
      <c r="O21" s="12"/>
      <c r="P21" s="12"/>
      <c r="Q21" s="12"/>
      <c r="R21" s="12"/>
      <c r="S21" s="12"/>
      <c r="T21" s="12"/>
      <c r="U21" s="13">
        <f t="shared" si="0"/>
        <v>0</v>
      </c>
      <c r="V21" s="13">
        <f t="shared" si="1"/>
        <v>0</v>
      </c>
      <c r="W21" s="13">
        <f t="shared" si="2"/>
        <v>0</v>
      </c>
      <c r="X21" s="13">
        <f t="shared" si="3"/>
        <v>0</v>
      </c>
      <c r="Y21" s="13">
        <f t="shared" si="4"/>
        <v>0</v>
      </c>
      <c r="Z21" s="13">
        <f t="shared" si="5"/>
        <v>0</v>
      </c>
      <c r="AA21" s="13">
        <f t="shared" si="6"/>
        <v>0</v>
      </c>
      <c r="AB21" s="13">
        <f t="shared" si="7"/>
        <v>0</v>
      </c>
      <c r="AC21" s="23">
        <f t="shared" si="24"/>
        <v>0</v>
      </c>
      <c r="AD21" s="23">
        <f t="shared" si="8"/>
        <v>0</v>
      </c>
      <c r="AE21" s="23">
        <f t="shared" si="17"/>
        <v>0</v>
      </c>
      <c r="AF21" s="23">
        <f t="shared" si="18"/>
        <v>0</v>
      </c>
      <c r="AG21" s="23">
        <f t="shared" si="19"/>
        <v>0</v>
      </c>
      <c r="AH21" s="13" t="e">
        <f t="shared" si="9"/>
        <v>#DIV/0!</v>
      </c>
      <c r="AI21" s="13" t="e">
        <f t="shared" si="10"/>
        <v>#DIV/0!</v>
      </c>
      <c r="AJ21" s="10" t="e">
        <f t="shared" si="11"/>
        <v>#DIV/0!</v>
      </c>
      <c r="AK21" s="6" t="e">
        <f t="shared" si="12"/>
        <v>#DIV/0!</v>
      </c>
      <c r="AL21" s="6" t="e">
        <f t="shared" si="13"/>
        <v>#DIV/0!</v>
      </c>
      <c r="AM21" s="6" t="e">
        <f t="shared" si="14"/>
        <v>#DIV/0!</v>
      </c>
      <c r="AN21" s="6" t="e">
        <f t="shared" si="15"/>
        <v>#DIV/0!</v>
      </c>
      <c r="AO21" s="57" t="e">
        <f t="shared" si="16"/>
        <v>#DIV/0!</v>
      </c>
      <c r="AP21" s="57" t="e">
        <f t="shared" si="20"/>
        <v>#DIV/0!</v>
      </c>
      <c r="AQ21" s="57" t="e">
        <f t="shared" si="21"/>
        <v>#DIV/0!</v>
      </c>
      <c r="AR21" s="57" t="e">
        <f t="shared" si="22"/>
        <v>#DIV/0!</v>
      </c>
      <c r="AS21" s="57" t="e">
        <f t="shared" si="23"/>
        <v>#DIV/0!</v>
      </c>
    </row>
    <row r="22" spans="1:45" ht="33" hidden="1" customHeight="1">
      <c r="A22" s="22">
        <v>0</v>
      </c>
      <c r="B22" s="12"/>
      <c r="C22" s="202"/>
      <c r="D22" s="12"/>
      <c r="E22" s="12"/>
      <c r="F22" s="12"/>
      <c r="G22" s="12"/>
      <c r="H22" s="12"/>
      <c r="I22" s="12"/>
      <c r="J22" s="12"/>
      <c r="K22" s="12"/>
      <c r="L22" s="12"/>
      <c r="M22" s="12"/>
      <c r="N22" s="12"/>
      <c r="O22" s="12"/>
      <c r="P22" s="12"/>
      <c r="Q22" s="12"/>
      <c r="R22" s="12"/>
      <c r="S22" s="12"/>
      <c r="T22" s="12"/>
      <c r="U22" s="13">
        <f t="shared" si="0"/>
        <v>0</v>
      </c>
      <c r="V22" s="13">
        <f t="shared" si="1"/>
        <v>0</v>
      </c>
      <c r="W22" s="13">
        <f t="shared" si="2"/>
        <v>0</v>
      </c>
      <c r="X22" s="13">
        <f t="shared" si="3"/>
        <v>0</v>
      </c>
      <c r="Y22" s="13">
        <f t="shared" si="4"/>
        <v>0</v>
      </c>
      <c r="Z22" s="13">
        <f t="shared" si="5"/>
        <v>0</v>
      </c>
      <c r="AA22" s="13">
        <f t="shared" si="6"/>
        <v>0</v>
      </c>
      <c r="AB22" s="13">
        <f t="shared" si="7"/>
        <v>0</v>
      </c>
      <c r="AC22" s="23">
        <f t="shared" si="24"/>
        <v>0</v>
      </c>
      <c r="AD22" s="23">
        <f t="shared" si="8"/>
        <v>0</v>
      </c>
      <c r="AE22" s="23">
        <f t="shared" si="17"/>
        <v>0</v>
      </c>
      <c r="AF22" s="23">
        <f t="shared" si="18"/>
        <v>0</v>
      </c>
      <c r="AG22" s="23">
        <f t="shared" si="19"/>
        <v>0</v>
      </c>
      <c r="AH22" s="13" t="e">
        <f t="shared" si="9"/>
        <v>#DIV/0!</v>
      </c>
      <c r="AI22" s="13" t="e">
        <f t="shared" si="10"/>
        <v>#DIV/0!</v>
      </c>
      <c r="AJ22" s="10" t="e">
        <f t="shared" si="11"/>
        <v>#DIV/0!</v>
      </c>
      <c r="AK22" s="6" t="e">
        <f t="shared" si="12"/>
        <v>#DIV/0!</v>
      </c>
      <c r="AL22" s="6" t="e">
        <f t="shared" si="13"/>
        <v>#DIV/0!</v>
      </c>
      <c r="AM22" s="6" t="e">
        <f t="shared" si="14"/>
        <v>#DIV/0!</v>
      </c>
      <c r="AN22" s="6" t="e">
        <f t="shared" si="15"/>
        <v>#DIV/0!</v>
      </c>
      <c r="AO22" s="57" t="e">
        <f t="shared" si="16"/>
        <v>#DIV/0!</v>
      </c>
      <c r="AP22" s="57" t="e">
        <f t="shared" si="20"/>
        <v>#DIV/0!</v>
      </c>
      <c r="AQ22" s="57" t="e">
        <f t="shared" si="21"/>
        <v>#DIV/0!</v>
      </c>
      <c r="AR22" s="57" t="e">
        <f t="shared" si="22"/>
        <v>#DIV/0!</v>
      </c>
      <c r="AS22" s="57" t="e">
        <f t="shared" si="23"/>
        <v>#DIV/0!</v>
      </c>
    </row>
    <row r="23" spans="1:45" ht="33" hidden="1" customHeight="1">
      <c r="A23" s="22">
        <v>0</v>
      </c>
      <c r="B23" s="12"/>
      <c r="C23" s="202"/>
      <c r="D23" s="12"/>
      <c r="E23" s="12"/>
      <c r="F23" s="12"/>
      <c r="G23" s="12"/>
      <c r="H23" s="12"/>
      <c r="I23" s="12"/>
      <c r="J23" s="12"/>
      <c r="K23" s="12"/>
      <c r="L23" s="12"/>
      <c r="M23" s="12"/>
      <c r="N23" s="12"/>
      <c r="O23" s="12"/>
      <c r="P23" s="12"/>
      <c r="Q23" s="12"/>
      <c r="R23" s="12"/>
      <c r="S23" s="12"/>
      <c r="T23" s="12"/>
      <c r="U23" s="13">
        <f t="shared" si="0"/>
        <v>0</v>
      </c>
      <c r="V23" s="13">
        <f t="shared" si="1"/>
        <v>0</v>
      </c>
      <c r="W23" s="13">
        <f t="shared" si="2"/>
        <v>0</v>
      </c>
      <c r="X23" s="13">
        <f t="shared" si="3"/>
        <v>0</v>
      </c>
      <c r="Y23" s="13">
        <f t="shared" si="4"/>
        <v>0</v>
      </c>
      <c r="Z23" s="13">
        <f t="shared" si="5"/>
        <v>0</v>
      </c>
      <c r="AA23" s="13">
        <f t="shared" si="6"/>
        <v>0</v>
      </c>
      <c r="AB23" s="13">
        <f t="shared" si="7"/>
        <v>0</v>
      </c>
      <c r="AC23" s="23">
        <f t="shared" si="24"/>
        <v>0</v>
      </c>
      <c r="AD23" s="23">
        <f t="shared" si="8"/>
        <v>0</v>
      </c>
      <c r="AE23" s="23">
        <f t="shared" si="17"/>
        <v>0</v>
      </c>
      <c r="AF23" s="23">
        <f t="shared" si="18"/>
        <v>0</v>
      </c>
      <c r="AG23" s="23">
        <f t="shared" si="19"/>
        <v>0</v>
      </c>
      <c r="AH23" s="13" t="e">
        <f t="shared" si="9"/>
        <v>#DIV/0!</v>
      </c>
      <c r="AI23" s="13" t="e">
        <f t="shared" si="10"/>
        <v>#DIV/0!</v>
      </c>
      <c r="AJ23" s="10" t="e">
        <f t="shared" si="11"/>
        <v>#DIV/0!</v>
      </c>
      <c r="AK23" s="6" t="e">
        <f t="shared" si="12"/>
        <v>#DIV/0!</v>
      </c>
      <c r="AL23" s="6" t="e">
        <f t="shared" si="13"/>
        <v>#DIV/0!</v>
      </c>
      <c r="AM23" s="6" t="e">
        <f t="shared" si="14"/>
        <v>#DIV/0!</v>
      </c>
      <c r="AN23" s="6" t="e">
        <f t="shared" si="15"/>
        <v>#DIV/0!</v>
      </c>
      <c r="AO23" s="57" t="e">
        <f t="shared" si="16"/>
        <v>#DIV/0!</v>
      </c>
      <c r="AP23" s="57" t="e">
        <f t="shared" si="20"/>
        <v>#DIV/0!</v>
      </c>
      <c r="AQ23" s="57" t="e">
        <f t="shared" si="21"/>
        <v>#DIV/0!</v>
      </c>
      <c r="AR23" s="57" t="e">
        <f t="shared" si="22"/>
        <v>#DIV/0!</v>
      </c>
      <c r="AS23" s="57" t="e">
        <f t="shared" si="23"/>
        <v>#DIV/0!</v>
      </c>
    </row>
    <row r="24" spans="1:45" ht="33" hidden="1" customHeight="1">
      <c r="A24" s="22">
        <v>0</v>
      </c>
      <c r="B24" s="12"/>
      <c r="C24" s="203"/>
      <c r="D24" s="12"/>
      <c r="E24" s="12"/>
      <c r="F24" s="12"/>
      <c r="G24" s="12"/>
      <c r="H24" s="12"/>
      <c r="I24" s="12"/>
      <c r="J24" s="12"/>
      <c r="K24" s="12"/>
      <c r="L24" s="12"/>
      <c r="M24" s="12"/>
      <c r="N24" s="12"/>
      <c r="O24" s="12"/>
      <c r="P24" s="12"/>
      <c r="Q24" s="12"/>
      <c r="R24" s="12"/>
      <c r="S24" s="12"/>
      <c r="T24" s="12"/>
      <c r="U24" s="13">
        <f t="shared" si="0"/>
        <v>0</v>
      </c>
      <c r="V24" s="13">
        <f t="shared" si="1"/>
        <v>0</v>
      </c>
      <c r="W24" s="13">
        <f t="shared" si="2"/>
        <v>0</v>
      </c>
      <c r="X24" s="13">
        <f t="shared" si="3"/>
        <v>0</v>
      </c>
      <c r="Y24" s="13">
        <f t="shared" si="4"/>
        <v>0</v>
      </c>
      <c r="Z24" s="13">
        <f t="shared" si="5"/>
        <v>0</v>
      </c>
      <c r="AA24" s="13">
        <f t="shared" si="6"/>
        <v>0</v>
      </c>
      <c r="AB24" s="13">
        <f t="shared" si="7"/>
        <v>0</v>
      </c>
      <c r="AC24" s="23">
        <f t="shared" si="24"/>
        <v>0</v>
      </c>
      <c r="AD24" s="23">
        <f t="shared" si="8"/>
        <v>0</v>
      </c>
      <c r="AE24" s="23">
        <f t="shared" si="17"/>
        <v>0</v>
      </c>
      <c r="AF24" s="23">
        <f t="shared" si="18"/>
        <v>0</v>
      </c>
      <c r="AG24" s="23">
        <f t="shared" si="19"/>
        <v>0</v>
      </c>
      <c r="AH24" s="13" t="e">
        <f t="shared" si="9"/>
        <v>#DIV/0!</v>
      </c>
      <c r="AI24" s="13" t="e">
        <f t="shared" si="10"/>
        <v>#DIV/0!</v>
      </c>
      <c r="AJ24" s="10" t="e">
        <f t="shared" si="11"/>
        <v>#DIV/0!</v>
      </c>
      <c r="AK24" s="6" t="e">
        <f t="shared" si="12"/>
        <v>#DIV/0!</v>
      </c>
      <c r="AL24" s="6" t="e">
        <f t="shared" si="13"/>
        <v>#DIV/0!</v>
      </c>
      <c r="AM24" s="6" t="e">
        <f t="shared" si="14"/>
        <v>#DIV/0!</v>
      </c>
      <c r="AN24" s="6" t="e">
        <f t="shared" si="15"/>
        <v>#DIV/0!</v>
      </c>
      <c r="AO24" s="57" t="e">
        <f t="shared" si="16"/>
        <v>#DIV/0!</v>
      </c>
      <c r="AP24" s="57" t="e">
        <f t="shared" si="20"/>
        <v>#DIV/0!</v>
      </c>
      <c r="AQ24" s="57" t="e">
        <f t="shared" si="21"/>
        <v>#DIV/0!</v>
      </c>
      <c r="AR24" s="57" t="e">
        <f t="shared" si="22"/>
        <v>#DIV/0!</v>
      </c>
      <c r="AS24" s="57" t="e">
        <f t="shared" si="23"/>
        <v>#DIV/0!</v>
      </c>
    </row>
    <row r="25" spans="1:45" ht="33" hidden="1" customHeight="1">
      <c r="A25" s="22">
        <v>0</v>
      </c>
      <c r="B25" s="12"/>
      <c r="C25" s="203"/>
      <c r="D25" s="12"/>
      <c r="E25" s="12"/>
      <c r="F25" s="12"/>
      <c r="G25" s="12"/>
      <c r="H25" s="12"/>
      <c r="I25" s="12"/>
      <c r="J25" s="12"/>
      <c r="K25" s="12"/>
      <c r="L25" s="12"/>
      <c r="M25" s="12"/>
      <c r="N25" s="12"/>
      <c r="O25" s="12"/>
      <c r="P25" s="12"/>
      <c r="Q25" s="12"/>
      <c r="R25" s="12"/>
      <c r="S25" s="12"/>
      <c r="T25" s="12"/>
      <c r="U25" s="13">
        <f t="shared" si="0"/>
        <v>0</v>
      </c>
      <c r="V25" s="13">
        <f t="shared" si="1"/>
        <v>0</v>
      </c>
      <c r="W25" s="13">
        <f t="shared" si="2"/>
        <v>0</v>
      </c>
      <c r="X25" s="13">
        <f t="shared" si="3"/>
        <v>0</v>
      </c>
      <c r="Y25" s="13">
        <f t="shared" si="4"/>
        <v>0</v>
      </c>
      <c r="Z25" s="13">
        <f t="shared" si="5"/>
        <v>0</v>
      </c>
      <c r="AA25" s="13">
        <f t="shared" si="6"/>
        <v>0</v>
      </c>
      <c r="AB25" s="13">
        <f t="shared" si="7"/>
        <v>0</v>
      </c>
      <c r="AC25" s="23">
        <f t="shared" si="24"/>
        <v>0</v>
      </c>
      <c r="AD25" s="23">
        <f t="shared" si="8"/>
        <v>0</v>
      </c>
      <c r="AE25" s="23">
        <f t="shared" si="17"/>
        <v>0</v>
      </c>
      <c r="AF25" s="23">
        <f t="shared" si="18"/>
        <v>0</v>
      </c>
      <c r="AG25" s="23">
        <f t="shared" si="19"/>
        <v>0</v>
      </c>
      <c r="AH25" s="13" t="e">
        <f t="shared" si="9"/>
        <v>#DIV/0!</v>
      </c>
      <c r="AI25" s="13" t="e">
        <f t="shared" si="10"/>
        <v>#DIV/0!</v>
      </c>
      <c r="AJ25" s="10" t="e">
        <f t="shared" si="11"/>
        <v>#DIV/0!</v>
      </c>
      <c r="AK25" s="6" t="e">
        <f t="shared" si="12"/>
        <v>#DIV/0!</v>
      </c>
      <c r="AL25" s="6" t="e">
        <f t="shared" si="13"/>
        <v>#DIV/0!</v>
      </c>
      <c r="AM25" s="6" t="e">
        <f t="shared" si="14"/>
        <v>#DIV/0!</v>
      </c>
      <c r="AN25" s="6" t="e">
        <f t="shared" si="15"/>
        <v>#DIV/0!</v>
      </c>
      <c r="AO25" s="57" t="e">
        <f t="shared" si="16"/>
        <v>#DIV/0!</v>
      </c>
      <c r="AP25" s="57" t="e">
        <f t="shared" si="20"/>
        <v>#DIV/0!</v>
      </c>
      <c r="AQ25" s="57" t="e">
        <f t="shared" si="21"/>
        <v>#DIV/0!</v>
      </c>
      <c r="AR25" s="57" t="e">
        <f t="shared" si="22"/>
        <v>#DIV/0!</v>
      </c>
      <c r="AS25" s="57" t="e">
        <f t="shared" si="23"/>
        <v>#DIV/0!</v>
      </c>
    </row>
    <row r="26" spans="1:45" ht="33" hidden="1" customHeight="1">
      <c r="A26" s="22">
        <v>0</v>
      </c>
      <c r="B26" s="12"/>
      <c r="C26" s="203"/>
      <c r="D26" s="12"/>
      <c r="E26" s="12"/>
      <c r="F26" s="12"/>
      <c r="G26" s="12"/>
      <c r="H26" s="12"/>
      <c r="I26" s="12"/>
      <c r="J26" s="12"/>
      <c r="K26" s="12"/>
      <c r="L26" s="12"/>
      <c r="M26" s="12"/>
      <c r="N26" s="12"/>
      <c r="O26" s="12"/>
      <c r="P26" s="12"/>
      <c r="Q26" s="12"/>
      <c r="R26" s="12"/>
      <c r="S26" s="12"/>
      <c r="T26" s="12"/>
      <c r="U26" s="13">
        <f t="shared" si="0"/>
        <v>0</v>
      </c>
      <c r="V26" s="13">
        <f t="shared" si="1"/>
        <v>0</v>
      </c>
      <c r="W26" s="13">
        <f t="shared" si="2"/>
        <v>0</v>
      </c>
      <c r="X26" s="13">
        <f t="shared" si="3"/>
        <v>0</v>
      </c>
      <c r="Y26" s="13">
        <f t="shared" si="4"/>
        <v>0</v>
      </c>
      <c r="Z26" s="13">
        <f t="shared" si="5"/>
        <v>0</v>
      </c>
      <c r="AA26" s="13">
        <f t="shared" si="6"/>
        <v>0</v>
      </c>
      <c r="AB26" s="13">
        <f t="shared" si="7"/>
        <v>0</v>
      </c>
      <c r="AC26" s="23">
        <f t="shared" si="24"/>
        <v>0</v>
      </c>
      <c r="AD26" s="23">
        <f t="shared" si="8"/>
        <v>0</v>
      </c>
      <c r="AE26" s="23">
        <f t="shared" si="17"/>
        <v>0</v>
      </c>
      <c r="AF26" s="23">
        <f t="shared" si="18"/>
        <v>0</v>
      </c>
      <c r="AG26" s="23">
        <f t="shared" si="19"/>
        <v>0</v>
      </c>
      <c r="AH26" s="13" t="e">
        <f t="shared" si="9"/>
        <v>#DIV/0!</v>
      </c>
      <c r="AI26" s="13" t="e">
        <f t="shared" si="10"/>
        <v>#DIV/0!</v>
      </c>
      <c r="AJ26" s="10" t="e">
        <f t="shared" si="11"/>
        <v>#DIV/0!</v>
      </c>
      <c r="AK26" s="6" t="e">
        <f t="shared" si="12"/>
        <v>#DIV/0!</v>
      </c>
      <c r="AL26" s="6" t="e">
        <f t="shared" si="13"/>
        <v>#DIV/0!</v>
      </c>
      <c r="AM26" s="6" t="e">
        <f t="shared" si="14"/>
        <v>#DIV/0!</v>
      </c>
      <c r="AN26" s="6" t="e">
        <f t="shared" si="15"/>
        <v>#DIV/0!</v>
      </c>
      <c r="AO26" s="57" t="e">
        <f t="shared" si="16"/>
        <v>#DIV/0!</v>
      </c>
      <c r="AP26" s="57" t="e">
        <f t="shared" si="20"/>
        <v>#DIV/0!</v>
      </c>
      <c r="AQ26" s="57" t="e">
        <f t="shared" si="21"/>
        <v>#DIV/0!</v>
      </c>
      <c r="AR26" s="57" t="e">
        <f t="shared" si="22"/>
        <v>#DIV/0!</v>
      </c>
      <c r="AS26" s="57" t="e">
        <f t="shared" si="23"/>
        <v>#DIV/0!</v>
      </c>
    </row>
    <row r="27" spans="1:45" ht="33" hidden="1" customHeight="1">
      <c r="A27" s="22">
        <v>0</v>
      </c>
      <c r="B27" s="12"/>
      <c r="C27" s="203"/>
      <c r="D27" s="12"/>
      <c r="E27" s="12"/>
      <c r="F27" s="12"/>
      <c r="G27" s="12"/>
      <c r="H27" s="12"/>
      <c r="I27" s="12"/>
      <c r="J27" s="12"/>
      <c r="K27" s="12"/>
      <c r="L27" s="12"/>
      <c r="M27" s="12"/>
      <c r="N27" s="12"/>
      <c r="O27" s="12"/>
      <c r="P27" s="12"/>
      <c r="Q27" s="12"/>
      <c r="R27" s="12"/>
      <c r="S27" s="12"/>
      <c r="T27" s="12"/>
      <c r="U27" s="13">
        <f t="shared" si="0"/>
        <v>0</v>
      </c>
      <c r="V27" s="13">
        <f t="shared" si="1"/>
        <v>0</v>
      </c>
      <c r="W27" s="13">
        <f t="shared" si="2"/>
        <v>0</v>
      </c>
      <c r="X27" s="13">
        <f t="shared" si="3"/>
        <v>0</v>
      </c>
      <c r="Y27" s="13">
        <f t="shared" si="4"/>
        <v>0</v>
      </c>
      <c r="Z27" s="13">
        <f t="shared" si="5"/>
        <v>0</v>
      </c>
      <c r="AA27" s="13">
        <f t="shared" si="6"/>
        <v>0</v>
      </c>
      <c r="AB27" s="13">
        <f t="shared" si="7"/>
        <v>0</v>
      </c>
      <c r="AC27" s="23">
        <f t="shared" si="24"/>
        <v>0</v>
      </c>
      <c r="AD27" s="23">
        <f t="shared" si="8"/>
        <v>0</v>
      </c>
      <c r="AE27" s="23">
        <f t="shared" si="17"/>
        <v>0</v>
      </c>
      <c r="AF27" s="23">
        <f t="shared" si="18"/>
        <v>0</v>
      </c>
      <c r="AG27" s="23">
        <f t="shared" si="19"/>
        <v>0</v>
      </c>
      <c r="AH27" s="13" t="e">
        <f t="shared" si="9"/>
        <v>#DIV/0!</v>
      </c>
      <c r="AI27" s="13" t="e">
        <f t="shared" si="10"/>
        <v>#DIV/0!</v>
      </c>
      <c r="AJ27" s="10" t="e">
        <f t="shared" si="11"/>
        <v>#DIV/0!</v>
      </c>
      <c r="AK27" s="6" t="e">
        <f t="shared" si="12"/>
        <v>#DIV/0!</v>
      </c>
      <c r="AL27" s="6" t="e">
        <f t="shared" si="13"/>
        <v>#DIV/0!</v>
      </c>
      <c r="AM27" s="6" t="e">
        <f t="shared" si="14"/>
        <v>#DIV/0!</v>
      </c>
      <c r="AN27" s="6" t="e">
        <f t="shared" si="15"/>
        <v>#DIV/0!</v>
      </c>
      <c r="AO27" s="57" t="e">
        <f t="shared" si="16"/>
        <v>#DIV/0!</v>
      </c>
      <c r="AP27" s="57" t="e">
        <f t="shared" si="20"/>
        <v>#DIV/0!</v>
      </c>
      <c r="AQ27" s="57" t="e">
        <f t="shared" si="21"/>
        <v>#DIV/0!</v>
      </c>
      <c r="AR27" s="57" t="e">
        <f t="shared" si="22"/>
        <v>#DIV/0!</v>
      </c>
      <c r="AS27" s="57" t="e">
        <f t="shared" si="23"/>
        <v>#DIV/0!</v>
      </c>
    </row>
    <row r="28" spans="1:45" ht="33" hidden="1" customHeight="1">
      <c r="A28" s="22">
        <v>0</v>
      </c>
      <c r="B28" s="12"/>
      <c r="C28" s="203"/>
      <c r="D28" s="12"/>
      <c r="E28" s="12"/>
      <c r="F28" s="12"/>
      <c r="G28" s="12"/>
      <c r="H28" s="12"/>
      <c r="I28" s="12"/>
      <c r="J28" s="12"/>
      <c r="K28" s="12"/>
      <c r="L28" s="12"/>
      <c r="M28" s="12"/>
      <c r="N28" s="12"/>
      <c r="O28" s="12"/>
      <c r="P28" s="12"/>
      <c r="Q28" s="12"/>
      <c r="R28" s="12"/>
      <c r="S28" s="12"/>
      <c r="T28" s="12"/>
      <c r="U28" s="13">
        <f t="shared" si="0"/>
        <v>0</v>
      </c>
      <c r="V28" s="13">
        <f t="shared" si="1"/>
        <v>0</v>
      </c>
      <c r="W28" s="13">
        <f t="shared" si="2"/>
        <v>0</v>
      </c>
      <c r="X28" s="13">
        <f t="shared" si="3"/>
        <v>0</v>
      </c>
      <c r="Y28" s="13">
        <f t="shared" si="4"/>
        <v>0</v>
      </c>
      <c r="Z28" s="13">
        <f t="shared" si="5"/>
        <v>0</v>
      </c>
      <c r="AA28" s="13">
        <f t="shared" si="6"/>
        <v>0</v>
      </c>
      <c r="AB28" s="13">
        <f t="shared" si="7"/>
        <v>0</v>
      </c>
      <c r="AC28" s="23">
        <f t="shared" si="24"/>
        <v>0</v>
      </c>
      <c r="AD28" s="23">
        <f t="shared" si="8"/>
        <v>0</v>
      </c>
      <c r="AE28" s="23">
        <f t="shared" si="17"/>
        <v>0</v>
      </c>
      <c r="AF28" s="23">
        <f t="shared" si="18"/>
        <v>0</v>
      </c>
      <c r="AG28" s="23">
        <f t="shared" si="19"/>
        <v>0</v>
      </c>
      <c r="AH28" s="13" t="e">
        <f t="shared" si="9"/>
        <v>#DIV/0!</v>
      </c>
      <c r="AI28" s="13" t="e">
        <f t="shared" si="10"/>
        <v>#DIV/0!</v>
      </c>
      <c r="AJ28" s="10" t="e">
        <f t="shared" si="11"/>
        <v>#DIV/0!</v>
      </c>
      <c r="AK28" s="6" t="e">
        <f t="shared" si="12"/>
        <v>#DIV/0!</v>
      </c>
      <c r="AL28" s="6" t="e">
        <f t="shared" si="13"/>
        <v>#DIV/0!</v>
      </c>
      <c r="AM28" s="6" t="e">
        <f t="shared" si="14"/>
        <v>#DIV/0!</v>
      </c>
      <c r="AN28" s="6" t="e">
        <f t="shared" si="15"/>
        <v>#DIV/0!</v>
      </c>
      <c r="AO28" s="57" t="e">
        <f t="shared" si="16"/>
        <v>#DIV/0!</v>
      </c>
      <c r="AP28" s="57" t="e">
        <f t="shared" si="20"/>
        <v>#DIV/0!</v>
      </c>
      <c r="AQ28" s="57" t="e">
        <f t="shared" si="21"/>
        <v>#DIV/0!</v>
      </c>
      <c r="AR28" s="57" t="e">
        <f t="shared" si="22"/>
        <v>#DIV/0!</v>
      </c>
      <c r="AS28" s="57" t="e">
        <f t="shared" si="23"/>
        <v>#DIV/0!</v>
      </c>
    </row>
    <row r="29" spans="1:45" ht="33" hidden="1" customHeight="1">
      <c r="A29" s="22">
        <v>0</v>
      </c>
      <c r="B29" s="12"/>
      <c r="C29" s="203"/>
      <c r="D29" s="12"/>
      <c r="E29" s="12"/>
      <c r="F29" s="12"/>
      <c r="G29" s="12"/>
      <c r="H29" s="12"/>
      <c r="I29" s="12"/>
      <c r="J29" s="12"/>
      <c r="K29" s="12"/>
      <c r="L29" s="12"/>
      <c r="M29" s="12"/>
      <c r="N29" s="12"/>
      <c r="O29" s="12"/>
      <c r="P29" s="12"/>
      <c r="Q29" s="12"/>
      <c r="R29" s="12"/>
      <c r="S29" s="12"/>
      <c r="T29" s="12"/>
      <c r="U29" s="13">
        <f t="shared" si="0"/>
        <v>0</v>
      </c>
      <c r="V29" s="13">
        <f t="shared" si="1"/>
        <v>0</v>
      </c>
      <c r="W29" s="13">
        <f t="shared" si="2"/>
        <v>0</v>
      </c>
      <c r="X29" s="13">
        <f t="shared" si="3"/>
        <v>0</v>
      </c>
      <c r="Y29" s="13">
        <f t="shared" si="4"/>
        <v>0</v>
      </c>
      <c r="Z29" s="13">
        <f t="shared" si="5"/>
        <v>0</v>
      </c>
      <c r="AA29" s="13">
        <f t="shared" si="6"/>
        <v>0</v>
      </c>
      <c r="AB29" s="13">
        <f t="shared" si="7"/>
        <v>0</v>
      </c>
      <c r="AC29" s="23">
        <f t="shared" si="24"/>
        <v>0</v>
      </c>
      <c r="AD29" s="23">
        <f t="shared" si="8"/>
        <v>0</v>
      </c>
      <c r="AE29" s="23">
        <f t="shared" si="17"/>
        <v>0</v>
      </c>
      <c r="AF29" s="23">
        <f t="shared" si="18"/>
        <v>0</v>
      </c>
      <c r="AG29" s="23">
        <f t="shared" si="19"/>
        <v>0</v>
      </c>
      <c r="AH29" s="13" t="e">
        <f t="shared" si="9"/>
        <v>#DIV/0!</v>
      </c>
      <c r="AI29" s="13" t="e">
        <f t="shared" si="10"/>
        <v>#DIV/0!</v>
      </c>
      <c r="AJ29" s="10" t="e">
        <f t="shared" si="11"/>
        <v>#DIV/0!</v>
      </c>
      <c r="AK29" s="6" t="e">
        <f t="shared" si="12"/>
        <v>#DIV/0!</v>
      </c>
      <c r="AL29" s="6" t="e">
        <f t="shared" si="13"/>
        <v>#DIV/0!</v>
      </c>
      <c r="AM29" s="6" t="e">
        <f t="shared" si="14"/>
        <v>#DIV/0!</v>
      </c>
      <c r="AN29" s="6" t="e">
        <f t="shared" si="15"/>
        <v>#DIV/0!</v>
      </c>
      <c r="AO29" s="57" t="e">
        <f t="shared" si="16"/>
        <v>#DIV/0!</v>
      </c>
      <c r="AP29" s="57" t="e">
        <f t="shared" si="20"/>
        <v>#DIV/0!</v>
      </c>
      <c r="AQ29" s="57" t="e">
        <f t="shared" si="21"/>
        <v>#DIV/0!</v>
      </c>
      <c r="AR29" s="57" t="e">
        <f t="shared" si="22"/>
        <v>#DIV/0!</v>
      </c>
      <c r="AS29" s="57" t="e">
        <f t="shared" si="23"/>
        <v>#DIV/0!</v>
      </c>
    </row>
    <row r="30" spans="1:45" ht="33" hidden="1" customHeight="1">
      <c r="A30" s="22">
        <v>0</v>
      </c>
      <c r="B30" s="12"/>
      <c r="C30" s="203"/>
      <c r="D30" s="12"/>
      <c r="E30" s="12"/>
      <c r="F30" s="12"/>
      <c r="G30" s="12"/>
      <c r="H30" s="12"/>
      <c r="I30" s="12"/>
      <c r="J30" s="12"/>
      <c r="K30" s="12"/>
      <c r="L30" s="12"/>
      <c r="M30" s="12"/>
      <c r="N30" s="12"/>
      <c r="O30" s="12"/>
      <c r="P30" s="12"/>
      <c r="Q30" s="12"/>
      <c r="R30" s="12"/>
      <c r="S30" s="12"/>
      <c r="T30" s="12"/>
      <c r="U30" s="13">
        <f t="shared" si="0"/>
        <v>0</v>
      </c>
      <c r="V30" s="13">
        <f t="shared" si="1"/>
        <v>0</v>
      </c>
      <c r="W30" s="13">
        <f t="shared" si="2"/>
        <v>0</v>
      </c>
      <c r="X30" s="13">
        <f t="shared" si="3"/>
        <v>0</v>
      </c>
      <c r="Y30" s="13">
        <f t="shared" si="4"/>
        <v>0</v>
      </c>
      <c r="Z30" s="13">
        <f t="shared" si="5"/>
        <v>0</v>
      </c>
      <c r="AA30" s="13">
        <f t="shared" si="6"/>
        <v>0</v>
      </c>
      <c r="AB30" s="13">
        <f t="shared" si="7"/>
        <v>0</v>
      </c>
      <c r="AC30" s="23">
        <f t="shared" si="24"/>
        <v>0</v>
      </c>
      <c r="AD30" s="23">
        <f t="shared" si="8"/>
        <v>0</v>
      </c>
      <c r="AE30" s="23">
        <f t="shared" si="17"/>
        <v>0</v>
      </c>
      <c r="AF30" s="23">
        <f t="shared" si="18"/>
        <v>0</v>
      </c>
      <c r="AG30" s="23">
        <f t="shared" si="19"/>
        <v>0</v>
      </c>
      <c r="AH30" s="13" t="e">
        <f t="shared" si="9"/>
        <v>#DIV/0!</v>
      </c>
      <c r="AI30" s="13" t="e">
        <f t="shared" si="10"/>
        <v>#DIV/0!</v>
      </c>
      <c r="AJ30" s="10" t="e">
        <f t="shared" si="11"/>
        <v>#DIV/0!</v>
      </c>
      <c r="AK30" s="6" t="e">
        <f t="shared" si="12"/>
        <v>#DIV/0!</v>
      </c>
      <c r="AL30" s="6" t="e">
        <f t="shared" si="13"/>
        <v>#DIV/0!</v>
      </c>
      <c r="AM30" s="6" t="e">
        <f t="shared" si="14"/>
        <v>#DIV/0!</v>
      </c>
      <c r="AN30" s="6" t="e">
        <f t="shared" si="15"/>
        <v>#DIV/0!</v>
      </c>
      <c r="AO30" s="57" t="e">
        <f t="shared" si="16"/>
        <v>#DIV/0!</v>
      </c>
      <c r="AP30" s="57" t="e">
        <f t="shared" si="20"/>
        <v>#DIV/0!</v>
      </c>
      <c r="AQ30" s="57" t="e">
        <f t="shared" si="21"/>
        <v>#DIV/0!</v>
      </c>
      <c r="AR30" s="57" t="e">
        <f t="shared" si="22"/>
        <v>#DIV/0!</v>
      </c>
      <c r="AS30" s="57" t="e">
        <f t="shared" si="23"/>
        <v>#DIV/0!</v>
      </c>
    </row>
    <row r="31" spans="1:45" ht="33" hidden="1" customHeight="1">
      <c r="A31" s="22">
        <v>0</v>
      </c>
      <c r="B31" s="12"/>
      <c r="C31" s="203"/>
      <c r="D31" s="12"/>
      <c r="E31" s="12"/>
      <c r="F31" s="12"/>
      <c r="G31" s="12"/>
      <c r="H31" s="12"/>
      <c r="I31" s="12"/>
      <c r="J31" s="12"/>
      <c r="K31" s="12"/>
      <c r="L31" s="12"/>
      <c r="M31" s="12"/>
      <c r="N31" s="12"/>
      <c r="O31" s="12"/>
      <c r="P31" s="12"/>
      <c r="Q31" s="12"/>
      <c r="R31" s="12"/>
      <c r="S31" s="12"/>
      <c r="T31" s="12"/>
      <c r="U31" s="13">
        <f t="shared" si="0"/>
        <v>0</v>
      </c>
      <c r="V31" s="13">
        <f t="shared" si="1"/>
        <v>0</v>
      </c>
      <c r="W31" s="13">
        <f t="shared" si="2"/>
        <v>0</v>
      </c>
      <c r="X31" s="13">
        <f t="shared" si="3"/>
        <v>0</v>
      </c>
      <c r="Y31" s="13">
        <f t="shared" si="4"/>
        <v>0</v>
      </c>
      <c r="Z31" s="13">
        <f t="shared" si="5"/>
        <v>0</v>
      </c>
      <c r="AA31" s="13">
        <f t="shared" si="6"/>
        <v>0</v>
      </c>
      <c r="AB31" s="13">
        <f t="shared" si="7"/>
        <v>0</v>
      </c>
      <c r="AC31" s="23">
        <f t="shared" si="24"/>
        <v>0</v>
      </c>
      <c r="AD31" s="23">
        <f t="shared" si="8"/>
        <v>0</v>
      </c>
      <c r="AE31" s="23">
        <f t="shared" si="17"/>
        <v>0</v>
      </c>
      <c r="AF31" s="23">
        <f t="shared" si="18"/>
        <v>0</v>
      </c>
      <c r="AG31" s="23">
        <f t="shared" si="19"/>
        <v>0</v>
      </c>
      <c r="AH31" s="13" t="e">
        <f t="shared" si="9"/>
        <v>#DIV/0!</v>
      </c>
      <c r="AI31" s="13" t="e">
        <f t="shared" si="10"/>
        <v>#DIV/0!</v>
      </c>
      <c r="AJ31" s="10" t="e">
        <f t="shared" si="11"/>
        <v>#DIV/0!</v>
      </c>
      <c r="AK31" s="6" t="e">
        <f t="shared" si="12"/>
        <v>#DIV/0!</v>
      </c>
      <c r="AL31" s="6" t="e">
        <f t="shared" si="13"/>
        <v>#DIV/0!</v>
      </c>
      <c r="AM31" s="6" t="e">
        <f t="shared" si="14"/>
        <v>#DIV/0!</v>
      </c>
      <c r="AN31" s="6" t="e">
        <f t="shared" si="15"/>
        <v>#DIV/0!</v>
      </c>
      <c r="AO31" s="57" t="e">
        <f t="shared" si="16"/>
        <v>#DIV/0!</v>
      </c>
      <c r="AP31" s="57" t="e">
        <f t="shared" si="20"/>
        <v>#DIV/0!</v>
      </c>
      <c r="AQ31" s="57" t="e">
        <f t="shared" si="21"/>
        <v>#DIV/0!</v>
      </c>
      <c r="AR31" s="57" t="e">
        <f t="shared" si="22"/>
        <v>#DIV/0!</v>
      </c>
      <c r="AS31" s="57" t="e">
        <f t="shared" si="23"/>
        <v>#DIV/0!</v>
      </c>
    </row>
    <row r="32" spans="1:45" ht="33" hidden="1" customHeight="1">
      <c r="A32" s="22">
        <v>0</v>
      </c>
      <c r="B32" s="12"/>
      <c r="C32" s="203"/>
      <c r="D32" s="12"/>
      <c r="E32" s="12"/>
      <c r="F32" s="12"/>
      <c r="G32" s="12"/>
      <c r="H32" s="12"/>
      <c r="I32" s="12"/>
      <c r="J32" s="12"/>
      <c r="K32" s="12"/>
      <c r="L32" s="12"/>
      <c r="M32" s="12"/>
      <c r="N32" s="12"/>
      <c r="O32" s="12"/>
      <c r="P32" s="12"/>
      <c r="Q32" s="12"/>
      <c r="R32" s="12"/>
      <c r="S32" s="12"/>
      <c r="T32" s="12"/>
      <c r="U32" s="13">
        <f t="shared" si="0"/>
        <v>0</v>
      </c>
      <c r="V32" s="13">
        <f t="shared" si="1"/>
        <v>0</v>
      </c>
      <c r="W32" s="13">
        <f t="shared" si="2"/>
        <v>0</v>
      </c>
      <c r="X32" s="13">
        <f t="shared" si="3"/>
        <v>0</v>
      </c>
      <c r="Y32" s="13">
        <f t="shared" si="4"/>
        <v>0</v>
      </c>
      <c r="Z32" s="13">
        <f t="shared" si="5"/>
        <v>0</v>
      </c>
      <c r="AA32" s="13">
        <f t="shared" si="6"/>
        <v>0</v>
      </c>
      <c r="AB32" s="13">
        <f t="shared" si="7"/>
        <v>0</v>
      </c>
      <c r="AC32" s="23">
        <f t="shared" si="24"/>
        <v>0</v>
      </c>
      <c r="AD32" s="23">
        <f t="shared" si="8"/>
        <v>0</v>
      </c>
      <c r="AE32" s="23">
        <f t="shared" si="17"/>
        <v>0</v>
      </c>
      <c r="AF32" s="23">
        <f t="shared" si="18"/>
        <v>0</v>
      </c>
      <c r="AG32" s="23">
        <f t="shared" si="19"/>
        <v>0</v>
      </c>
      <c r="AH32" s="13" t="e">
        <f t="shared" si="9"/>
        <v>#DIV/0!</v>
      </c>
      <c r="AI32" s="13" t="e">
        <f t="shared" si="10"/>
        <v>#DIV/0!</v>
      </c>
      <c r="AJ32" s="10" t="e">
        <f t="shared" si="11"/>
        <v>#DIV/0!</v>
      </c>
      <c r="AK32" s="6" t="e">
        <f t="shared" si="12"/>
        <v>#DIV/0!</v>
      </c>
      <c r="AL32" s="6" t="e">
        <f t="shared" si="13"/>
        <v>#DIV/0!</v>
      </c>
      <c r="AM32" s="6" t="e">
        <f t="shared" si="14"/>
        <v>#DIV/0!</v>
      </c>
      <c r="AN32" s="6" t="e">
        <f t="shared" si="15"/>
        <v>#DIV/0!</v>
      </c>
      <c r="AO32" s="57" t="e">
        <f t="shared" si="16"/>
        <v>#DIV/0!</v>
      </c>
      <c r="AP32" s="57" t="e">
        <f t="shared" si="20"/>
        <v>#DIV/0!</v>
      </c>
      <c r="AQ32" s="57" t="e">
        <f t="shared" si="21"/>
        <v>#DIV/0!</v>
      </c>
      <c r="AR32" s="57" t="e">
        <f t="shared" si="22"/>
        <v>#DIV/0!</v>
      </c>
      <c r="AS32" s="57" t="e">
        <f t="shared" si="23"/>
        <v>#DIV/0!</v>
      </c>
    </row>
    <row r="33" spans="1:45" ht="33" hidden="1" customHeight="1">
      <c r="A33" s="22">
        <v>0</v>
      </c>
      <c r="B33" s="12"/>
      <c r="C33" s="203"/>
      <c r="D33" s="12"/>
      <c r="E33" s="12"/>
      <c r="F33" s="12"/>
      <c r="G33" s="12"/>
      <c r="H33" s="12"/>
      <c r="I33" s="12"/>
      <c r="J33" s="12"/>
      <c r="K33" s="12"/>
      <c r="L33" s="12"/>
      <c r="M33" s="12"/>
      <c r="N33" s="12"/>
      <c r="O33" s="12"/>
      <c r="P33" s="12"/>
      <c r="Q33" s="12"/>
      <c r="R33" s="12"/>
      <c r="S33" s="12"/>
      <c r="T33" s="12"/>
      <c r="U33" s="13">
        <f t="shared" si="0"/>
        <v>0</v>
      </c>
      <c r="V33" s="13">
        <f t="shared" si="1"/>
        <v>0</v>
      </c>
      <c r="W33" s="13">
        <f t="shared" si="2"/>
        <v>0</v>
      </c>
      <c r="X33" s="13">
        <f t="shared" si="3"/>
        <v>0</v>
      </c>
      <c r="Y33" s="13">
        <f t="shared" si="4"/>
        <v>0</v>
      </c>
      <c r="Z33" s="13">
        <f t="shared" si="5"/>
        <v>0</v>
      </c>
      <c r="AA33" s="13">
        <f t="shared" si="6"/>
        <v>0</v>
      </c>
      <c r="AB33" s="13">
        <f t="shared" si="7"/>
        <v>0</v>
      </c>
      <c r="AC33" s="23">
        <f t="shared" si="24"/>
        <v>0</v>
      </c>
      <c r="AD33" s="23">
        <f t="shared" si="8"/>
        <v>0</v>
      </c>
      <c r="AE33" s="23">
        <f t="shared" si="17"/>
        <v>0</v>
      </c>
      <c r="AF33" s="23">
        <f t="shared" si="18"/>
        <v>0</v>
      </c>
      <c r="AG33" s="23">
        <f t="shared" si="19"/>
        <v>0</v>
      </c>
      <c r="AH33" s="13" t="e">
        <f t="shared" si="9"/>
        <v>#DIV/0!</v>
      </c>
      <c r="AI33" s="13" t="e">
        <f t="shared" si="10"/>
        <v>#DIV/0!</v>
      </c>
      <c r="AJ33" s="10" t="e">
        <f t="shared" si="11"/>
        <v>#DIV/0!</v>
      </c>
      <c r="AK33" s="6" t="e">
        <f t="shared" si="12"/>
        <v>#DIV/0!</v>
      </c>
      <c r="AL33" s="6" t="e">
        <f t="shared" si="13"/>
        <v>#DIV/0!</v>
      </c>
      <c r="AM33" s="6" t="e">
        <f t="shared" si="14"/>
        <v>#DIV/0!</v>
      </c>
      <c r="AN33" s="6" t="e">
        <f t="shared" si="15"/>
        <v>#DIV/0!</v>
      </c>
      <c r="AO33" s="57" t="e">
        <f t="shared" si="16"/>
        <v>#DIV/0!</v>
      </c>
      <c r="AP33" s="57" t="e">
        <f t="shared" si="20"/>
        <v>#DIV/0!</v>
      </c>
      <c r="AQ33" s="57" t="e">
        <f t="shared" si="21"/>
        <v>#DIV/0!</v>
      </c>
      <c r="AR33" s="57" t="e">
        <f t="shared" si="22"/>
        <v>#DIV/0!</v>
      </c>
      <c r="AS33" s="57" t="e">
        <f t="shared" si="23"/>
        <v>#DIV/0!</v>
      </c>
    </row>
    <row r="34" spans="1:45" ht="33" hidden="1" customHeight="1">
      <c r="A34" s="22">
        <v>0</v>
      </c>
      <c r="B34" s="12"/>
      <c r="C34" s="203"/>
      <c r="D34" s="12"/>
      <c r="E34" s="12"/>
      <c r="F34" s="12"/>
      <c r="G34" s="12"/>
      <c r="H34" s="12"/>
      <c r="I34" s="12"/>
      <c r="J34" s="12"/>
      <c r="K34" s="12"/>
      <c r="L34" s="12"/>
      <c r="M34" s="12"/>
      <c r="N34" s="12"/>
      <c r="O34" s="12"/>
      <c r="P34" s="12"/>
      <c r="Q34" s="12"/>
      <c r="R34" s="12"/>
      <c r="S34" s="12"/>
      <c r="T34" s="12"/>
      <c r="U34" s="13">
        <f t="shared" si="0"/>
        <v>0</v>
      </c>
      <c r="V34" s="13">
        <f t="shared" si="1"/>
        <v>0</v>
      </c>
      <c r="W34" s="13">
        <f t="shared" si="2"/>
        <v>0</v>
      </c>
      <c r="X34" s="13">
        <f t="shared" si="3"/>
        <v>0</v>
      </c>
      <c r="Y34" s="13">
        <f t="shared" si="4"/>
        <v>0</v>
      </c>
      <c r="Z34" s="13">
        <f t="shared" si="5"/>
        <v>0</v>
      </c>
      <c r="AA34" s="13">
        <f t="shared" si="6"/>
        <v>0</v>
      </c>
      <c r="AB34" s="13">
        <f t="shared" si="7"/>
        <v>0</v>
      </c>
      <c r="AC34" s="23">
        <f t="shared" si="24"/>
        <v>0</v>
      </c>
      <c r="AD34" s="23">
        <f t="shared" si="8"/>
        <v>0</v>
      </c>
      <c r="AE34" s="23">
        <f t="shared" si="17"/>
        <v>0</v>
      </c>
      <c r="AF34" s="23">
        <f t="shared" si="18"/>
        <v>0</v>
      </c>
      <c r="AG34" s="23">
        <f t="shared" si="19"/>
        <v>0</v>
      </c>
      <c r="AH34" s="13" t="e">
        <f t="shared" si="9"/>
        <v>#DIV/0!</v>
      </c>
      <c r="AI34" s="13" t="e">
        <f t="shared" si="10"/>
        <v>#DIV/0!</v>
      </c>
      <c r="AJ34" s="10" t="e">
        <f t="shared" si="11"/>
        <v>#DIV/0!</v>
      </c>
      <c r="AK34" s="6" t="e">
        <f t="shared" si="12"/>
        <v>#DIV/0!</v>
      </c>
      <c r="AL34" s="6" t="e">
        <f t="shared" si="13"/>
        <v>#DIV/0!</v>
      </c>
      <c r="AM34" s="6" t="e">
        <f t="shared" si="14"/>
        <v>#DIV/0!</v>
      </c>
      <c r="AN34" s="6" t="e">
        <f t="shared" si="15"/>
        <v>#DIV/0!</v>
      </c>
      <c r="AO34" s="57" t="e">
        <f t="shared" si="16"/>
        <v>#DIV/0!</v>
      </c>
      <c r="AP34" s="57" t="e">
        <f t="shared" si="20"/>
        <v>#DIV/0!</v>
      </c>
      <c r="AQ34" s="57" t="e">
        <f t="shared" si="21"/>
        <v>#DIV/0!</v>
      </c>
      <c r="AR34" s="57" t="e">
        <f t="shared" si="22"/>
        <v>#DIV/0!</v>
      </c>
      <c r="AS34" s="57" t="e">
        <f t="shared" si="23"/>
        <v>#DIV/0!</v>
      </c>
    </row>
    <row r="35" spans="1:45" ht="33" hidden="1" customHeight="1">
      <c r="A35" s="22">
        <v>0</v>
      </c>
      <c r="B35" s="12"/>
      <c r="C35" s="203"/>
      <c r="D35" s="12"/>
      <c r="E35" s="12"/>
      <c r="F35" s="12"/>
      <c r="G35" s="12"/>
      <c r="H35" s="12"/>
      <c r="I35" s="12"/>
      <c r="J35" s="12"/>
      <c r="K35" s="12"/>
      <c r="L35" s="12"/>
      <c r="M35" s="12"/>
      <c r="N35" s="12"/>
      <c r="O35" s="12"/>
      <c r="P35" s="12"/>
      <c r="Q35" s="12"/>
      <c r="R35" s="12"/>
      <c r="S35" s="12"/>
      <c r="T35" s="12"/>
      <c r="U35" s="13">
        <f t="shared" si="0"/>
        <v>0</v>
      </c>
      <c r="V35" s="13">
        <f t="shared" si="1"/>
        <v>0</v>
      </c>
      <c r="W35" s="13">
        <f t="shared" si="2"/>
        <v>0</v>
      </c>
      <c r="X35" s="13">
        <f t="shared" si="3"/>
        <v>0</v>
      </c>
      <c r="Y35" s="13">
        <f t="shared" si="4"/>
        <v>0</v>
      </c>
      <c r="Z35" s="13">
        <f t="shared" si="5"/>
        <v>0</v>
      </c>
      <c r="AA35" s="13">
        <f t="shared" si="6"/>
        <v>0</v>
      </c>
      <c r="AB35" s="13">
        <f t="shared" si="7"/>
        <v>0</v>
      </c>
      <c r="AC35" s="23">
        <f t="shared" si="24"/>
        <v>0</v>
      </c>
      <c r="AD35" s="23">
        <f t="shared" si="8"/>
        <v>0</v>
      </c>
      <c r="AE35" s="23">
        <f t="shared" si="17"/>
        <v>0</v>
      </c>
      <c r="AF35" s="23">
        <f t="shared" si="18"/>
        <v>0</v>
      </c>
      <c r="AG35" s="23">
        <f t="shared" si="19"/>
        <v>0</v>
      </c>
      <c r="AH35" s="13" t="e">
        <f t="shared" si="9"/>
        <v>#DIV/0!</v>
      </c>
      <c r="AI35" s="13" t="e">
        <f t="shared" si="10"/>
        <v>#DIV/0!</v>
      </c>
      <c r="AJ35" s="10" t="e">
        <f t="shared" si="11"/>
        <v>#DIV/0!</v>
      </c>
      <c r="AK35" s="6" t="e">
        <f t="shared" si="12"/>
        <v>#DIV/0!</v>
      </c>
      <c r="AL35" s="6" t="e">
        <f t="shared" si="13"/>
        <v>#DIV/0!</v>
      </c>
      <c r="AM35" s="6" t="e">
        <f t="shared" si="14"/>
        <v>#DIV/0!</v>
      </c>
      <c r="AN35" s="6" t="e">
        <f t="shared" si="15"/>
        <v>#DIV/0!</v>
      </c>
      <c r="AO35" s="57" t="e">
        <f t="shared" si="16"/>
        <v>#DIV/0!</v>
      </c>
      <c r="AP35" s="57" t="e">
        <f t="shared" si="20"/>
        <v>#DIV/0!</v>
      </c>
      <c r="AQ35" s="57" t="e">
        <f t="shared" si="21"/>
        <v>#DIV/0!</v>
      </c>
      <c r="AR35" s="57" t="e">
        <f t="shared" si="22"/>
        <v>#DIV/0!</v>
      </c>
      <c r="AS35" s="57" t="e">
        <f t="shared" si="23"/>
        <v>#DIV/0!</v>
      </c>
    </row>
    <row r="36" spans="1:45" ht="33" hidden="1" customHeight="1">
      <c r="A36" s="22">
        <v>0</v>
      </c>
      <c r="B36" s="12"/>
      <c r="C36" s="203"/>
      <c r="D36" s="12"/>
      <c r="E36" s="12"/>
      <c r="F36" s="12"/>
      <c r="G36" s="12"/>
      <c r="H36" s="12"/>
      <c r="I36" s="12"/>
      <c r="J36" s="12"/>
      <c r="K36" s="12"/>
      <c r="L36" s="12"/>
      <c r="M36" s="12"/>
      <c r="N36" s="12"/>
      <c r="O36" s="12"/>
      <c r="P36" s="12"/>
      <c r="Q36" s="12"/>
      <c r="R36" s="12"/>
      <c r="S36" s="12"/>
      <c r="T36" s="12"/>
      <c r="U36" s="13">
        <f t="shared" si="0"/>
        <v>0</v>
      </c>
      <c r="V36" s="13">
        <f t="shared" si="1"/>
        <v>0</v>
      </c>
      <c r="W36" s="13">
        <f t="shared" si="2"/>
        <v>0</v>
      </c>
      <c r="X36" s="13">
        <f t="shared" si="3"/>
        <v>0</v>
      </c>
      <c r="Y36" s="13">
        <f t="shared" si="4"/>
        <v>0</v>
      </c>
      <c r="Z36" s="13">
        <f t="shared" si="5"/>
        <v>0</v>
      </c>
      <c r="AA36" s="13">
        <f t="shared" si="6"/>
        <v>0</v>
      </c>
      <c r="AB36" s="13">
        <f t="shared" si="7"/>
        <v>0</v>
      </c>
      <c r="AC36" s="23">
        <f t="shared" si="24"/>
        <v>0</v>
      </c>
      <c r="AD36" s="23">
        <f t="shared" si="8"/>
        <v>0</v>
      </c>
      <c r="AE36" s="23">
        <f t="shared" si="17"/>
        <v>0</v>
      </c>
      <c r="AF36" s="23">
        <f t="shared" si="18"/>
        <v>0</v>
      </c>
      <c r="AG36" s="23">
        <f t="shared" si="19"/>
        <v>0</v>
      </c>
      <c r="AH36" s="13" t="e">
        <f t="shared" si="9"/>
        <v>#DIV/0!</v>
      </c>
      <c r="AI36" s="13" t="e">
        <f t="shared" si="10"/>
        <v>#DIV/0!</v>
      </c>
      <c r="AJ36" s="10" t="e">
        <f t="shared" si="11"/>
        <v>#DIV/0!</v>
      </c>
      <c r="AK36" s="6" t="e">
        <f t="shared" si="12"/>
        <v>#DIV/0!</v>
      </c>
      <c r="AL36" s="6" t="e">
        <f t="shared" si="13"/>
        <v>#DIV/0!</v>
      </c>
      <c r="AM36" s="6" t="e">
        <f t="shared" si="14"/>
        <v>#DIV/0!</v>
      </c>
      <c r="AN36" s="6" t="e">
        <f t="shared" si="15"/>
        <v>#DIV/0!</v>
      </c>
      <c r="AO36" s="57" t="e">
        <f t="shared" si="16"/>
        <v>#DIV/0!</v>
      </c>
      <c r="AP36" s="57" t="e">
        <f t="shared" si="20"/>
        <v>#DIV/0!</v>
      </c>
      <c r="AQ36" s="57" t="e">
        <f t="shared" si="21"/>
        <v>#DIV/0!</v>
      </c>
      <c r="AR36" s="57" t="e">
        <f t="shared" si="22"/>
        <v>#DIV/0!</v>
      </c>
      <c r="AS36" s="57" t="e">
        <f t="shared" si="23"/>
        <v>#DIV/0!</v>
      </c>
    </row>
    <row r="37" spans="1:45" ht="33" hidden="1" customHeight="1">
      <c r="A37" s="22">
        <v>0</v>
      </c>
      <c r="B37" s="12"/>
      <c r="C37" s="203"/>
      <c r="D37" s="12"/>
      <c r="E37" s="12"/>
      <c r="F37" s="12"/>
      <c r="G37" s="12"/>
      <c r="H37" s="12"/>
      <c r="I37" s="12"/>
      <c r="J37" s="12"/>
      <c r="K37" s="12"/>
      <c r="L37" s="12"/>
      <c r="M37" s="12"/>
      <c r="N37" s="12"/>
      <c r="O37" s="12"/>
      <c r="P37" s="12"/>
      <c r="Q37" s="12"/>
      <c r="R37" s="12"/>
      <c r="S37" s="12"/>
      <c r="T37" s="12"/>
      <c r="U37" s="13">
        <f t="shared" si="0"/>
        <v>0</v>
      </c>
      <c r="V37" s="13">
        <f t="shared" si="1"/>
        <v>0</v>
      </c>
      <c r="W37" s="13">
        <f t="shared" si="2"/>
        <v>0</v>
      </c>
      <c r="X37" s="13">
        <f t="shared" si="3"/>
        <v>0</v>
      </c>
      <c r="Y37" s="13">
        <f t="shared" si="4"/>
        <v>0</v>
      </c>
      <c r="Z37" s="13">
        <f t="shared" si="5"/>
        <v>0</v>
      </c>
      <c r="AA37" s="13">
        <f t="shared" si="6"/>
        <v>0</v>
      </c>
      <c r="AB37" s="13">
        <f t="shared" si="7"/>
        <v>0</v>
      </c>
      <c r="AC37" s="23">
        <f t="shared" si="24"/>
        <v>0</v>
      </c>
      <c r="AD37" s="23">
        <f t="shared" si="8"/>
        <v>0</v>
      </c>
      <c r="AE37" s="23">
        <f t="shared" si="17"/>
        <v>0</v>
      </c>
      <c r="AF37" s="23">
        <f t="shared" si="18"/>
        <v>0</v>
      </c>
      <c r="AG37" s="23">
        <f t="shared" si="19"/>
        <v>0</v>
      </c>
      <c r="AH37" s="13" t="e">
        <f t="shared" si="9"/>
        <v>#DIV/0!</v>
      </c>
      <c r="AI37" s="13" t="e">
        <f t="shared" si="10"/>
        <v>#DIV/0!</v>
      </c>
      <c r="AJ37" s="10" t="e">
        <f t="shared" si="11"/>
        <v>#DIV/0!</v>
      </c>
      <c r="AK37" s="6" t="e">
        <f t="shared" si="12"/>
        <v>#DIV/0!</v>
      </c>
      <c r="AL37" s="6" t="e">
        <f t="shared" si="13"/>
        <v>#DIV/0!</v>
      </c>
      <c r="AM37" s="6" t="e">
        <f t="shared" si="14"/>
        <v>#DIV/0!</v>
      </c>
      <c r="AN37" s="6" t="e">
        <f t="shared" si="15"/>
        <v>#DIV/0!</v>
      </c>
      <c r="AO37" s="57" t="e">
        <f t="shared" si="16"/>
        <v>#DIV/0!</v>
      </c>
      <c r="AP37" s="57" t="e">
        <f t="shared" si="20"/>
        <v>#DIV/0!</v>
      </c>
      <c r="AQ37" s="57" t="e">
        <f t="shared" si="21"/>
        <v>#DIV/0!</v>
      </c>
      <c r="AR37" s="57" t="e">
        <f t="shared" si="22"/>
        <v>#DIV/0!</v>
      </c>
      <c r="AS37" s="57" t="e">
        <f t="shared" si="23"/>
        <v>#DIV/0!</v>
      </c>
    </row>
    <row r="38" spans="1:45" ht="33" hidden="1" customHeight="1">
      <c r="A38" s="22">
        <v>0</v>
      </c>
      <c r="B38" s="12"/>
      <c r="C38" s="203"/>
      <c r="D38" s="12"/>
      <c r="E38" s="12"/>
      <c r="F38" s="12"/>
      <c r="G38" s="12"/>
      <c r="H38" s="12"/>
      <c r="I38" s="12"/>
      <c r="J38" s="12"/>
      <c r="K38" s="12"/>
      <c r="L38" s="12"/>
      <c r="M38" s="12"/>
      <c r="N38" s="12"/>
      <c r="O38" s="12"/>
      <c r="P38" s="12"/>
      <c r="Q38" s="12"/>
      <c r="R38" s="12"/>
      <c r="S38" s="12"/>
      <c r="T38" s="12"/>
      <c r="U38" s="13">
        <f t="shared" si="0"/>
        <v>0</v>
      </c>
      <c r="V38" s="13">
        <f t="shared" si="1"/>
        <v>0</v>
      </c>
      <c r="W38" s="13">
        <f t="shared" si="2"/>
        <v>0</v>
      </c>
      <c r="X38" s="13">
        <f t="shared" si="3"/>
        <v>0</v>
      </c>
      <c r="Y38" s="13">
        <f t="shared" si="4"/>
        <v>0</v>
      </c>
      <c r="Z38" s="13">
        <f t="shared" si="5"/>
        <v>0</v>
      </c>
      <c r="AA38" s="13">
        <f t="shared" si="6"/>
        <v>0</v>
      </c>
      <c r="AB38" s="13">
        <f t="shared" si="7"/>
        <v>0</v>
      </c>
      <c r="AC38" s="23">
        <f t="shared" si="24"/>
        <v>0</v>
      </c>
      <c r="AD38" s="23">
        <f t="shared" si="8"/>
        <v>0</v>
      </c>
      <c r="AE38" s="23">
        <f t="shared" si="17"/>
        <v>0</v>
      </c>
      <c r="AF38" s="23">
        <f t="shared" si="18"/>
        <v>0</v>
      </c>
      <c r="AG38" s="23">
        <f t="shared" si="19"/>
        <v>0</v>
      </c>
      <c r="AH38" s="13" t="e">
        <f t="shared" si="9"/>
        <v>#DIV/0!</v>
      </c>
      <c r="AI38" s="13" t="e">
        <f t="shared" si="10"/>
        <v>#DIV/0!</v>
      </c>
      <c r="AJ38" s="10" t="e">
        <f t="shared" si="11"/>
        <v>#DIV/0!</v>
      </c>
      <c r="AK38" s="6" t="e">
        <f t="shared" si="12"/>
        <v>#DIV/0!</v>
      </c>
      <c r="AL38" s="6" t="e">
        <f t="shared" si="13"/>
        <v>#DIV/0!</v>
      </c>
      <c r="AM38" s="6" t="e">
        <f t="shared" si="14"/>
        <v>#DIV/0!</v>
      </c>
      <c r="AN38" s="6" t="e">
        <f t="shared" si="15"/>
        <v>#DIV/0!</v>
      </c>
      <c r="AO38" s="57" t="e">
        <f t="shared" si="16"/>
        <v>#DIV/0!</v>
      </c>
      <c r="AP38" s="57" t="e">
        <f t="shared" si="20"/>
        <v>#DIV/0!</v>
      </c>
      <c r="AQ38" s="57" t="e">
        <f t="shared" si="21"/>
        <v>#DIV/0!</v>
      </c>
      <c r="AR38" s="57" t="e">
        <f t="shared" si="22"/>
        <v>#DIV/0!</v>
      </c>
      <c r="AS38" s="57" t="e">
        <f t="shared" si="23"/>
        <v>#DIV/0!</v>
      </c>
    </row>
    <row r="39" spans="1:45" ht="33" hidden="1" customHeight="1">
      <c r="A39" s="22">
        <v>0</v>
      </c>
      <c r="B39" s="12"/>
      <c r="C39" s="203"/>
      <c r="D39" s="12"/>
      <c r="E39" s="12"/>
      <c r="F39" s="12"/>
      <c r="G39" s="12"/>
      <c r="H39" s="12"/>
      <c r="I39" s="12"/>
      <c r="J39" s="12"/>
      <c r="K39" s="12"/>
      <c r="L39" s="12"/>
      <c r="M39" s="12"/>
      <c r="N39" s="12"/>
      <c r="O39" s="12"/>
      <c r="P39" s="12"/>
      <c r="Q39" s="12"/>
      <c r="R39" s="12"/>
      <c r="S39" s="12"/>
      <c r="T39" s="12"/>
      <c r="U39" s="13">
        <f t="shared" si="0"/>
        <v>0</v>
      </c>
      <c r="V39" s="13">
        <f t="shared" si="1"/>
        <v>0</v>
      </c>
      <c r="W39" s="13">
        <f t="shared" si="2"/>
        <v>0</v>
      </c>
      <c r="X39" s="13">
        <f t="shared" si="3"/>
        <v>0</v>
      </c>
      <c r="Y39" s="13">
        <f t="shared" si="4"/>
        <v>0</v>
      </c>
      <c r="Z39" s="13">
        <f t="shared" si="5"/>
        <v>0</v>
      </c>
      <c r="AA39" s="13">
        <f t="shared" si="6"/>
        <v>0</v>
      </c>
      <c r="AB39" s="13">
        <f t="shared" si="7"/>
        <v>0</v>
      </c>
      <c r="AC39" s="23">
        <f t="shared" si="24"/>
        <v>0</v>
      </c>
      <c r="AD39" s="23">
        <f t="shared" si="8"/>
        <v>0</v>
      </c>
      <c r="AE39" s="23">
        <f t="shared" si="17"/>
        <v>0</v>
      </c>
      <c r="AF39" s="23">
        <f t="shared" si="18"/>
        <v>0</v>
      </c>
      <c r="AG39" s="23">
        <f t="shared" si="19"/>
        <v>0</v>
      </c>
      <c r="AH39" s="13" t="e">
        <f t="shared" si="9"/>
        <v>#DIV/0!</v>
      </c>
      <c r="AI39" s="13" t="e">
        <f t="shared" si="10"/>
        <v>#DIV/0!</v>
      </c>
      <c r="AJ39" s="10" t="e">
        <f t="shared" si="11"/>
        <v>#DIV/0!</v>
      </c>
      <c r="AK39" s="6" t="e">
        <f t="shared" si="12"/>
        <v>#DIV/0!</v>
      </c>
      <c r="AL39" s="6" t="e">
        <f t="shared" si="13"/>
        <v>#DIV/0!</v>
      </c>
      <c r="AM39" s="6" t="e">
        <f t="shared" si="14"/>
        <v>#DIV/0!</v>
      </c>
      <c r="AN39" s="6" t="e">
        <f t="shared" si="15"/>
        <v>#DIV/0!</v>
      </c>
      <c r="AO39" s="57" t="e">
        <f t="shared" si="16"/>
        <v>#DIV/0!</v>
      </c>
      <c r="AP39" s="57" t="e">
        <f t="shared" si="20"/>
        <v>#DIV/0!</v>
      </c>
      <c r="AQ39" s="57" t="e">
        <f t="shared" si="21"/>
        <v>#DIV/0!</v>
      </c>
      <c r="AR39" s="57" t="e">
        <f t="shared" si="22"/>
        <v>#DIV/0!</v>
      </c>
      <c r="AS39" s="57" t="e">
        <f t="shared" si="23"/>
        <v>#DIV/0!</v>
      </c>
    </row>
    <row r="40" spans="1:45" ht="33" hidden="1" customHeight="1">
      <c r="A40" s="22">
        <v>0</v>
      </c>
      <c r="B40" s="12"/>
      <c r="C40" s="203"/>
      <c r="D40" s="12"/>
      <c r="E40" s="12"/>
      <c r="F40" s="12"/>
      <c r="G40" s="12"/>
      <c r="H40" s="12"/>
      <c r="I40" s="12"/>
      <c r="J40" s="12"/>
      <c r="K40" s="12"/>
      <c r="L40" s="12"/>
      <c r="M40" s="12"/>
      <c r="N40" s="12"/>
      <c r="O40" s="12"/>
      <c r="P40" s="12"/>
      <c r="Q40" s="12"/>
      <c r="R40" s="12"/>
      <c r="S40" s="12"/>
      <c r="T40" s="12"/>
      <c r="U40" s="13">
        <f t="shared" si="0"/>
        <v>0</v>
      </c>
      <c r="V40" s="13">
        <f t="shared" si="1"/>
        <v>0</v>
      </c>
      <c r="W40" s="13">
        <f t="shared" si="2"/>
        <v>0</v>
      </c>
      <c r="X40" s="13">
        <f t="shared" si="3"/>
        <v>0</v>
      </c>
      <c r="Y40" s="13">
        <f t="shared" si="4"/>
        <v>0</v>
      </c>
      <c r="Z40" s="13">
        <f t="shared" si="5"/>
        <v>0</v>
      </c>
      <c r="AA40" s="13">
        <f t="shared" si="6"/>
        <v>0</v>
      </c>
      <c r="AB40" s="13">
        <f t="shared" si="7"/>
        <v>0</v>
      </c>
      <c r="AC40" s="23">
        <f t="shared" si="24"/>
        <v>0</v>
      </c>
      <c r="AD40" s="23">
        <f t="shared" si="8"/>
        <v>0</v>
      </c>
      <c r="AE40" s="23">
        <f t="shared" si="17"/>
        <v>0</v>
      </c>
      <c r="AF40" s="23">
        <f t="shared" si="18"/>
        <v>0</v>
      </c>
      <c r="AG40" s="23">
        <f t="shared" si="19"/>
        <v>0</v>
      </c>
      <c r="AH40" s="13" t="e">
        <f t="shared" si="9"/>
        <v>#DIV/0!</v>
      </c>
      <c r="AI40" s="13" t="e">
        <f t="shared" si="10"/>
        <v>#DIV/0!</v>
      </c>
      <c r="AJ40" s="10" t="e">
        <f t="shared" si="11"/>
        <v>#DIV/0!</v>
      </c>
      <c r="AK40" s="6" t="e">
        <f t="shared" si="12"/>
        <v>#DIV/0!</v>
      </c>
      <c r="AL40" s="6" t="e">
        <f t="shared" si="13"/>
        <v>#DIV/0!</v>
      </c>
      <c r="AM40" s="6" t="e">
        <f t="shared" si="14"/>
        <v>#DIV/0!</v>
      </c>
      <c r="AN40" s="6" t="e">
        <f t="shared" si="15"/>
        <v>#DIV/0!</v>
      </c>
      <c r="AO40" s="57" t="e">
        <f t="shared" si="16"/>
        <v>#DIV/0!</v>
      </c>
      <c r="AP40" s="57" t="e">
        <f t="shared" si="20"/>
        <v>#DIV/0!</v>
      </c>
      <c r="AQ40" s="57" t="e">
        <f t="shared" si="21"/>
        <v>#DIV/0!</v>
      </c>
      <c r="AR40" s="57" t="e">
        <f t="shared" si="22"/>
        <v>#DIV/0!</v>
      </c>
      <c r="AS40" s="57" t="e">
        <f t="shared" si="23"/>
        <v>#DIV/0!</v>
      </c>
    </row>
    <row r="41" spans="1:45" ht="33" hidden="1" customHeight="1">
      <c r="A41" s="22">
        <v>0</v>
      </c>
      <c r="B41" s="12"/>
      <c r="C41" s="203"/>
      <c r="D41" s="12"/>
      <c r="E41" s="12"/>
      <c r="F41" s="12"/>
      <c r="G41" s="12"/>
      <c r="H41" s="12"/>
      <c r="I41" s="12"/>
      <c r="J41" s="12"/>
      <c r="K41" s="12"/>
      <c r="L41" s="12"/>
      <c r="M41" s="12"/>
      <c r="N41" s="12"/>
      <c r="O41" s="12"/>
      <c r="P41" s="12"/>
      <c r="Q41" s="12"/>
      <c r="R41" s="12"/>
      <c r="S41" s="12"/>
      <c r="T41" s="12"/>
      <c r="U41" s="13">
        <f t="shared" si="0"/>
        <v>0</v>
      </c>
      <c r="V41" s="13">
        <f t="shared" si="1"/>
        <v>0</v>
      </c>
      <c r="W41" s="13">
        <f t="shared" si="2"/>
        <v>0</v>
      </c>
      <c r="X41" s="13">
        <f t="shared" si="3"/>
        <v>0</v>
      </c>
      <c r="Y41" s="13">
        <f t="shared" si="4"/>
        <v>0</v>
      </c>
      <c r="Z41" s="13">
        <f t="shared" si="5"/>
        <v>0</v>
      </c>
      <c r="AA41" s="13">
        <f t="shared" si="6"/>
        <v>0</v>
      </c>
      <c r="AB41" s="13">
        <f t="shared" si="7"/>
        <v>0</v>
      </c>
      <c r="AC41" s="23">
        <f t="shared" si="24"/>
        <v>0</v>
      </c>
      <c r="AD41" s="23">
        <f t="shared" si="8"/>
        <v>0</v>
      </c>
      <c r="AE41" s="23">
        <f t="shared" si="17"/>
        <v>0</v>
      </c>
      <c r="AF41" s="23">
        <f t="shared" si="18"/>
        <v>0</v>
      </c>
      <c r="AG41" s="23">
        <f t="shared" si="19"/>
        <v>0</v>
      </c>
      <c r="AH41" s="13" t="e">
        <f t="shared" si="9"/>
        <v>#DIV/0!</v>
      </c>
      <c r="AI41" s="13" t="e">
        <f t="shared" si="10"/>
        <v>#DIV/0!</v>
      </c>
      <c r="AJ41" s="10" t="e">
        <f t="shared" si="11"/>
        <v>#DIV/0!</v>
      </c>
      <c r="AK41" s="6" t="e">
        <f t="shared" si="12"/>
        <v>#DIV/0!</v>
      </c>
      <c r="AL41" s="6" t="e">
        <f t="shared" si="13"/>
        <v>#DIV/0!</v>
      </c>
      <c r="AM41" s="6" t="e">
        <f t="shared" si="14"/>
        <v>#DIV/0!</v>
      </c>
      <c r="AN41" s="6" t="e">
        <f t="shared" si="15"/>
        <v>#DIV/0!</v>
      </c>
      <c r="AO41" s="57" t="e">
        <f t="shared" si="16"/>
        <v>#DIV/0!</v>
      </c>
      <c r="AP41" s="57" t="e">
        <f t="shared" si="20"/>
        <v>#DIV/0!</v>
      </c>
      <c r="AQ41" s="57" t="e">
        <f t="shared" si="21"/>
        <v>#DIV/0!</v>
      </c>
      <c r="AR41" s="57" t="e">
        <f t="shared" si="22"/>
        <v>#DIV/0!</v>
      </c>
      <c r="AS41" s="57" t="e">
        <f t="shared" si="23"/>
        <v>#DIV/0!</v>
      </c>
    </row>
    <row r="42" spans="1:45" ht="33" hidden="1" customHeight="1">
      <c r="A42" s="22">
        <v>0</v>
      </c>
      <c r="B42" s="12"/>
      <c r="C42" s="203"/>
      <c r="D42" s="12"/>
      <c r="E42" s="12"/>
      <c r="F42" s="12"/>
      <c r="G42" s="12"/>
      <c r="H42" s="12"/>
      <c r="I42" s="12"/>
      <c r="J42" s="12"/>
      <c r="K42" s="12"/>
      <c r="L42" s="12"/>
      <c r="M42" s="12"/>
      <c r="N42" s="12"/>
      <c r="O42" s="12"/>
      <c r="P42" s="12"/>
      <c r="Q42" s="12"/>
      <c r="R42" s="12"/>
      <c r="S42" s="12"/>
      <c r="T42" s="12"/>
      <c r="U42" s="13">
        <f t="shared" si="0"/>
        <v>0</v>
      </c>
      <c r="V42" s="13">
        <f t="shared" si="1"/>
        <v>0</v>
      </c>
      <c r="W42" s="13">
        <f t="shared" si="2"/>
        <v>0</v>
      </c>
      <c r="X42" s="13">
        <f t="shared" si="3"/>
        <v>0</v>
      </c>
      <c r="Y42" s="13">
        <f t="shared" si="4"/>
        <v>0</v>
      </c>
      <c r="Z42" s="13">
        <f t="shared" si="5"/>
        <v>0</v>
      </c>
      <c r="AA42" s="13">
        <f t="shared" si="6"/>
        <v>0</v>
      </c>
      <c r="AB42" s="13">
        <f t="shared" si="7"/>
        <v>0</v>
      </c>
      <c r="AC42" s="23">
        <f t="shared" si="24"/>
        <v>0</v>
      </c>
      <c r="AD42" s="23">
        <f t="shared" si="8"/>
        <v>0</v>
      </c>
      <c r="AE42" s="23">
        <f t="shared" si="17"/>
        <v>0</v>
      </c>
      <c r="AF42" s="23">
        <f t="shared" si="18"/>
        <v>0</v>
      </c>
      <c r="AG42" s="23">
        <f t="shared" si="19"/>
        <v>0</v>
      </c>
      <c r="AH42" s="13" t="e">
        <f t="shared" si="9"/>
        <v>#DIV/0!</v>
      </c>
      <c r="AI42" s="13" t="e">
        <f t="shared" si="10"/>
        <v>#DIV/0!</v>
      </c>
      <c r="AJ42" s="10" t="e">
        <f t="shared" si="11"/>
        <v>#DIV/0!</v>
      </c>
      <c r="AK42" s="6" t="e">
        <f t="shared" si="12"/>
        <v>#DIV/0!</v>
      </c>
      <c r="AL42" s="6" t="e">
        <f t="shared" si="13"/>
        <v>#DIV/0!</v>
      </c>
      <c r="AM42" s="6" t="e">
        <f t="shared" si="14"/>
        <v>#DIV/0!</v>
      </c>
      <c r="AN42" s="6" t="e">
        <f t="shared" si="15"/>
        <v>#DIV/0!</v>
      </c>
      <c r="AO42" s="57" t="e">
        <f t="shared" si="16"/>
        <v>#DIV/0!</v>
      </c>
      <c r="AP42" s="57" t="e">
        <f t="shared" si="20"/>
        <v>#DIV/0!</v>
      </c>
      <c r="AQ42" s="57" t="e">
        <f t="shared" si="21"/>
        <v>#DIV/0!</v>
      </c>
      <c r="AR42" s="57" t="e">
        <f t="shared" si="22"/>
        <v>#DIV/0!</v>
      </c>
      <c r="AS42" s="57" t="e">
        <f t="shared" si="23"/>
        <v>#DIV/0!</v>
      </c>
    </row>
    <row r="43" spans="1:45" ht="33" hidden="1" customHeight="1">
      <c r="A43" s="22">
        <v>0</v>
      </c>
      <c r="B43" s="12"/>
      <c r="C43" s="203"/>
      <c r="D43" s="12"/>
      <c r="E43" s="12"/>
      <c r="F43" s="12"/>
      <c r="G43" s="12"/>
      <c r="H43" s="12"/>
      <c r="I43" s="12"/>
      <c r="J43" s="12"/>
      <c r="K43" s="12"/>
      <c r="L43" s="12"/>
      <c r="M43" s="12"/>
      <c r="N43" s="12"/>
      <c r="O43" s="12"/>
      <c r="P43" s="12"/>
      <c r="Q43" s="12"/>
      <c r="R43" s="12"/>
      <c r="S43" s="12"/>
      <c r="T43" s="12"/>
      <c r="U43" s="13">
        <f t="shared" si="0"/>
        <v>0</v>
      </c>
      <c r="V43" s="13">
        <f t="shared" si="1"/>
        <v>0</v>
      </c>
      <c r="W43" s="13">
        <f t="shared" si="2"/>
        <v>0</v>
      </c>
      <c r="X43" s="13">
        <f t="shared" si="3"/>
        <v>0</v>
      </c>
      <c r="Y43" s="13">
        <f t="shared" si="4"/>
        <v>0</v>
      </c>
      <c r="Z43" s="13">
        <f t="shared" si="5"/>
        <v>0</v>
      </c>
      <c r="AA43" s="13">
        <f t="shared" si="6"/>
        <v>0</v>
      </c>
      <c r="AB43" s="13">
        <f t="shared" si="7"/>
        <v>0</v>
      </c>
      <c r="AC43" s="23">
        <f t="shared" si="24"/>
        <v>0</v>
      </c>
      <c r="AD43" s="23">
        <f t="shared" si="8"/>
        <v>0</v>
      </c>
      <c r="AE43" s="23">
        <f t="shared" si="17"/>
        <v>0</v>
      </c>
      <c r="AF43" s="23">
        <f t="shared" si="18"/>
        <v>0</v>
      </c>
      <c r="AG43" s="23">
        <f t="shared" si="19"/>
        <v>0</v>
      </c>
      <c r="AH43" s="13" t="e">
        <f t="shared" si="9"/>
        <v>#DIV/0!</v>
      </c>
      <c r="AI43" s="13" t="e">
        <f t="shared" si="10"/>
        <v>#DIV/0!</v>
      </c>
      <c r="AJ43" s="10" t="e">
        <f t="shared" si="11"/>
        <v>#DIV/0!</v>
      </c>
      <c r="AK43" s="6" t="e">
        <f t="shared" si="12"/>
        <v>#DIV/0!</v>
      </c>
      <c r="AL43" s="6" t="e">
        <f t="shared" si="13"/>
        <v>#DIV/0!</v>
      </c>
      <c r="AM43" s="6" t="e">
        <f t="shared" si="14"/>
        <v>#DIV/0!</v>
      </c>
      <c r="AN43" s="6" t="e">
        <f t="shared" si="15"/>
        <v>#DIV/0!</v>
      </c>
      <c r="AO43" s="57" t="e">
        <f t="shared" si="16"/>
        <v>#DIV/0!</v>
      </c>
      <c r="AP43" s="57" t="e">
        <f t="shared" si="20"/>
        <v>#DIV/0!</v>
      </c>
      <c r="AQ43" s="57" t="e">
        <f t="shared" si="21"/>
        <v>#DIV/0!</v>
      </c>
      <c r="AR43" s="57" t="e">
        <f t="shared" si="22"/>
        <v>#DIV/0!</v>
      </c>
      <c r="AS43" s="57" t="e">
        <f t="shared" si="23"/>
        <v>#DIV/0!</v>
      </c>
    </row>
    <row r="44" spans="1:45" ht="33" hidden="1" customHeight="1">
      <c r="A44" s="22">
        <v>0</v>
      </c>
      <c r="B44" s="12"/>
      <c r="C44" s="203"/>
      <c r="D44" s="12"/>
      <c r="E44" s="12"/>
      <c r="F44" s="12"/>
      <c r="G44" s="12"/>
      <c r="H44" s="12"/>
      <c r="I44" s="12"/>
      <c r="J44" s="12"/>
      <c r="K44" s="12"/>
      <c r="L44" s="12"/>
      <c r="M44" s="12"/>
      <c r="N44" s="12"/>
      <c r="O44" s="12"/>
      <c r="P44" s="12"/>
      <c r="Q44" s="12"/>
      <c r="R44" s="12"/>
      <c r="S44" s="12"/>
      <c r="T44" s="12"/>
      <c r="U44" s="13">
        <f t="shared" si="0"/>
        <v>0</v>
      </c>
      <c r="V44" s="13">
        <f t="shared" si="1"/>
        <v>0</v>
      </c>
      <c r="W44" s="13">
        <f t="shared" si="2"/>
        <v>0</v>
      </c>
      <c r="X44" s="13">
        <f t="shared" si="3"/>
        <v>0</v>
      </c>
      <c r="Y44" s="13">
        <f t="shared" si="4"/>
        <v>0</v>
      </c>
      <c r="Z44" s="13">
        <f t="shared" si="5"/>
        <v>0</v>
      </c>
      <c r="AA44" s="13">
        <f t="shared" si="6"/>
        <v>0</v>
      </c>
      <c r="AB44" s="13">
        <f t="shared" si="7"/>
        <v>0</v>
      </c>
      <c r="AC44" s="23">
        <f t="shared" si="24"/>
        <v>0</v>
      </c>
      <c r="AD44" s="23">
        <f t="shared" si="8"/>
        <v>0</v>
      </c>
      <c r="AE44" s="23">
        <f t="shared" si="17"/>
        <v>0</v>
      </c>
      <c r="AF44" s="23">
        <f t="shared" si="18"/>
        <v>0</v>
      </c>
      <c r="AG44" s="23">
        <f t="shared" si="19"/>
        <v>0</v>
      </c>
      <c r="AH44" s="13" t="e">
        <f t="shared" si="9"/>
        <v>#DIV/0!</v>
      </c>
      <c r="AI44" s="13" t="e">
        <f t="shared" si="10"/>
        <v>#DIV/0!</v>
      </c>
      <c r="AJ44" s="10" t="e">
        <f t="shared" si="11"/>
        <v>#DIV/0!</v>
      </c>
      <c r="AK44" s="6" t="e">
        <f t="shared" si="12"/>
        <v>#DIV/0!</v>
      </c>
      <c r="AL44" s="6" t="e">
        <f t="shared" si="13"/>
        <v>#DIV/0!</v>
      </c>
      <c r="AM44" s="6" t="e">
        <f t="shared" si="14"/>
        <v>#DIV/0!</v>
      </c>
      <c r="AN44" s="6" t="e">
        <f t="shared" si="15"/>
        <v>#DIV/0!</v>
      </c>
      <c r="AO44" s="57" t="e">
        <f t="shared" si="16"/>
        <v>#DIV/0!</v>
      </c>
      <c r="AP44" s="57" t="e">
        <f t="shared" si="20"/>
        <v>#DIV/0!</v>
      </c>
      <c r="AQ44" s="57" t="e">
        <f t="shared" si="21"/>
        <v>#DIV/0!</v>
      </c>
      <c r="AR44" s="57" t="e">
        <f t="shared" si="22"/>
        <v>#DIV/0!</v>
      </c>
      <c r="AS44" s="57" t="e">
        <f t="shared" si="23"/>
        <v>#DIV/0!</v>
      </c>
    </row>
    <row r="45" spans="1:45" ht="33" hidden="1" customHeight="1">
      <c r="A45" s="22">
        <v>0</v>
      </c>
      <c r="B45" s="12"/>
      <c r="C45" s="203"/>
      <c r="D45" s="12"/>
      <c r="E45" s="12"/>
      <c r="F45" s="12"/>
      <c r="G45" s="12"/>
      <c r="H45" s="12"/>
      <c r="I45" s="12"/>
      <c r="J45" s="12"/>
      <c r="K45" s="12"/>
      <c r="L45" s="12"/>
      <c r="M45" s="12"/>
      <c r="N45" s="12"/>
      <c r="O45" s="12"/>
      <c r="P45" s="12"/>
      <c r="Q45" s="12"/>
      <c r="R45" s="12"/>
      <c r="S45" s="12"/>
      <c r="T45" s="12"/>
      <c r="U45" s="13">
        <f t="shared" si="0"/>
        <v>0</v>
      </c>
      <c r="V45" s="13">
        <f t="shared" si="1"/>
        <v>0</v>
      </c>
      <c r="W45" s="13">
        <f t="shared" si="2"/>
        <v>0</v>
      </c>
      <c r="X45" s="13">
        <f t="shared" si="3"/>
        <v>0</v>
      </c>
      <c r="Y45" s="13">
        <f t="shared" si="4"/>
        <v>0</v>
      </c>
      <c r="Z45" s="13">
        <f t="shared" si="5"/>
        <v>0</v>
      </c>
      <c r="AA45" s="13">
        <f t="shared" si="6"/>
        <v>0</v>
      </c>
      <c r="AB45" s="13">
        <f t="shared" si="7"/>
        <v>0</v>
      </c>
      <c r="AC45" s="23">
        <f t="shared" si="24"/>
        <v>0</v>
      </c>
      <c r="AD45" s="23">
        <f t="shared" si="8"/>
        <v>0</v>
      </c>
      <c r="AE45" s="23">
        <f t="shared" si="17"/>
        <v>0</v>
      </c>
      <c r="AF45" s="23">
        <f t="shared" si="18"/>
        <v>0</v>
      </c>
      <c r="AG45" s="23">
        <f t="shared" si="19"/>
        <v>0</v>
      </c>
      <c r="AH45" s="13" t="e">
        <f t="shared" si="9"/>
        <v>#DIV/0!</v>
      </c>
      <c r="AI45" s="13" t="e">
        <f t="shared" si="10"/>
        <v>#DIV/0!</v>
      </c>
      <c r="AJ45" s="10" t="e">
        <f t="shared" si="11"/>
        <v>#DIV/0!</v>
      </c>
      <c r="AK45" s="6" t="e">
        <f t="shared" si="12"/>
        <v>#DIV/0!</v>
      </c>
      <c r="AL45" s="6" t="e">
        <f t="shared" si="13"/>
        <v>#DIV/0!</v>
      </c>
      <c r="AM45" s="6" t="e">
        <f t="shared" si="14"/>
        <v>#DIV/0!</v>
      </c>
      <c r="AN45" s="6" t="e">
        <f t="shared" si="15"/>
        <v>#DIV/0!</v>
      </c>
      <c r="AO45" s="57" t="e">
        <f t="shared" si="16"/>
        <v>#DIV/0!</v>
      </c>
      <c r="AP45" s="57" t="e">
        <f t="shared" si="20"/>
        <v>#DIV/0!</v>
      </c>
      <c r="AQ45" s="57" t="e">
        <f t="shared" si="21"/>
        <v>#DIV/0!</v>
      </c>
      <c r="AR45" s="57" t="e">
        <f t="shared" si="22"/>
        <v>#DIV/0!</v>
      </c>
      <c r="AS45" s="57" t="e">
        <f t="shared" si="23"/>
        <v>#DIV/0!</v>
      </c>
    </row>
    <row r="46" spans="1:45" ht="33" hidden="1" customHeight="1">
      <c r="A46" s="22">
        <v>0</v>
      </c>
      <c r="B46" s="12"/>
      <c r="C46" s="203"/>
      <c r="D46" s="12"/>
      <c r="E46" s="12"/>
      <c r="F46" s="12"/>
      <c r="G46" s="12"/>
      <c r="H46" s="12"/>
      <c r="I46" s="12"/>
      <c r="J46" s="12"/>
      <c r="K46" s="12"/>
      <c r="L46" s="12"/>
      <c r="M46" s="12"/>
      <c r="N46" s="12"/>
      <c r="O46" s="12"/>
      <c r="P46" s="12"/>
      <c r="Q46" s="12"/>
      <c r="R46" s="12"/>
      <c r="S46" s="12"/>
      <c r="T46" s="12"/>
      <c r="U46" s="13">
        <f t="shared" ref="U46:U68" si="25">SUM(D46:T46)</f>
        <v>0</v>
      </c>
      <c r="V46" s="13">
        <f t="shared" ref="V46:V68" si="26">IF($D$12="CO1",D46,0)+IF($E$12="CO1",E46,0)+IF($F$12="CO1",F46,0)+IF($G$12="CO1",G46,0)+IF($H$12="CO1",H46,0)+IF($I$12="CO1",I46,0)+IF($J$12="CO1",J46,0)+IF($K$12="CO1",K46,0)+IF($L$12="CO1",L46,0)+IF($M$12="CO1",M46,0)+IF($N$12="CO1",N46,0)+IF($O$12="CO1",O46,0)+IF($P$12="CO1",P46,0)+IF($Q$12="CO1",Q46,0)+IF($R$12="CO1",R46,0)+IF($S$12="CO1",S46,0)+IF($T$12="CO1",T46,0)</f>
        <v>0</v>
      </c>
      <c r="W46" s="13">
        <f t="shared" ref="W46:W68" si="27">IF($D$12="CO2",D46,0)+IF($E$12="CO2",E46,0)+IF($F$12="CO2",F46,0)+IF($G$12="CO2",G46,0)+IF($H$12="CO2",H46,0)+IF($I$12="CO2",I46,0)+IF($J$12="CO2",J46,0)+IF($K$12="CO2",K46,0)+IF($L$12="CO2",L46,0)+IF($M$12="CO2",M46,0)+IF($N$12="CO2",N46,0)+IF($O$12="CO2",O46,0)+IF($P$12="CO2",P46,0)+IF($Q$12="CO2",Q46,0)+IF($R$12="CO2",R46,0)+IF($S$12="CO2",S46,0)+IF($T$12="CO2",T46,0)</f>
        <v>0</v>
      </c>
      <c r="X46" s="13">
        <f t="shared" ref="X46:X68" si="28">IF($D$12="CO3",D46,0)+IF($E$12="CO3",E46,0)+IF($F$12="CO3",F46,0)+IF($G$12="CO3",G46,0)+IF($H$12="CO3",H46,0)+IF($I$12="CO3",I46,0)+IF($J$12="CO3",J46,0)+IF($K$12="CO3",K46,0)+IF($L$12="CO3",L46,0)+IF($M$12="CO3",M46,0)+IF($N$12="CO3",N46,0)+IF($O$12="CO3",O46,0)+IF($P$12="CO3",P46,0)+IF($Q$12="CO3",Q46,0)+IF($R$12="CO3",R46,0)+IF($S$12="CO3",S46,0)+IF($T$12="CO3",T46,0)</f>
        <v>0</v>
      </c>
      <c r="Y46" s="13">
        <f t="shared" ref="Y46:Y68" si="29">IF($D$12="CO4",D46,0)+IF($E$12="CO4",E46,0)+IF($F$12="CO4",F46,0)+IF($G$12="CO4",G46,0)+IF($H$12="CO4",H46,0)+IF($I$12="CO4",I46,0)+IF($J$12="CO4",J46,0)+IF($K$12="CO4",K46,0)+IF($L$12="CO4",L46,0)+IF($M$12="CO4",M46,0)+IF($N$12="CO4",N46,0)+IF($O$12="CO4",O46,0)+IF($P$12="CO4",P46,0)+IF($Q$12="CO4",Q46,0)+IF($R$12="CO4",R46,0)+IF($S$12="CO4",S46,0)+IF($T$12="CO4",T46,0)</f>
        <v>0</v>
      </c>
      <c r="Z46" s="13">
        <f t="shared" ref="Z46:Z68" si="30">IF($D$12="CO5",D46,0)+IF($E$12="CO5",E46,0)+IF($F$12="CO5",F46,0)+IF($G$12="CO5",G46,0)+IF($H$12="CO5",H46,0)+IF($I$12="CO5",I46,0)+IF($J$12="CO5",J46,0)+IF($K$12="CO5",K46,0)+IF($L$12="CO5",L46,0)+IF($M$12="CO5",M46,0)+IF($N$12="CO5",N46,0)+IF($O$12="CO5",O46,0)+IF($P$12="CO5",P46,0)+IF($Q$12="CO5",Q46,0)+IF($R$12="CO5",R46,0)+IF($S$12="CO5",S46,0)+IF($T$12="CO5",T46,0)</f>
        <v>0</v>
      </c>
      <c r="AA46" s="13">
        <f t="shared" ref="AA46:AA68" si="31">IF($D$12="CO6",D46,0)+IF($E$12="CO6",E46,0)+IF($F$12="CO6",F46,0)+IF($G$12="CO6",G46,0)+IF($H$12="CO6",H46,0)+IF($I$12="CO6",I46,0)+IF($J$12="CO6",J46,0)+IF($K$12="CO6",K46,0)+IF($L$12="CO6",L46,0)+IF($M$12="CO6",M46,0)+IF($N$12="CO6",N46,0)+IF($O$12="CO6",O46,0)+IF($P$12="CO6",P46,0)+IF($Q$12="CO6",Q46,0)+IF($R$12="CO6",R46,0)+IF($S$12="CO6",S46,0)+IF($T$12="CO6",T46,0)</f>
        <v>0</v>
      </c>
      <c r="AB46" s="13">
        <f t="shared" ref="AB46:AB68" si="32">IF($D$12="CO7",D46,0)+IF($E$12="CO7",E46,0)+IF($F$12="CO7",F46,0)+IF($G$12="CO7",G46,0)+IF($H$12="CO7",H46,0)+IF($I$12="CO7",I46,0)+IF($J$12="CO7",J46,0)+IF($K$12="CO7",K46,0)+IF($L$12="CO7",L46,0)+IF($M$12="CO7",M46,0)+IF($N$12="CO7",N46,0)+IF($O$12="CO7",O46,0)+IF($P$12="CO7",P46,0)+IF($Q$12="CO7",Q46,0)+IF($R$12="CO7",R46,0)+IF($S$12="CO7",S46,0)+IF($T$12="CO7",T46,0)</f>
        <v>0</v>
      </c>
      <c r="AC46" s="23">
        <f t="shared" si="24"/>
        <v>0</v>
      </c>
      <c r="AD46" s="23">
        <f t="shared" ref="AD46:AD77" si="33">IF($D$12="CO9",D46,0)+IF($E$12="CO9",E46,0)+IF($F$12="CO9",F46,0)+IF($G$12="CO9",G46,0)+IF($H$12="CO9",H46,0)+IF($I$12="CO9",I46,0)+IF($J$12="CO9",J46,0)+IF($K$12="CO9",K46,0)+IF($L$12="CO9",L46,0)+IF($M$12="CO9",M46,0)+IF($N$12="CO9",N46,0)+IF($O$12="CO9",O46,0)+IF($P$12="CO9",P46,0)+IF($Q$12="CO9",Q46,0)+IF($R$12="CO9",R46,0)+IF($S$12="CO9",S46,0)+IF($T$12="CO9",T46,0)</f>
        <v>0</v>
      </c>
      <c r="AE46" s="23">
        <f t="shared" si="17"/>
        <v>0</v>
      </c>
      <c r="AF46" s="23">
        <f t="shared" si="18"/>
        <v>0</v>
      </c>
      <c r="AG46" s="23">
        <f t="shared" si="19"/>
        <v>0</v>
      </c>
      <c r="AH46" s="13" t="e">
        <f t="shared" ref="AH46:AH77" si="34">ROUND(V46/(IF($D$12="CO1",$D$13,0)+IF($E$12="CO1",$E$13,0)+IF($F$12="CO1",$F$13,0)+IF($G$12="CO1",$G$13,0)+IF($H$12="CO1",$H$13,0)+IF($I$12="CO1",$I$13,0)+IF($J$12="CO1",$J$13,0)+IF($K$12="CO1",$K$13,0)+IF($L$12="CO1",$L$13,0)+IF($M$12="CO1",$M$13,0)+IF($N$12="CO1",$N$13,0)+IF($O$12="CO1",$O$13,0)+IF($P$12="CO1",$P$13,0)+IF($Q$12="CO1",$Q$13,0)+IF($R$12="CO1",$R$13,0)+IF($S$12="CO1",$S$13,0)+IF($T$12="CO1",$T$13,0))*100,2)</f>
        <v>#DIV/0!</v>
      </c>
      <c r="AI46" s="13" t="e">
        <f t="shared" ref="AI46:AI77" si="35">ROUND(W46/(IF($D$12="CO2",$D$13,0)+IF($E$12="CO2",$E$13,0)+IF($F$12="CO2",$F$13,0)+IF($G$12="CO2",$G$13,0)+IF($H$12="CO2",$H$13,0)+IF($I$12="CO2",$I$13,0)+IF($J$12="CO2",$J$13,0)+IF($K$12="CO2",$K$13,0)+IF($L$12="CO2",$L$13,0)+IF($M$12="CO2",$M$13,0)+IF($N$12="CO2",$N$13,0)+IF($O$12="CO2",$O$13,0)+IF($P$12="CO2",$P$13,0)+IF($Q$12="CO2",$Q$13,0)+IF($R$12="CO2",$R$13,0)+IF($S$12="CO2",$S$13,0)+IF($T$12="CO2",$T$13,0))*100,2)</f>
        <v>#DIV/0!</v>
      </c>
      <c r="AJ46" s="10" t="e">
        <f t="shared" ref="AJ46:AJ77" si="36">ROUND(X46/(IF($D$12="CO3",$D$13,0)+IF($E$12="CO3",$E$13,0)+IF($F$12="CO3",$F$13,0)+IF($G$12="CO3",$G$13,0)+IF($H$12="CO3",$H$13,0)+IF($I$12="CO3",$I$13,0)+IF($J$12="CO3",$J$13,0)+IF($K$12="CO3",$K$13,0)+IF($L$12="CO3",$L$13,0)+IF($M$12="CO3",$M$13,0)+IF($N$12="CO3",$N$13,0)+IF($O$12="CO3",$O$13,0)+IF($P$12="CO3",$P$13,0)+IF($Q$12="CO3",$Q$13,0)+IF($R$12="CO3",$R$13,0)+IF($S$12="CO3",$S$13,0)+IF($T$12="CO3",$T$13,0))*100,2)</f>
        <v>#DIV/0!</v>
      </c>
      <c r="AK46" s="6" t="e">
        <f t="shared" ref="AK46:AK77" si="37">ROUND(Y46/(IF($D$12="CO4",$D$13,0)+IF($E$12="CO4",$E$13,0)+IF($F$12="CO4",$F$13,0)+IF($G$12="CO4",$G$13,0)+IF($H$12="CO4",$H$13,0)+IF($I$12="CO4",$I$13,0)+IF($J$12="CO4",$J$13,0)+IF($K$12="CO4",$K$13,0)+IF($L$12="CO4",$L$13,0)+IF($M$12="CO4",$M$13,0)+IF($N$12="CO4",$N$13,0)+IF($O$12="CO4",$O$13,0)+IF($P$12="CO4",$P$13,0)+IF($Q$12="CO4",$Q$13,0)+IF($R$12="CO4",$R$13,0)+IF($S$12="CO4",$S$13,0)+IF($T$12="CO4",$T$13,0))*100,2)</f>
        <v>#DIV/0!</v>
      </c>
      <c r="AL46" s="6" t="e">
        <f t="shared" ref="AL46:AL77" si="38">ROUND(Z46/(IF($D$12="CO5",$D$13,0)+IF($E$12="CO5",$E$13,0)+IF($F$12="CO5",$F$13,0)+IF($G$12="CO5",$G$13,0)+IF($H$12="CO5",$H$13,0)+IF($I$12="CO5",$I$13,0)+IF($J$12="CO5",$J$13,0)+IF($K$12="CO5",$K$13,0)+IF($L$12="CO5",$L$13,0)+IF($M$12="CO5",$M$13,0)+IF($N$12="CO5",$N$13,0)+IF($O$12="CO5",$O$13,0)+IF($P$12="CO5",$P$13,0)+IF($Q$12="CO5",$Q$13,0)+IF($R$12="CO5",$R$13,0)+IF($S$12="CO5",$S$13,0)+IF($T$12="CO5",$T$13,0))*100,2)</f>
        <v>#DIV/0!</v>
      </c>
      <c r="AM46" s="6" t="e">
        <f t="shared" ref="AM46:AM77" si="39">ROUND(AA46/(IF($D$12="CO6",$D$13,0)+IF($E$12="CO6",$E$13,0)+IF($F$12="CO6",$F$13,0)+IF($G$12="CO6",$G$13,0)+IF($H$12="CO6",$H$13,0)+IF($I$12="CO6",$I$13,0)+IF($J$12="CO6",$J$13,0)+IF($K$12="CO6",$K$13,0)+IF($L$12="CO6",$L$13,0)+IF($M$12="CO6",$M$13,0)+IF($N$12="CO6",$N$13,0)+IF($O$12="CO6",$O$13,0)+IF($P$12="CO6",$P$13,0)+IF($Q$12="CO6",$Q$13,0)+IF($R$12="CO6",$R$13,0)+IF($S$12="CO6",$S$13,0)+IF($T$12="CO6",$T$13,0))*100,2)</f>
        <v>#DIV/0!</v>
      </c>
      <c r="AN46" s="6" t="e">
        <f t="shared" ref="AN46:AN77" si="40">ROUND(AB46/(IF($D$12="CO7",$D$13,0)+IF($E$12="CO7",$E$13,0)+IF($F$12="CO7",$F$13,0)+IF($G$12="CO7",$G$13,0)+IF($H$12="CO7",$H$13,0)+IF($I$12="CO7",$I$13,0)+IF($J$12="CO7",$J$13,0)+IF($K$12="CO7",$K$13,0)+IF($L$12="CO7",$L$13,0)+IF($M$12="CO7",$M$13,0)+IF($N$12="CO7",$N$13,0)+IF($O$12="CO7",$O$13,0)+IF($P$12="CO7",$P$13,0)+IF($Q$12="CO7",$Q$13,0)+IF($R$12="CO7",$R$13,0)+IF($S$12="CO7",$S$13,0)+IF($T$12="CO7",$T$13,0))*100,2)</f>
        <v>#DIV/0!</v>
      </c>
      <c r="AO46" s="57" t="e">
        <f t="shared" ref="AO46:AO77" si="41">ROUND(AC46/(IF($D$12="CO8",$D$13,0)+IF($E$12="CO8",$E$13,0)+IF($F$12="CO8",$F$13,0)+IF($G$12="CO8",$G$13,0)+IF($H$12="CO8",$H$13,0)+IF($I$12="CO8",$I$13,0)+IF($J$12="CO8",$J$13,0)+IF($K$12="CO8",$K$13,0)+IF($L$12="CO8",$L$13,0)+IF($M$12="CO8",$M$13,0)+IF($N$12="CO8",$N$13,0)+IF($O$12="CO8",$O$13,0)+IF($P$12="CO8",$P$13,0)+IF($Q$12="CO8",$Q$13,0)+IF($R$12="CO8",$R$13,0)+IF($S$12="CO8",$S$13,0)+IF($T$12="CO8",$T$13,0))*100,2)</f>
        <v>#DIV/0!</v>
      </c>
      <c r="AP46" s="57" t="e">
        <f t="shared" si="20"/>
        <v>#DIV/0!</v>
      </c>
      <c r="AQ46" s="57" t="e">
        <f t="shared" si="21"/>
        <v>#DIV/0!</v>
      </c>
      <c r="AR46" s="57" t="e">
        <f t="shared" si="22"/>
        <v>#DIV/0!</v>
      </c>
      <c r="AS46" s="57" t="e">
        <f t="shared" si="23"/>
        <v>#DIV/0!</v>
      </c>
    </row>
    <row r="47" spans="1:45" ht="33" hidden="1" customHeight="1">
      <c r="A47" s="22">
        <v>0</v>
      </c>
      <c r="B47" s="12"/>
      <c r="C47" s="203"/>
      <c r="D47" s="12"/>
      <c r="E47" s="12"/>
      <c r="F47" s="12"/>
      <c r="G47" s="12"/>
      <c r="H47" s="12"/>
      <c r="I47" s="12"/>
      <c r="J47" s="12"/>
      <c r="K47" s="12"/>
      <c r="L47" s="12"/>
      <c r="M47" s="12"/>
      <c r="N47" s="12"/>
      <c r="O47" s="12"/>
      <c r="P47" s="12"/>
      <c r="Q47" s="12"/>
      <c r="R47" s="12"/>
      <c r="S47" s="12"/>
      <c r="T47" s="12"/>
      <c r="U47" s="13">
        <f t="shared" si="25"/>
        <v>0</v>
      </c>
      <c r="V47" s="13">
        <f t="shared" si="26"/>
        <v>0</v>
      </c>
      <c r="W47" s="13">
        <f t="shared" si="27"/>
        <v>0</v>
      </c>
      <c r="X47" s="13">
        <f t="shared" si="28"/>
        <v>0</v>
      </c>
      <c r="Y47" s="13">
        <f t="shared" si="29"/>
        <v>0</v>
      </c>
      <c r="Z47" s="13">
        <f t="shared" si="30"/>
        <v>0</v>
      </c>
      <c r="AA47" s="13">
        <f t="shared" si="31"/>
        <v>0</v>
      </c>
      <c r="AB47" s="13">
        <f t="shared" si="32"/>
        <v>0</v>
      </c>
      <c r="AC47" s="23">
        <f t="shared" si="24"/>
        <v>0</v>
      </c>
      <c r="AD47" s="23">
        <f t="shared" si="33"/>
        <v>0</v>
      </c>
      <c r="AE47" s="23">
        <f t="shared" si="17"/>
        <v>0</v>
      </c>
      <c r="AF47" s="23">
        <f t="shared" si="18"/>
        <v>0</v>
      </c>
      <c r="AG47" s="23">
        <f t="shared" si="19"/>
        <v>0</v>
      </c>
      <c r="AH47" s="13" t="e">
        <f t="shared" si="34"/>
        <v>#DIV/0!</v>
      </c>
      <c r="AI47" s="13" t="e">
        <f t="shared" si="35"/>
        <v>#DIV/0!</v>
      </c>
      <c r="AJ47" s="10" t="e">
        <f t="shared" si="36"/>
        <v>#DIV/0!</v>
      </c>
      <c r="AK47" s="6" t="e">
        <f t="shared" si="37"/>
        <v>#DIV/0!</v>
      </c>
      <c r="AL47" s="6" t="e">
        <f t="shared" si="38"/>
        <v>#DIV/0!</v>
      </c>
      <c r="AM47" s="6" t="e">
        <f t="shared" si="39"/>
        <v>#DIV/0!</v>
      </c>
      <c r="AN47" s="6" t="e">
        <f t="shared" si="40"/>
        <v>#DIV/0!</v>
      </c>
      <c r="AO47" s="57" t="e">
        <f t="shared" si="41"/>
        <v>#DIV/0!</v>
      </c>
      <c r="AP47" s="57" t="e">
        <f t="shared" si="20"/>
        <v>#DIV/0!</v>
      </c>
      <c r="AQ47" s="57" t="e">
        <f t="shared" si="21"/>
        <v>#DIV/0!</v>
      </c>
      <c r="AR47" s="57" t="e">
        <f t="shared" si="22"/>
        <v>#DIV/0!</v>
      </c>
      <c r="AS47" s="57" t="e">
        <f t="shared" si="23"/>
        <v>#DIV/0!</v>
      </c>
    </row>
    <row r="48" spans="1:45" ht="33" hidden="1" customHeight="1">
      <c r="A48" s="22">
        <v>0</v>
      </c>
      <c r="B48" s="12"/>
      <c r="C48" s="203"/>
      <c r="D48" s="12"/>
      <c r="E48" s="12"/>
      <c r="F48" s="12"/>
      <c r="G48" s="12"/>
      <c r="H48" s="12"/>
      <c r="I48" s="12"/>
      <c r="J48" s="12"/>
      <c r="K48" s="12"/>
      <c r="L48" s="12"/>
      <c r="M48" s="12"/>
      <c r="N48" s="12"/>
      <c r="O48" s="12"/>
      <c r="P48" s="12"/>
      <c r="Q48" s="12"/>
      <c r="R48" s="12"/>
      <c r="S48" s="12"/>
      <c r="T48" s="12"/>
      <c r="U48" s="13">
        <f t="shared" si="25"/>
        <v>0</v>
      </c>
      <c r="V48" s="13">
        <f t="shared" si="26"/>
        <v>0</v>
      </c>
      <c r="W48" s="13">
        <f t="shared" si="27"/>
        <v>0</v>
      </c>
      <c r="X48" s="13">
        <f t="shared" si="28"/>
        <v>0</v>
      </c>
      <c r="Y48" s="13">
        <f t="shared" si="29"/>
        <v>0</v>
      </c>
      <c r="Z48" s="13">
        <f t="shared" si="30"/>
        <v>0</v>
      </c>
      <c r="AA48" s="13">
        <f t="shared" si="31"/>
        <v>0</v>
      </c>
      <c r="AB48" s="13">
        <f t="shared" si="32"/>
        <v>0</v>
      </c>
      <c r="AC48" s="23">
        <f t="shared" si="24"/>
        <v>0</v>
      </c>
      <c r="AD48" s="23">
        <f t="shared" si="33"/>
        <v>0</v>
      </c>
      <c r="AE48" s="23">
        <f t="shared" si="17"/>
        <v>0</v>
      </c>
      <c r="AF48" s="23">
        <f t="shared" si="18"/>
        <v>0</v>
      </c>
      <c r="AG48" s="23">
        <f t="shared" si="19"/>
        <v>0</v>
      </c>
      <c r="AH48" s="13" t="e">
        <f t="shared" si="34"/>
        <v>#DIV/0!</v>
      </c>
      <c r="AI48" s="13" t="e">
        <f t="shared" si="35"/>
        <v>#DIV/0!</v>
      </c>
      <c r="AJ48" s="10" t="e">
        <f t="shared" si="36"/>
        <v>#DIV/0!</v>
      </c>
      <c r="AK48" s="6" t="e">
        <f t="shared" si="37"/>
        <v>#DIV/0!</v>
      </c>
      <c r="AL48" s="6" t="e">
        <f t="shared" si="38"/>
        <v>#DIV/0!</v>
      </c>
      <c r="AM48" s="6" t="e">
        <f t="shared" si="39"/>
        <v>#DIV/0!</v>
      </c>
      <c r="AN48" s="6" t="e">
        <f t="shared" si="40"/>
        <v>#DIV/0!</v>
      </c>
      <c r="AO48" s="57" t="e">
        <f t="shared" si="41"/>
        <v>#DIV/0!</v>
      </c>
      <c r="AP48" s="57" t="e">
        <f t="shared" si="20"/>
        <v>#DIV/0!</v>
      </c>
      <c r="AQ48" s="57" t="e">
        <f t="shared" si="21"/>
        <v>#DIV/0!</v>
      </c>
      <c r="AR48" s="57" t="e">
        <f t="shared" si="22"/>
        <v>#DIV/0!</v>
      </c>
      <c r="AS48" s="57" t="e">
        <f t="shared" si="23"/>
        <v>#DIV/0!</v>
      </c>
    </row>
    <row r="49" spans="1:45" ht="33" hidden="1" customHeight="1">
      <c r="A49" s="22">
        <v>0</v>
      </c>
      <c r="B49" s="12"/>
      <c r="C49" s="203"/>
      <c r="D49" s="12"/>
      <c r="E49" s="12"/>
      <c r="F49" s="12"/>
      <c r="G49" s="12"/>
      <c r="H49" s="12"/>
      <c r="I49" s="12"/>
      <c r="J49" s="12"/>
      <c r="K49" s="12"/>
      <c r="L49" s="12"/>
      <c r="M49" s="12"/>
      <c r="N49" s="12"/>
      <c r="O49" s="12"/>
      <c r="P49" s="12"/>
      <c r="Q49" s="12"/>
      <c r="R49" s="12"/>
      <c r="S49" s="12"/>
      <c r="T49" s="12"/>
      <c r="U49" s="13">
        <f t="shared" si="25"/>
        <v>0</v>
      </c>
      <c r="V49" s="13">
        <f t="shared" si="26"/>
        <v>0</v>
      </c>
      <c r="W49" s="13">
        <f t="shared" si="27"/>
        <v>0</v>
      </c>
      <c r="X49" s="13">
        <f t="shared" si="28"/>
        <v>0</v>
      </c>
      <c r="Y49" s="13">
        <f t="shared" si="29"/>
        <v>0</v>
      </c>
      <c r="Z49" s="13">
        <f t="shared" si="30"/>
        <v>0</v>
      </c>
      <c r="AA49" s="13">
        <f t="shared" si="31"/>
        <v>0</v>
      </c>
      <c r="AB49" s="13">
        <f t="shared" si="32"/>
        <v>0</v>
      </c>
      <c r="AC49" s="23">
        <f t="shared" si="24"/>
        <v>0</v>
      </c>
      <c r="AD49" s="23">
        <f t="shared" si="33"/>
        <v>0</v>
      </c>
      <c r="AE49" s="23">
        <f t="shared" si="17"/>
        <v>0</v>
      </c>
      <c r="AF49" s="23">
        <f t="shared" si="18"/>
        <v>0</v>
      </c>
      <c r="AG49" s="23">
        <f t="shared" si="19"/>
        <v>0</v>
      </c>
      <c r="AH49" s="13" t="e">
        <f t="shared" si="34"/>
        <v>#DIV/0!</v>
      </c>
      <c r="AI49" s="13" t="e">
        <f t="shared" si="35"/>
        <v>#DIV/0!</v>
      </c>
      <c r="AJ49" s="10" t="e">
        <f t="shared" si="36"/>
        <v>#DIV/0!</v>
      </c>
      <c r="AK49" s="6" t="e">
        <f t="shared" si="37"/>
        <v>#DIV/0!</v>
      </c>
      <c r="AL49" s="6" t="e">
        <f t="shared" si="38"/>
        <v>#DIV/0!</v>
      </c>
      <c r="AM49" s="6" t="e">
        <f t="shared" si="39"/>
        <v>#DIV/0!</v>
      </c>
      <c r="AN49" s="6" t="e">
        <f t="shared" si="40"/>
        <v>#DIV/0!</v>
      </c>
      <c r="AO49" s="57" t="e">
        <f t="shared" si="41"/>
        <v>#DIV/0!</v>
      </c>
      <c r="AP49" s="57" t="e">
        <f t="shared" si="20"/>
        <v>#DIV/0!</v>
      </c>
      <c r="AQ49" s="57" t="e">
        <f t="shared" si="21"/>
        <v>#DIV/0!</v>
      </c>
      <c r="AR49" s="57" t="e">
        <f t="shared" si="22"/>
        <v>#DIV/0!</v>
      </c>
      <c r="AS49" s="57" t="e">
        <f t="shared" si="23"/>
        <v>#DIV/0!</v>
      </c>
    </row>
    <row r="50" spans="1:45" ht="33" hidden="1" customHeight="1">
      <c r="A50" s="22">
        <v>0</v>
      </c>
      <c r="B50" s="12"/>
      <c r="C50" s="203"/>
      <c r="D50" s="12"/>
      <c r="E50" s="12"/>
      <c r="F50" s="12"/>
      <c r="G50" s="12"/>
      <c r="H50" s="12"/>
      <c r="I50" s="12"/>
      <c r="J50" s="12"/>
      <c r="K50" s="12"/>
      <c r="L50" s="12"/>
      <c r="M50" s="12"/>
      <c r="N50" s="12"/>
      <c r="O50" s="12"/>
      <c r="P50" s="12"/>
      <c r="Q50" s="12"/>
      <c r="R50" s="12"/>
      <c r="S50" s="12"/>
      <c r="T50" s="12"/>
      <c r="U50" s="13">
        <f t="shared" si="25"/>
        <v>0</v>
      </c>
      <c r="V50" s="13">
        <f t="shared" si="26"/>
        <v>0</v>
      </c>
      <c r="W50" s="13">
        <f t="shared" si="27"/>
        <v>0</v>
      </c>
      <c r="X50" s="13">
        <f t="shared" si="28"/>
        <v>0</v>
      </c>
      <c r="Y50" s="13">
        <f t="shared" si="29"/>
        <v>0</v>
      </c>
      <c r="Z50" s="13">
        <f t="shared" si="30"/>
        <v>0</v>
      </c>
      <c r="AA50" s="13">
        <f t="shared" si="31"/>
        <v>0</v>
      </c>
      <c r="AB50" s="13">
        <f t="shared" si="32"/>
        <v>0</v>
      </c>
      <c r="AC50" s="23">
        <f t="shared" si="24"/>
        <v>0</v>
      </c>
      <c r="AD50" s="23">
        <f t="shared" si="33"/>
        <v>0</v>
      </c>
      <c r="AE50" s="23">
        <f t="shared" si="17"/>
        <v>0</v>
      </c>
      <c r="AF50" s="23">
        <f t="shared" si="18"/>
        <v>0</v>
      </c>
      <c r="AG50" s="23">
        <f t="shared" si="19"/>
        <v>0</v>
      </c>
      <c r="AH50" s="13" t="e">
        <f t="shared" si="34"/>
        <v>#DIV/0!</v>
      </c>
      <c r="AI50" s="13" t="e">
        <f t="shared" si="35"/>
        <v>#DIV/0!</v>
      </c>
      <c r="AJ50" s="10" t="e">
        <f t="shared" si="36"/>
        <v>#DIV/0!</v>
      </c>
      <c r="AK50" s="6" t="e">
        <f t="shared" si="37"/>
        <v>#DIV/0!</v>
      </c>
      <c r="AL50" s="6" t="e">
        <f t="shared" si="38"/>
        <v>#DIV/0!</v>
      </c>
      <c r="AM50" s="6" t="e">
        <f t="shared" si="39"/>
        <v>#DIV/0!</v>
      </c>
      <c r="AN50" s="6" t="e">
        <f t="shared" si="40"/>
        <v>#DIV/0!</v>
      </c>
      <c r="AO50" s="57" t="e">
        <f t="shared" si="41"/>
        <v>#DIV/0!</v>
      </c>
      <c r="AP50" s="57" t="e">
        <f t="shared" si="20"/>
        <v>#DIV/0!</v>
      </c>
      <c r="AQ50" s="57" t="e">
        <f t="shared" si="21"/>
        <v>#DIV/0!</v>
      </c>
      <c r="AR50" s="57" t="e">
        <f t="shared" si="22"/>
        <v>#DIV/0!</v>
      </c>
      <c r="AS50" s="57" t="e">
        <f t="shared" si="23"/>
        <v>#DIV/0!</v>
      </c>
    </row>
    <row r="51" spans="1:45" ht="33" hidden="1" customHeight="1">
      <c r="A51" s="22">
        <v>0</v>
      </c>
      <c r="B51" s="12"/>
      <c r="C51" s="203"/>
      <c r="D51" s="12"/>
      <c r="E51" s="12"/>
      <c r="F51" s="12"/>
      <c r="G51" s="12"/>
      <c r="H51" s="12"/>
      <c r="I51" s="12"/>
      <c r="J51" s="12"/>
      <c r="K51" s="12"/>
      <c r="L51" s="12"/>
      <c r="M51" s="12"/>
      <c r="N51" s="12"/>
      <c r="O51" s="12"/>
      <c r="P51" s="12"/>
      <c r="Q51" s="12"/>
      <c r="R51" s="12"/>
      <c r="S51" s="12"/>
      <c r="T51" s="12"/>
      <c r="U51" s="13">
        <f t="shared" si="25"/>
        <v>0</v>
      </c>
      <c r="V51" s="13">
        <f t="shared" si="26"/>
        <v>0</v>
      </c>
      <c r="W51" s="13">
        <f t="shared" si="27"/>
        <v>0</v>
      </c>
      <c r="X51" s="13">
        <f t="shared" si="28"/>
        <v>0</v>
      </c>
      <c r="Y51" s="13">
        <f t="shared" si="29"/>
        <v>0</v>
      </c>
      <c r="Z51" s="13">
        <f t="shared" si="30"/>
        <v>0</v>
      </c>
      <c r="AA51" s="13">
        <f t="shared" si="31"/>
        <v>0</v>
      </c>
      <c r="AB51" s="13">
        <f t="shared" si="32"/>
        <v>0</v>
      </c>
      <c r="AC51" s="23">
        <f t="shared" si="24"/>
        <v>0</v>
      </c>
      <c r="AD51" s="23">
        <f t="shared" si="33"/>
        <v>0</v>
      </c>
      <c r="AE51" s="23">
        <f t="shared" si="17"/>
        <v>0</v>
      </c>
      <c r="AF51" s="23">
        <f t="shared" si="18"/>
        <v>0</v>
      </c>
      <c r="AG51" s="23">
        <f t="shared" si="19"/>
        <v>0</v>
      </c>
      <c r="AH51" s="13" t="e">
        <f t="shared" si="34"/>
        <v>#DIV/0!</v>
      </c>
      <c r="AI51" s="13" t="e">
        <f t="shared" si="35"/>
        <v>#DIV/0!</v>
      </c>
      <c r="AJ51" s="10" t="e">
        <f t="shared" si="36"/>
        <v>#DIV/0!</v>
      </c>
      <c r="AK51" s="6" t="e">
        <f t="shared" si="37"/>
        <v>#DIV/0!</v>
      </c>
      <c r="AL51" s="6" t="e">
        <f t="shared" si="38"/>
        <v>#DIV/0!</v>
      </c>
      <c r="AM51" s="6" t="e">
        <f t="shared" si="39"/>
        <v>#DIV/0!</v>
      </c>
      <c r="AN51" s="6" t="e">
        <f t="shared" si="40"/>
        <v>#DIV/0!</v>
      </c>
      <c r="AO51" s="57" t="e">
        <f t="shared" si="41"/>
        <v>#DIV/0!</v>
      </c>
      <c r="AP51" s="57" t="e">
        <f t="shared" si="20"/>
        <v>#DIV/0!</v>
      </c>
      <c r="AQ51" s="57" t="e">
        <f t="shared" si="21"/>
        <v>#DIV/0!</v>
      </c>
      <c r="AR51" s="57" t="e">
        <f t="shared" si="22"/>
        <v>#DIV/0!</v>
      </c>
      <c r="AS51" s="57" t="e">
        <f t="shared" si="23"/>
        <v>#DIV/0!</v>
      </c>
    </row>
    <row r="52" spans="1:45" ht="33" hidden="1" customHeight="1">
      <c r="A52" s="22">
        <v>0</v>
      </c>
      <c r="B52" s="12"/>
      <c r="C52" s="203"/>
      <c r="D52" s="12"/>
      <c r="E52" s="12"/>
      <c r="F52" s="12"/>
      <c r="G52" s="12"/>
      <c r="H52" s="12"/>
      <c r="I52" s="12"/>
      <c r="J52" s="12"/>
      <c r="K52" s="12"/>
      <c r="L52" s="12"/>
      <c r="M52" s="12"/>
      <c r="N52" s="12"/>
      <c r="O52" s="12"/>
      <c r="P52" s="12"/>
      <c r="Q52" s="12"/>
      <c r="R52" s="12"/>
      <c r="S52" s="12"/>
      <c r="T52" s="12"/>
      <c r="U52" s="13">
        <f t="shared" si="25"/>
        <v>0</v>
      </c>
      <c r="V52" s="13">
        <f t="shared" si="26"/>
        <v>0</v>
      </c>
      <c r="W52" s="13">
        <f t="shared" si="27"/>
        <v>0</v>
      </c>
      <c r="X52" s="13">
        <f t="shared" si="28"/>
        <v>0</v>
      </c>
      <c r="Y52" s="13">
        <f t="shared" si="29"/>
        <v>0</v>
      </c>
      <c r="Z52" s="13">
        <f t="shared" si="30"/>
        <v>0</v>
      </c>
      <c r="AA52" s="13">
        <f t="shared" si="31"/>
        <v>0</v>
      </c>
      <c r="AB52" s="13">
        <f t="shared" si="32"/>
        <v>0</v>
      </c>
      <c r="AC52" s="23">
        <f t="shared" si="24"/>
        <v>0</v>
      </c>
      <c r="AD52" s="23">
        <f t="shared" si="33"/>
        <v>0</v>
      </c>
      <c r="AE52" s="23">
        <f t="shared" si="17"/>
        <v>0</v>
      </c>
      <c r="AF52" s="23">
        <f t="shared" si="18"/>
        <v>0</v>
      </c>
      <c r="AG52" s="23">
        <f t="shared" si="19"/>
        <v>0</v>
      </c>
      <c r="AH52" s="13" t="e">
        <f t="shared" si="34"/>
        <v>#DIV/0!</v>
      </c>
      <c r="AI52" s="13" t="e">
        <f t="shared" si="35"/>
        <v>#DIV/0!</v>
      </c>
      <c r="AJ52" s="10" t="e">
        <f t="shared" si="36"/>
        <v>#DIV/0!</v>
      </c>
      <c r="AK52" s="6" t="e">
        <f t="shared" si="37"/>
        <v>#DIV/0!</v>
      </c>
      <c r="AL52" s="6" t="e">
        <f t="shared" si="38"/>
        <v>#DIV/0!</v>
      </c>
      <c r="AM52" s="6" t="e">
        <f t="shared" si="39"/>
        <v>#DIV/0!</v>
      </c>
      <c r="AN52" s="6" t="e">
        <f t="shared" si="40"/>
        <v>#DIV/0!</v>
      </c>
      <c r="AO52" s="57" t="e">
        <f t="shared" si="41"/>
        <v>#DIV/0!</v>
      </c>
      <c r="AP52" s="57" t="e">
        <f t="shared" si="20"/>
        <v>#DIV/0!</v>
      </c>
      <c r="AQ52" s="57" t="e">
        <f t="shared" si="21"/>
        <v>#DIV/0!</v>
      </c>
      <c r="AR52" s="57" t="e">
        <f t="shared" si="22"/>
        <v>#DIV/0!</v>
      </c>
      <c r="AS52" s="57" t="e">
        <f t="shared" si="23"/>
        <v>#DIV/0!</v>
      </c>
    </row>
    <row r="53" spans="1:45" ht="33" hidden="1" customHeight="1">
      <c r="A53" s="22">
        <v>0</v>
      </c>
      <c r="B53" s="12"/>
      <c r="C53" s="203"/>
      <c r="D53" s="12"/>
      <c r="E53" s="12"/>
      <c r="F53" s="12"/>
      <c r="G53" s="12"/>
      <c r="H53" s="12"/>
      <c r="I53" s="12"/>
      <c r="J53" s="12"/>
      <c r="K53" s="12"/>
      <c r="L53" s="12"/>
      <c r="M53" s="12"/>
      <c r="N53" s="12"/>
      <c r="O53" s="12"/>
      <c r="P53" s="12"/>
      <c r="Q53" s="12"/>
      <c r="R53" s="12"/>
      <c r="S53" s="12"/>
      <c r="T53" s="12"/>
      <c r="U53" s="13">
        <f t="shared" si="25"/>
        <v>0</v>
      </c>
      <c r="V53" s="13">
        <f t="shared" si="26"/>
        <v>0</v>
      </c>
      <c r="W53" s="13">
        <f t="shared" si="27"/>
        <v>0</v>
      </c>
      <c r="X53" s="13">
        <f t="shared" si="28"/>
        <v>0</v>
      </c>
      <c r="Y53" s="13">
        <f t="shared" si="29"/>
        <v>0</v>
      </c>
      <c r="Z53" s="13">
        <f t="shared" si="30"/>
        <v>0</v>
      </c>
      <c r="AA53" s="13">
        <f t="shared" si="31"/>
        <v>0</v>
      </c>
      <c r="AB53" s="13">
        <f t="shared" si="32"/>
        <v>0</v>
      </c>
      <c r="AC53" s="23">
        <f t="shared" si="24"/>
        <v>0</v>
      </c>
      <c r="AD53" s="23">
        <f t="shared" si="33"/>
        <v>0</v>
      </c>
      <c r="AE53" s="23">
        <f t="shared" si="17"/>
        <v>0</v>
      </c>
      <c r="AF53" s="23">
        <f t="shared" si="18"/>
        <v>0</v>
      </c>
      <c r="AG53" s="23">
        <f t="shared" si="19"/>
        <v>0</v>
      </c>
      <c r="AH53" s="13" t="e">
        <f t="shared" si="34"/>
        <v>#DIV/0!</v>
      </c>
      <c r="AI53" s="13" t="e">
        <f t="shared" si="35"/>
        <v>#DIV/0!</v>
      </c>
      <c r="AJ53" s="10" t="e">
        <f t="shared" si="36"/>
        <v>#DIV/0!</v>
      </c>
      <c r="AK53" s="6" t="e">
        <f t="shared" si="37"/>
        <v>#DIV/0!</v>
      </c>
      <c r="AL53" s="6" t="e">
        <f t="shared" si="38"/>
        <v>#DIV/0!</v>
      </c>
      <c r="AM53" s="6" t="e">
        <f t="shared" si="39"/>
        <v>#DIV/0!</v>
      </c>
      <c r="AN53" s="6" t="e">
        <f t="shared" si="40"/>
        <v>#DIV/0!</v>
      </c>
      <c r="AO53" s="57" t="e">
        <f t="shared" si="41"/>
        <v>#DIV/0!</v>
      </c>
      <c r="AP53" s="57" t="e">
        <f t="shared" si="20"/>
        <v>#DIV/0!</v>
      </c>
      <c r="AQ53" s="57" t="e">
        <f t="shared" si="21"/>
        <v>#DIV/0!</v>
      </c>
      <c r="AR53" s="57" t="e">
        <f t="shared" si="22"/>
        <v>#DIV/0!</v>
      </c>
      <c r="AS53" s="57" t="e">
        <f t="shared" si="23"/>
        <v>#DIV/0!</v>
      </c>
    </row>
    <row r="54" spans="1:45" ht="33" hidden="1" customHeight="1">
      <c r="A54" s="22">
        <v>0</v>
      </c>
      <c r="B54" s="12"/>
      <c r="C54" s="203"/>
      <c r="D54" s="12"/>
      <c r="E54" s="12"/>
      <c r="F54" s="12"/>
      <c r="G54" s="12"/>
      <c r="H54" s="12"/>
      <c r="I54" s="12"/>
      <c r="J54" s="12"/>
      <c r="K54" s="12"/>
      <c r="L54" s="12"/>
      <c r="M54" s="12"/>
      <c r="N54" s="12"/>
      <c r="O54" s="12"/>
      <c r="P54" s="12"/>
      <c r="Q54" s="12"/>
      <c r="R54" s="12"/>
      <c r="S54" s="12"/>
      <c r="T54" s="12"/>
      <c r="U54" s="13">
        <f>SUM(D54:T54)</f>
        <v>0</v>
      </c>
      <c r="V54" s="13">
        <f>IF($D$12="CO1",D54,0)+IF($E$12="CO1",E54,0)+IF($F$12="CO1",F54,0)+IF($G$12="CO1",G54,0)+IF($H$12="CO1",H54,0)+IF($I$12="CO1",I54,0)+IF($J$12="CO1",J54,0)+IF($K$12="CO1",K54,0)+IF($L$12="CO1",L54,0)+IF($M$12="CO1",M54,0)+IF($N$12="CO1",N54,0)+IF($O$12="CO1",O54,0)+IF($P$12="CO1",P54,0)+IF($Q$12="CO1",Q54,0)+IF($R$12="CO1",R54,0)+IF($S$12="CO1",S54,0)+IF($T$12="CO1",T54,0)</f>
        <v>0</v>
      </c>
      <c r="W54" s="13">
        <f>IF($D$12="CO2",D54,0)+IF($E$12="CO2",E54,0)+IF($F$12="CO2",F54,0)+IF($G$12="CO2",G54,0)+IF($H$12="CO2",H54,0)+IF($I$12="CO2",I54,0)+IF($J$12="CO2",J54,0)+IF($K$12="CO2",K54,0)+IF($L$12="CO2",L54,0)+IF($M$12="CO2",M54,0)+IF($N$12="CO2",N54,0)+IF($O$12="CO2",O54,0)+IF($P$12="CO2",P54,0)+IF($Q$12="CO2",Q54,0)+IF($R$12="CO2",R54,0)+IF($S$12="CO2",S54,0)+IF($T$12="CO2",T54,0)</f>
        <v>0</v>
      </c>
      <c r="X54" s="13">
        <f>IF($D$12="CO3",D54,0)+IF($E$12="CO3",E54,0)+IF($F$12="CO3",F54,0)+IF($G$12="CO3",G54,0)+IF($H$12="CO3",H54,0)+IF($I$12="CO3",I54,0)+IF($J$12="CO3",J54,0)+IF($K$12="CO3",K54,0)+IF($L$12="CO3",L54,0)+IF($M$12="CO3",M54,0)+IF($N$12="CO3",N54,0)+IF($O$12="CO3",O54,0)+IF($P$12="CO3",P54,0)+IF($Q$12="CO3",Q54,0)+IF($R$12="CO3",R54,0)+IF($S$12="CO3",S54,0)+IF($T$12="CO3",T54,0)</f>
        <v>0</v>
      </c>
      <c r="Y54" s="13">
        <f>IF($D$12="CO4",D54,0)+IF($E$12="CO4",E54,0)+IF($F$12="CO4",F54,0)+IF($G$12="CO4",G54,0)+IF($H$12="CO4",H54,0)+IF($I$12="CO4",I54,0)+IF($J$12="CO4",J54,0)+IF($K$12="CO4",K54,0)+IF($L$12="CO4",L54,0)+IF($M$12="CO4",M54,0)+IF($N$12="CO4",N54,0)+IF($O$12="CO4",O54,0)+IF($P$12="CO4",P54,0)+IF($Q$12="CO4",Q54,0)+IF($R$12="CO4",R54,0)+IF($S$12="CO4",S54,0)+IF($T$12="CO4",T54,0)</f>
        <v>0</v>
      </c>
      <c r="Z54" s="13">
        <f>IF($D$12="CO5",D54,0)+IF($E$12="CO5",E54,0)+IF($F$12="CO5",F54,0)+IF($G$12="CO5",G54,0)+IF($H$12="CO5",H54,0)+IF($I$12="CO5",I54,0)+IF($J$12="CO5",J54,0)+IF($K$12="CO5",K54,0)+IF($L$12="CO5",L54,0)+IF($M$12="CO5",M54,0)+IF($N$12="CO5",N54,0)+IF($O$12="CO5",O54,0)+IF($P$12="CO5",P54,0)+IF($Q$12="CO5",Q54,0)+IF($R$12="CO5",R54,0)+IF($S$12="CO5",S54,0)+IF($T$12="CO5",T54,0)</f>
        <v>0</v>
      </c>
      <c r="AA54" s="13">
        <f>IF($D$12="CO6",D54,0)+IF($E$12="CO6",E54,0)+IF($F$12="CO6",F54,0)+IF($G$12="CO6",G54,0)+IF($H$12="CO6",H54,0)+IF($I$12="CO6",I54,0)+IF($J$12="CO6",J54,0)+IF($K$12="CO6",K54,0)+IF($L$12="CO6",L54,0)+IF($M$12="CO6",M54,0)+IF($N$12="CO6",N54,0)+IF($O$12="CO6",O54,0)+IF($P$12="CO6",P54,0)+IF($Q$12="CO6",Q54,0)+IF($R$12="CO6",R54,0)+IF($S$12="CO6",S54,0)+IF($T$12="CO6",T54,0)</f>
        <v>0</v>
      </c>
      <c r="AB54" s="13">
        <f>IF($D$12="CO7",D54,0)+IF($E$12="CO7",E54,0)+IF($F$12="CO7",F54,0)+IF($G$12="CO7",G54,0)+IF($H$12="CO7",H54,0)+IF($I$12="CO7",I54,0)+IF($J$12="CO7",J54,0)+IF($K$12="CO7",K54,0)+IF($L$12="CO7",L54,0)+IF($M$12="CO7",M54,0)+IF($N$12="CO7",N54,0)+IF($O$12="CO7",O54,0)+IF($P$12="CO7",P54,0)+IF($Q$12="CO7",Q54,0)+IF($R$12="CO7",R54,0)+IF($S$12="CO7",S54,0)+IF($T$12="CO7",T54,0)</f>
        <v>0</v>
      </c>
      <c r="AC54" s="23">
        <f t="shared" si="24"/>
        <v>0</v>
      </c>
      <c r="AD54" s="23">
        <f t="shared" si="33"/>
        <v>0</v>
      </c>
      <c r="AE54" s="23">
        <f t="shared" si="17"/>
        <v>0</v>
      </c>
      <c r="AF54" s="23">
        <f t="shared" si="18"/>
        <v>0</v>
      </c>
      <c r="AG54" s="23">
        <f t="shared" si="19"/>
        <v>0</v>
      </c>
      <c r="AH54" s="13" t="e">
        <f t="shared" si="34"/>
        <v>#DIV/0!</v>
      </c>
      <c r="AI54" s="13" t="e">
        <f t="shared" si="35"/>
        <v>#DIV/0!</v>
      </c>
      <c r="AJ54" s="10" t="e">
        <f t="shared" si="36"/>
        <v>#DIV/0!</v>
      </c>
      <c r="AK54" s="6" t="e">
        <f t="shared" si="37"/>
        <v>#DIV/0!</v>
      </c>
      <c r="AL54" s="6" t="e">
        <f t="shared" si="38"/>
        <v>#DIV/0!</v>
      </c>
      <c r="AM54" s="6" t="e">
        <f t="shared" si="39"/>
        <v>#DIV/0!</v>
      </c>
      <c r="AN54" s="6" t="e">
        <f t="shared" si="40"/>
        <v>#DIV/0!</v>
      </c>
      <c r="AO54" s="57" t="e">
        <f t="shared" si="41"/>
        <v>#DIV/0!</v>
      </c>
      <c r="AP54" s="57" t="e">
        <f t="shared" si="20"/>
        <v>#DIV/0!</v>
      </c>
      <c r="AQ54" s="57" t="e">
        <f t="shared" si="21"/>
        <v>#DIV/0!</v>
      </c>
      <c r="AR54" s="57" t="e">
        <f t="shared" si="22"/>
        <v>#DIV/0!</v>
      </c>
      <c r="AS54" s="57" t="e">
        <f t="shared" si="23"/>
        <v>#DIV/0!</v>
      </c>
    </row>
    <row r="55" spans="1:45" ht="33" hidden="1" customHeight="1">
      <c r="A55" s="22">
        <v>0</v>
      </c>
      <c r="B55" s="12"/>
      <c r="C55" s="203"/>
      <c r="D55" s="12"/>
      <c r="E55" s="12"/>
      <c r="F55" s="12"/>
      <c r="G55" s="12"/>
      <c r="H55" s="12"/>
      <c r="I55" s="12"/>
      <c r="J55" s="12"/>
      <c r="K55" s="12"/>
      <c r="L55" s="12"/>
      <c r="M55" s="12"/>
      <c r="N55" s="12"/>
      <c r="O55" s="12"/>
      <c r="P55" s="12"/>
      <c r="Q55" s="12"/>
      <c r="R55" s="12"/>
      <c r="S55" s="12"/>
      <c r="T55" s="12"/>
      <c r="U55" s="13">
        <f t="shared" si="25"/>
        <v>0</v>
      </c>
      <c r="V55" s="13">
        <f>IF($D$12="CO1",D55,0)+IF($E$12="CO1",E55,0)+IF($F$12="CO1",F55,0)+IF($G$12="CO1",G55,0)+IF($H$12="CO1",H55,0)+IF($I$12="CO1",I55,0)+IF($J$12="CO1",J55,0)+IF($K$12="CO1",K55,0)+IF($L$12="CO1",L55,0)+IF($M$12="CO1",M55,0)+IF($N$12="CO1",N55,0)+IF($O$12="CO1",O55,0)+IF($P$12="CO1",P55,0)+IF($Q$12="CO1",Q55,0)+IF($R$12="CO1",R55,0)+IF($S$12="CO1",S55,0)+IF($T$12="CO1",T55,0)</f>
        <v>0</v>
      </c>
      <c r="W55" s="13">
        <f>IF($D$12="CO2",D55,0)+IF($E$12="CO2",E55,0)+IF($F$12="CO2",F55,0)+IF($G$12="CO2",G55,0)+IF($H$12="CO2",H55,0)+IF($I$12="CO2",I55,0)+IF($J$12="CO2",J55,0)+IF($K$12="CO2",K55,0)+IF($L$12="CO2",L55,0)+IF($M$12="CO2",M55,0)+IF($N$12="CO2",N55,0)+IF($O$12="CO2",O55,0)+IF($P$12="CO2",P55,0)+IF($Q$12="CO2",Q55,0)+IF($R$12="CO2",R55,0)+IF($S$12="CO2",S55,0)+IF($T$12="CO2",T55,0)</f>
        <v>0</v>
      </c>
      <c r="X55" s="13">
        <f>IF($D$12="CO3",D55,0)+IF($E$12="CO3",E55,0)+IF($F$12="CO3",F55,0)+IF($G$12="CO3",G55,0)+IF($H$12="CO3",H55,0)+IF($I$12="CO3",I55,0)+IF($J$12="CO3",J55,0)+IF($K$12="CO3",K55,0)+IF($L$12="CO3",L55,0)+IF($M$12="CO3",M55,0)+IF($N$12="CO3",N55,0)+IF($O$12="CO3",O55,0)+IF($P$12="CO3",P55,0)+IF($Q$12="CO3",Q55,0)+IF($R$12="CO3",R55,0)+IF($S$12="CO3",S55,0)+IF($T$12="CO3",T55,0)</f>
        <v>0</v>
      </c>
      <c r="Y55" s="13">
        <f>IF($D$12="CO4",D55,0)+IF($E$12="CO4",E55,0)+IF($F$12="CO4",F55,0)+IF($G$12="CO4",G55,0)+IF($H$12="CO4",H55,0)+IF($I$12="CO4",I55,0)+IF($J$12="CO4",J55,0)+IF($K$12="CO4",K55,0)+IF($L$12="CO4",L55,0)+IF($M$12="CO4",M55,0)+IF($N$12="CO4",N55,0)+IF($O$12="CO4",O55,0)+IF($P$12="CO4",P55,0)+IF($Q$12="CO4",Q55,0)+IF($R$12="CO4",R55,0)+IF($S$12="CO4",S55,0)+IF($T$12="CO4",T55,0)</f>
        <v>0</v>
      </c>
      <c r="Z55" s="13">
        <f>IF($D$12="CO5",D55,0)+IF($E$12="CO5",E55,0)+IF($F$12="CO5",F55,0)+IF($G$12="CO5",G55,0)+IF($H$12="CO5",H55,0)+IF($I$12="CO5",I55,0)+IF($J$12="CO5",J55,0)+IF($K$12="CO5",K55,0)+IF($L$12="CO5",L55,0)+IF($M$12="CO5",M55,0)+IF($N$12="CO5",N55,0)+IF($O$12="CO5",O55,0)+IF($P$12="CO5",P55,0)+IF($Q$12="CO5",Q55,0)+IF($R$12="CO5",R55,0)+IF($S$12="CO5",S55,0)+IF($T$12="CO5",T55,0)</f>
        <v>0</v>
      </c>
      <c r="AA55" s="13">
        <f>IF($D$12="CO6",D55,0)+IF($E$12="CO6",E55,0)+IF($F$12="CO6",F55,0)+IF($G$12="CO6",G55,0)+IF($H$12="CO6",H55,0)+IF($I$12="CO6",I55,0)+IF($J$12="CO6",J55,0)+IF($K$12="CO6",K55,0)+IF($L$12="CO6",L55,0)+IF($M$12="CO6",M55,0)+IF($N$12="CO6",N55,0)+IF($O$12="CO6",O55,0)+IF($P$12="CO6",P55,0)+IF($Q$12="CO6",Q55,0)+IF($R$12="CO6",R55,0)+IF($S$12="CO6",S55,0)+IF($T$12="CO6",T55,0)</f>
        <v>0</v>
      </c>
      <c r="AB55" s="13">
        <f>IF($D$12="CO7",D55,0)+IF($E$12="CO7",E55,0)+IF($F$12="CO7",F55,0)+IF($G$12="CO7",G55,0)+IF($H$12="CO7",H55,0)+IF($I$12="CO7",I55,0)+IF($J$12="CO7",J55,0)+IF($K$12="CO7",K55,0)+IF($L$12="CO7",L55,0)+IF($M$12="CO7",M55,0)+IF($N$12="CO7",N55,0)+IF($O$12="CO7",O55,0)+IF($P$12="CO7",P55,0)+IF($Q$12="CO7",Q55,0)+IF($R$12="CO7",R55,0)+IF($S$12="CO7",S55,0)+IF($T$12="CO7",T55,0)</f>
        <v>0</v>
      </c>
      <c r="AC55" s="23">
        <f t="shared" si="24"/>
        <v>0</v>
      </c>
      <c r="AD55" s="23">
        <f t="shared" si="33"/>
        <v>0</v>
      </c>
      <c r="AE55" s="23">
        <f t="shared" si="17"/>
        <v>0</v>
      </c>
      <c r="AF55" s="23">
        <f t="shared" si="18"/>
        <v>0</v>
      </c>
      <c r="AG55" s="23">
        <f t="shared" si="19"/>
        <v>0</v>
      </c>
      <c r="AH55" s="13" t="e">
        <f t="shared" si="34"/>
        <v>#DIV/0!</v>
      </c>
      <c r="AI55" s="13" t="e">
        <f t="shared" si="35"/>
        <v>#DIV/0!</v>
      </c>
      <c r="AJ55" s="10" t="e">
        <f t="shared" si="36"/>
        <v>#DIV/0!</v>
      </c>
      <c r="AK55" s="6" t="e">
        <f t="shared" si="37"/>
        <v>#DIV/0!</v>
      </c>
      <c r="AL55" s="6" t="e">
        <f t="shared" si="38"/>
        <v>#DIV/0!</v>
      </c>
      <c r="AM55" s="6" t="e">
        <f t="shared" si="39"/>
        <v>#DIV/0!</v>
      </c>
      <c r="AN55" s="6" t="e">
        <f t="shared" si="40"/>
        <v>#DIV/0!</v>
      </c>
      <c r="AO55" s="57" t="e">
        <f t="shared" si="41"/>
        <v>#DIV/0!</v>
      </c>
      <c r="AP55" s="57" t="e">
        <f t="shared" si="20"/>
        <v>#DIV/0!</v>
      </c>
      <c r="AQ55" s="57" t="e">
        <f t="shared" si="21"/>
        <v>#DIV/0!</v>
      </c>
      <c r="AR55" s="57" t="e">
        <f t="shared" si="22"/>
        <v>#DIV/0!</v>
      </c>
      <c r="AS55" s="57" t="e">
        <f t="shared" si="23"/>
        <v>#DIV/0!</v>
      </c>
    </row>
    <row r="56" spans="1:45" ht="33" hidden="1" customHeight="1">
      <c r="A56" s="22">
        <v>0</v>
      </c>
      <c r="B56" s="12"/>
      <c r="C56" s="203"/>
      <c r="D56" s="12"/>
      <c r="E56" s="12"/>
      <c r="F56" s="12"/>
      <c r="G56" s="12"/>
      <c r="H56" s="12"/>
      <c r="I56" s="12"/>
      <c r="J56" s="12"/>
      <c r="K56" s="12"/>
      <c r="L56" s="12"/>
      <c r="M56" s="12"/>
      <c r="N56" s="12"/>
      <c r="O56" s="12"/>
      <c r="P56" s="12"/>
      <c r="Q56" s="12"/>
      <c r="R56" s="12"/>
      <c r="S56" s="12"/>
      <c r="T56" s="12"/>
      <c r="U56" s="13">
        <f t="shared" si="25"/>
        <v>0</v>
      </c>
      <c r="V56" s="13">
        <f t="shared" si="26"/>
        <v>0</v>
      </c>
      <c r="W56" s="13">
        <f t="shared" si="27"/>
        <v>0</v>
      </c>
      <c r="X56" s="13">
        <f t="shared" si="28"/>
        <v>0</v>
      </c>
      <c r="Y56" s="13">
        <f t="shared" si="29"/>
        <v>0</v>
      </c>
      <c r="Z56" s="13">
        <f t="shared" si="30"/>
        <v>0</v>
      </c>
      <c r="AA56" s="13">
        <f t="shared" si="31"/>
        <v>0</v>
      </c>
      <c r="AB56" s="13">
        <f t="shared" si="32"/>
        <v>0</v>
      </c>
      <c r="AC56" s="23">
        <f t="shared" si="24"/>
        <v>0</v>
      </c>
      <c r="AD56" s="23">
        <f t="shared" si="33"/>
        <v>0</v>
      </c>
      <c r="AE56" s="23">
        <f t="shared" si="17"/>
        <v>0</v>
      </c>
      <c r="AF56" s="23">
        <f t="shared" si="18"/>
        <v>0</v>
      </c>
      <c r="AG56" s="23">
        <f t="shared" si="19"/>
        <v>0</v>
      </c>
      <c r="AH56" s="13" t="e">
        <f t="shared" si="34"/>
        <v>#DIV/0!</v>
      </c>
      <c r="AI56" s="13" t="e">
        <f t="shared" si="35"/>
        <v>#DIV/0!</v>
      </c>
      <c r="AJ56" s="10" t="e">
        <f t="shared" si="36"/>
        <v>#DIV/0!</v>
      </c>
      <c r="AK56" s="6" t="e">
        <f t="shared" si="37"/>
        <v>#DIV/0!</v>
      </c>
      <c r="AL56" s="6" t="e">
        <f t="shared" si="38"/>
        <v>#DIV/0!</v>
      </c>
      <c r="AM56" s="6" t="e">
        <f t="shared" si="39"/>
        <v>#DIV/0!</v>
      </c>
      <c r="AN56" s="6" t="e">
        <f t="shared" si="40"/>
        <v>#DIV/0!</v>
      </c>
      <c r="AO56" s="57" t="e">
        <f t="shared" si="41"/>
        <v>#DIV/0!</v>
      </c>
      <c r="AP56" s="57" t="e">
        <f t="shared" si="20"/>
        <v>#DIV/0!</v>
      </c>
      <c r="AQ56" s="57" t="e">
        <f t="shared" si="21"/>
        <v>#DIV/0!</v>
      </c>
      <c r="AR56" s="57" t="e">
        <f t="shared" si="22"/>
        <v>#DIV/0!</v>
      </c>
      <c r="AS56" s="57" t="e">
        <f t="shared" si="23"/>
        <v>#DIV/0!</v>
      </c>
    </row>
    <row r="57" spans="1:45" ht="33" hidden="1" customHeight="1">
      <c r="A57" s="22">
        <v>0</v>
      </c>
      <c r="B57" s="12"/>
      <c r="C57" s="203"/>
      <c r="D57" s="12"/>
      <c r="E57" s="12"/>
      <c r="F57" s="12"/>
      <c r="G57" s="12"/>
      <c r="H57" s="12"/>
      <c r="I57" s="12"/>
      <c r="J57" s="12"/>
      <c r="K57" s="12"/>
      <c r="L57" s="12"/>
      <c r="M57" s="12"/>
      <c r="N57" s="12"/>
      <c r="O57" s="12"/>
      <c r="P57" s="12"/>
      <c r="Q57" s="12"/>
      <c r="R57" s="12"/>
      <c r="S57" s="12"/>
      <c r="T57" s="12"/>
      <c r="U57" s="13">
        <f t="shared" si="25"/>
        <v>0</v>
      </c>
      <c r="V57" s="13">
        <f t="shared" si="26"/>
        <v>0</v>
      </c>
      <c r="W57" s="13">
        <f t="shared" si="27"/>
        <v>0</v>
      </c>
      <c r="X57" s="13">
        <f t="shared" si="28"/>
        <v>0</v>
      </c>
      <c r="Y57" s="13">
        <f t="shared" si="29"/>
        <v>0</v>
      </c>
      <c r="Z57" s="13">
        <f t="shared" si="30"/>
        <v>0</v>
      </c>
      <c r="AA57" s="13">
        <f t="shared" si="31"/>
        <v>0</v>
      </c>
      <c r="AB57" s="13">
        <f t="shared" si="32"/>
        <v>0</v>
      </c>
      <c r="AC57" s="23">
        <f t="shared" si="24"/>
        <v>0</v>
      </c>
      <c r="AD57" s="23">
        <f t="shared" si="33"/>
        <v>0</v>
      </c>
      <c r="AE57" s="23">
        <f t="shared" si="17"/>
        <v>0</v>
      </c>
      <c r="AF57" s="23">
        <f t="shared" si="18"/>
        <v>0</v>
      </c>
      <c r="AG57" s="23">
        <f t="shared" si="19"/>
        <v>0</v>
      </c>
      <c r="AH57" s="13" t="e">
        <f t="shared" si="34"/>
        <v>#DIV/0!</v>
      </c>
      <c r="AI57" s="13" t="e">
        <f t="shared" si="35"/>
        <v>#DIV/0!</v>
      </c>
      <c r="AJ57" s="10" t="e">
        <f t="shared" si="36"/>
        <v>#DIV/0!</v>
      </c>
      <c r="AK57" s="6" t="e">
        <f t="shared" si="37"/>
        <v>#DIV/0!</v>
      </c>
      <c r="AL57" s="6" t="e">
        <f t="shared" si="38"/>
        <v>#DIV/0!</v>
      </c>
      <c r="AM57" s="6" t="e">
        <f t="shared" si="39"/>
        <v>#DIV/0!</v>
      </c>
      <c r="AN57" s="6" t="e">
        <f t="shared" si="40"/>
        <v>#DIV/0!</v>
      </c>
      <c r="AO57" s="57" t="e">
        <f t="shared" si="41"/>
        <v>#DIV/0!</v>
      </c>
      <c r="AP57" s="57" t="e">
        <f t="shared" si="20"/>
        <v>#DIV/0!</v>
      </c>
      <c r="AQ57" s="57" t="e">
        <f t="shared" si="21"/>
        <v>#DIV/0!</v>
      </c>
      <c r="AR57" s="57" t="e">
        <f t="shared" si="22"/>
        <v>#DIV/0!</v>
      </c>
      <c r="AS57" s="57" t="e">
        <f t="shared" si="23"/>
        <v>#DIV/0!</v>
      </c>
    </row>
    <row r="58" spans="1:45" ht="33" hidden="1" customHeight="1">
      <c r="A58" s="22">
        <v>0</v>
      </c>
      <c r="B58" s="12"/>
      <c r="C58" s="203"/>
      <c r="D58" s="12"/>
      <c r="E58" s="12"/>
      <c r="F58" s="12"/>
      <c r="G58" s="12"/>
      <c r="H58" s="12"/>
      <c r="I58" s="12"/>
      <c r="J58" s="12"/>
      <c r="K58" s="12"/>
      <c r="L58" s="12"/>
      <c r="M58" s="12"/>
      <c r="N58" s="12"/>
      <c r="O58" s="12"/>
      <c r="P58" s="12"/>
      <c r="Q58" s="12"/>
      <c r="R58" s="12"/>
      <c r="S58" s="12"/>
      <c r="T58" s="12"/>
      <c r="U58" s="13">
        <f t="shared" si="25"/>
        <v>0</v>
      </c>
      <c r="V58" s="13">
        <f t="shared" si="26"/>
        <v>0</v>
      </c>
      <c r="W58" s="13">
        <f t="shared" si="27"/>
        <v>0</v>
      </c>
      <c r="X58" s="13">
        <f t="shared" si="28"/>
        <v>0</v>
      </c>
      <c r="Y58" s="13">
        <f t="shared" si="29"/>
        <v>0</v>
      </c>
      <c r="Z58" s="13">
        <f t="shared" si="30"/>
        <v>0</v>
      </c>
      <c r="AA58" s="13">
        <f t="shared" si="31"/>
        <v>0</v>
      </c>
      <c r="AB58" s="13">
        <f t="shared" si="32"/>
        <v>0</v>
      </c>
      <c r="AC58" s="23">
        <f t="shared" si="24"/>
        <v>0</v>
      </c>
      <c r="AD58" s="23">
        <f t="shared" si="33"/>
        <v>0</v>
      </c>
      <c r="AE58" s="23">
        <f t="shared" si="17"/>
        <v>0</v>
      </c>
      <c r="AF58" s="23">
        <f t="shared" si="18"/>
        <v>0</v>
      </c>
      <c r="AG58" s="23">
        <f t="shared" si="19"/>
        <v>0</v>
      </c>
      <c r="AH58" s="13" t="e">
        <f t="shared" si="34"/>
        <v>#DIV/0!</v>
      </c>
      <c r="AI58" s="13" t="e">
        <f t="shared" si="35"/>
        <v>#DIV/0!</v>
      </c>
      <c r="AJ58" s="10" t="e">
        <f t="shared" si="36"/>
        <v>#DIV/0!</v>
      </c>
      <c r="AK58" s="6" t="e">
        <f t="shared" si="37"/>
        <v>#DIV/0!</v>
      </c>
      <c r="AL58" s="6" t="e">
        <f t="shared" si="38"/>
        <v>#DIV/0!</v>
      </c>
      <c r="AM58" s="6" t="e">
        <f t="shared" si="39"/>
        <v>#DIV/0!</v>
      </c>
      <c r="AN58" s="6" t="e">
        <f t="shared" si="40"/>
        <v>#DIV/0!</v>
      </c>
      <c r="AO58" s="57" t="e">
        <f t="shared" si="41"/>
        <v>#DIV/0!</v>
      </c>
      <c r="AP58" s="57" t="e">
        <f t="shared" si="20"/>
        <v>#DIV/0!</v>
      </c>
      <c r="AQ58" s="57" t="e">
        <f t="shared" si="21"/>
        <v>#DIV/0!</v>
      </c>
      <c r="AR58" s="57" t="e">
        <f t="shared" si="22"/>
        <v>#DIV/0!</v>
      </c>
      <c r="AS58" s="57" t="e">
        <f t="shared" si="23"/>
        <v>#DIV/0!</v>
      </c>
    </row>
    <row r="59" spans="1:45" ht="33" hidden="1" customHeight="1">
      <c r="A59" s="22">
        <v>0</v>
      </c>
      <c r="B59" s="12"/>
      <c r="C59" s="203"/>
      <c r="D59" s="12"/>
      <c r="E59" s="12"/>
      <c r="F59" s="12"/>
      <c r="G59" s="12"/>
      <c r="H59" s="12"/>
      <c r="I59" s="12"/>
      <c r="J59" s="12"/>
      <c r="K59" s="12"/>
      <c r="L59" s="12"/>
      <c r="M59" s="12"/>
      <c r="N59" s="12"/>
      <c r="O59" s="12"/>
      <c r="P59" s="12"/>
      <c r="Q59" s="12"/>
      <c r="R59" s="12"/>
      <c r="S59" s="12"/>
      <c r="T59" s="12"/>
      <c r="U59" s="13">
        <f t="shared" si="25"/>
        <v>0</v>
      </c>
      <c r="V59" s="13">
        <f t="shared" si="26"/>
        <v>0</v>
      </c>
      <c r="W59" s="13">
        <f t="shared" si="27"/>
        <v>0</v>
      </c>
      <c r="X59" s="13">
        <f t="shared" si="28"/>
        <v>0</v>
      </c>
      <c r="Y59" s="13">
        <f t="shared" si="29"/>
        <v>0</v>
      </c>
      <c r="Z59" s="13">
        <f t="shared" si="30"/>
        <v>0</v>
      </c>
      <c r="AA59" s="13">
        <f t="shared" si="31"/>
        <v>0</v>
      </c>
      <c r="AB59" s="13">
        <f t="shared" si="32"/>
        <v>0</v>
      </c>
      <c r="AC59" s="23">
        <f t="shared" si="24"/>
        <v>0</v>
      </c>
      <c r="AD59" s="23">
        <f t="shared" si="33"/>
        <v>0</v>
      </c>
      <c r="AE59" s="23">
        <f t="shared" si="17"/>
        <v>0</v>
      </c>
      <c r="AF59" s="23">
        <f t="shared" si="18"/>
        <v>0</v>
      </c>
      <c r="AG59" s="23">
        <f t="shared" si="19"/>
        <v>0</v>
      </c>
      <c r="AH59" s="13" t="e">
        <f t="shared" si="34"/>
        <v>#DIV/0!</v>
      </c>
      <c r="AI59" s="13" t="e">
        <f t="shared" si="35"/>
        <v>#DIV/0!</v>
      </c>
      <c r="AJ59" s="10" t="e">
        <f t="shared" si="36"/>
        <v>#DIV/0!</v>
      </c>
      <c r="AK59" s="6" t="e">
        <f t="shared" si="37"/>
        <v>#DIV/0!</v>
      </c>
      <c r="AL59" s="6" t="e">
        <f t="shared" si="38"/>
        <v>#DIV/0!</v>
      </c>
      <c r="AM59" s="6" t="e">
        <f t="shared" si="39"/>
        <v>#DIV/0!</v>
      </c>
      <c r="AN59" s="6" t="e">
        <f t="shared" si="40"/>
        <v>#DIV/0!</v>
      </c>
      <c r="AO59" s="57" t="e">
        <f t="shared" si="41"/>
        <v>#DIV/0!</v>
      </c>
      <c r="AP59" s="57" t="e">
        <f t="shared" si="20"/>
        <v>#DIV/0!</v>
      </c>
      <c r="AQ59" s="57" t="e">
        <f t="shared" si="21"/>
        <v>#DIV/0!</v>
      </c>
      <c r="AR59" s="57" t="e">
        <f t="shared" si="22"/>
        <v>#DIV/0!</v>
      </c>
      <c r="AS59" s="57" t="e">
        <f t="shared" si="23"/>
        <v>#DIV/0!</v>
      </c>
    </row>
    <row r="60" spans="1:45" ht="33" hidden="1" customHeight="1">
      <c r="A60" s="22">
        <v>0</v>
      </c>
      <c r="B60" s="12"/>
      <c r="C60" s="203"/>
      <c r="D60" s="12"/>
      <c r="E60" s="12"/>
      <c r="F60" s="12"/>
      <c r="G60" s="12"/>
      <c r="H60" s="12"/>
      <c r="I60" s="12"/>
      <c r="J60" s="12"/>
      <c r="K60" s="12"/>
      <c r="L60" s="12"/>
      <c r="M60" s="12"/>
      <c r="N60" s="12"/>
      <c r="O60" s="12"/>
      <c r="P60" s="12"/>
      <c r="Q60" s="12"/>
      <c r="R60" s="12"/>
      <c r="S60" s="12"/>
      <c r="T60" s="12"/>
      <c r="U60" s="13">
        <f t="shared" si="25"/>
        <v>0</v>
      </c>
      <c r="V60" s="13">
        <f t="shared" si="26"/>
        <v>0</v>
      </c>
      <c r="W60" s="13">
        <f t="shared" si="27"/>
        <v>0</v>
      </c>
      <c r="X60" s="13">
        <f t="shared" si="28"/>
        <v>0</v>
      </c>
      <c r="Y60" s="13">
        <f t="shared" si="29"/>
        <v>0</v>
      </c>
      <c r="Z60" s="13">
        <f t="shared" si="30"/>
        <v>0</v>
      </c>
      <c r="AA60" s="13">
        <f t="shared" si="31"/>
        <v>0</v>
      </c>
      <c r="AB60" s="13">
        <f t="shared" si="32"/>
        <v>0</v>
      </c>
      <c r="AC60" s="23">
        <f t="shared" si="24"/>
        <v>0</v>
      </c>
      <c r="AD60" s="23">
        <f t="shared" si="33"/>
        <v>0</v>
      </c>
      <c r="AE60" s="23">
        <f t="shared" si="17"/>
        <v>0</v>
      </c>
      <c r="AF60" s="23">
        <f t="shared" si="18"/>
        <v>0</v>
      </c>
      <c r="AG60" s="23">
        <f t="shared" si="19"/>
        <v>0</v>
      </c>
      <c r="AH60" s="13" t="e">
        <f t="shared" si="34"/>
        <v>#DIV/0!</v>
      </c>
      <c r="AI60" s="13" t="e">
        <f t="shared" si="35"/>
        <v>#DIV/0!</v>
      </c>
      <c r="AJ60" s="10" t="e">
        <f t="shared" si="36"/>
        <v>#DIV/0!</v>
      </c>
      <c r="AK60" s="6" t="e">
        <f t="shared" si="37"/>
        <v>#DIV/0!</v>
      </c>
      <c r="AL60" s="6" t="e">
        <f t="shared" si="38"/>
        <v>#DIV/0!</v>
      </c>
      <c r="AM60" s="6" t="e">
        <f t="shared" si="39"/>
        <v>#DIV/0!</v>
      </c>
      <c r="AN60" s="6" t="e">
        <f t="shared" si="40"/>
        <v>#DIV/0!</v>
      </c>
      <c r="AO60" s="57" t="e">
        <f t="shared" si="41"/>
        <v>#DIV/0!</v>
      </c>
      <c r="AP60" s="57" t="e">
        <f t="shared" si="20"/>
        <v>#DIV/0!</v>
      </c>
      <c r="AQ60" s="57" t="e">
        <f t="shared" si="21"/>
        <v>#DIV/0!</v>
      </c>
      <c r="AR60" s="57" t="e">
        <f t="shared" si="22"/>
        <v>#DIV/0!</v>
      </c>
      <c r="AS60" s="57" t="e">
        <f t="shared" si="23"/>
        <v>#DIV/0!</v>
      </c>
    </row>
    <row r="61" spans="1:45" ht="33" hidden="1" customHeight="1">
      <c r="A61" s="22">
        <v>0</v>
      </c>
      <c r="B61" s="12"/>
      <c r="C61" s="203"/>
      <c r="D61" s="12"/>
      <c r="E61" s="12"/>
      <c r="F61" s="12"/>
      <c r="G61" s="12"/>
      <c r="H61" s="12"/>
      <c r="I61" s="12"/>
      <c r="J61" s="12"/>
      <c r="K61" s="12"/>
      <c r="L61" s="12"/>
      <c r="M61" s="12"/>
      <c r="N61" s="12"/>
      <c r="O61" s="12"/>
      <c r="P61" s="12"/>
      <c r="Q61" s="12"/>
      <c r="R61" s="12"/>
      <c r="S61" s="12"/>
      <c r="T61" s="12"/>
      <c r="U61" s="13">
        <f t="shared" si="25"/>
        <v>0</v>
      </c>
      <c r="V61" s="13">
        <f t="shared" si="26"/>
        <v>0</v>
      </c>
      <c r="W61" s="13">
        <f t="shared" si="27"/>
        <v>0</v>
      </c>
      <c r="X61" s="13">
        <f t="shared" si="28"/>
        <v>0</v>
      </c>
      <c r="Y61" s="13">
        <f t="shared" si="29"/>
        <v>0</v>
      </c>
      <c r="Z61" s="13">
        <f t="shared" si="30"/>
        <v>0</v>
      </c>
      <c r="AA61" s="13">
        <f t="shared" si="31"/>
        <v>0</v>
      </c>
      <c r="AB61" s="13">
        <f t="shared" si="32"/>
        <v>0</v>
      </c>
      <c r="AC61" s="23">
        <f t="shared" si="24"/>
        <v>0</v>
      </c>
      <c r="AD61" s="23">
        <f t="shared" si="33"/>
        <v>0</v>
      </c>
      <c r="AE61" s="23">
        <f t="shared" si="17"/>
        <v>0</v>
      </c>
      <c r="AF61" s="23">
        <f t="shared" si="18"/>
        <v>0</v>
      </c>
      <c r="AG61" s="23">
        <f t="shared" si="19"/>
        <v>0</v>
      </c>
      <c r="AH61" s="13" t="e">
        <f t="shared" si="34"/>
        <v>#DIV/0!</v>
      </c>
      <c r="AI61" s="13" t="e">
        <f t="shared" si="35"/>
        <v>#DIV/0!</v>
      </c>
      <c r="AJ61" s="10" t="e">
        <f t="shared" si="36"/>
        <v>#DIV/0!</v>
      </c>
      <c r="AK61" s="6" t="e">
        <f t="shared" si="37"/>
        <v>#DIV/0!</v>
      </c>
      <c r="AL61" s="6" t="e">
        <f t="shared" si="38"/>
        <v>#DIV/0!</v>
      </c>
      <c r="AM61" s="6" t="e">
        <f t="shared" si="39"/>
        <v>#DIV/0!</v>
      </c>
      <c r="AN61" s="6" t="e">
        <f t="shared" si="40"/>
        <v>#DIV/0!</v>
      </c>
      <c r="AO61" s="57" t="e">
        <f t="shared" si="41"/>
        <v>#DIV/0!</v>
      </c>
      <c r="AP61" s="57" t="e">
        <f t="shared" si="20"/>
        <v>#DIV/0!</v>
      </c>
      <c r="AQ61" s="57" t="e">
        <f t="shared" si="21"/>
        <v>#DIV/0!</v>
      </c>
      <c r="AR61" s="57" t="e">
        <f t="shared" si="22"/>
        <v>#DIV/0!</v>
      </c>
      <c r="AS61" s="57" t="e">
        <f t="shared" si="23"/>
        <v>#DIV/0!</v>
      </c>
    </row>
    <row r="62" spans="1:45" ht="33" hidden="1" customHeight="1">
      <c r="A62" s="22">
        <v>0</v>
      </c>
      <c r="B62" s="12"/>
      <c r="C62" s="203"/>
      <c r="D62" s="12"/>
      <c r="E62" s="12"/>
      <c r="F62" s="12"/>
      <c r="G62" s="12"/>
      <c r="H62" s="12"/>
      <c r="I62" s="12"/>
      <c r="J62" s="12"/>
      <c r="K62" s="12"/>
      <c r="L62" s="12"/>
      <c r="M62" s="12"/>
      <c r="N62" s="12"/>
      <c r="O62" s="12"/>
      <c r="P62" s="12"/>
      <c r="Q62" s="12"/>
      <c r="R62" s="12"/>
      <c r="S62" s="12"/>
      <c r="T62" s="12"/>
      <c r="U62" s="13">
        <f t="shared" si="25"/>
        <v>0</v>
      </c>
      <c r="V62" s="13">
        <f t="shared" si="26"/>
        <v>0</v>
      </c>
      <c r="W62" s="13">
        <f t="shared" si="27"/>
        <v>0</v>
      </c>
      <c r="X62" s="13">
        <f t="shared" si="28"/>
        <v>0</v>
      </c>
      <c r="Y62" s="13">
        <f t="shared" si="29"/>
        <v>0</v>
      </c>
      <c r="Z62" s="13">
        <f t="shared" si="30"/>
        <v>0</v>
      </c>
      <c r="AA62" s="13">
        <f t="shared" si="31"/>
        <v>0</v>
      </c>
      <c r="AB62" s="13">
        <f t="shared" si="32"/>
        <v>0</v>
      </c>
      <c r="AC62" s="23">
        <f t="shared" si="24"/>
        <v>0</v>
      </c>
      <c r="AD62" s="23">
        <f t="shared" si="33"/>
        <v>0</v>
      </c>
      <c r="AE62" s="23">
        <f t="shared" si="17"/>
        <v>0</v>
      </c>
      <c r="AF62" s="23">
        <f t="shared" si="18"/>
        <v>0</v>
      </c>
      <c r="AG62" s="23">
        <f t="shared" si="19"/>
        <v>0</v>
      </c>
      <c r="AH62" s="13" t="e">
        <f t="shared" si="34"/>
        <v>#DIV/0!</v>
      </c>
      <c r="AI62" s="13" t="e">
        <f t="shared" si="35"/>
        <v>#DIV/0!</v>
      </c>
      <c r="AJ62" s="10" t="e">
        <f t="shared" si="36"/>
        <v>#DIV/0!</v>
      </c>
      <c r="AK62" s="6" t="e">
        <f t="shared" si="37"/>
        <v>#DIV/0!</v>
      </c>
      <c r="AL62" s="6" t="e">
        <f t="shared" si="38"/>
        <v>#DIV/0!</v>
      </c>
      <c r="AM62" s="6" t="e">
        <f t="shared" si="39"/>
        <v>#DIV/0!</v>
      </c>
      <c r="AN62" s="6" t="e">
        <f t="shared" si="40"/>
        <v>#DIV/0!</v>
      </c>
      <c r="AO62" s="57" t="e">
        <f t="shared" si="41"/>
        <v>#DIV/0!</v>
      </c>
      <c r="AP62" s="57" t="e">
        <f t="shared" si="20"/>
        <v>#DIV/0!</v>
      </c>
      <c r="AQ62" s="57" t="e">
        <f t="shared" si="21"/>
        <v>#DIV/0!</v>
      </c>
      <c r="AR62" s="57" t="e">
        <f t="shared" si="22"/>
        <v>#DIV/0!</v>
      </c>
      <c r="AS62" s="57" t="e">
        <f t="shared" si="23"/>
        <v>#DIV/0!</v>
      </c>
    </row>
    <row r="63" spans="1:45" ht="33" hidden="1" customHeight="1">
      <c r="A63" s="22">
        <v>0</v>
      </c>
      <c r="B63" s="12"/>
      <c r="C63" s="203"/>
      <c r="D63" s="12"/>
      <c r="E63" s="12"/>
      <c r="F63" s="12"/>
      <c r="G63" s="12"/>
      <c r="H63" s="12"/>
      <c r="I63" s="12"/>
      <c r="J63" s="12"/>
      <c r="K63" s="12"/>
      <c r="L63" s="12"/>
      <c r="M63" s="12"/>
      <c r="N63" s="12"/>
      <c r="O63" s="12"/>
      <c r="P63" s="12"/>
      <c r="Q63" s="12"/>
      <c r="R63" s="12"/>
      <c r="S63" s="12"/>
      <c r="T63" s="12"/>
      <c r="U63" s="13">
        <f t="shared" si="25"/>
        <v>0</v>
      </c>
      <c r="V63" s="13">
        <f t="shared" si="26"/>
        <v>0</v>
      </c>
      <c r="W63" s="13">
        <f t="shared" si="27"/>
        <v>0</v>
      </c>
      <c r="X63" s="13">
        <f t="shared" si="28"/>
        <v>0</v>
      </c>
      <c r="Y63" s="13">
        <f t="shared" si="29"/>
        <v>0</v>
      </c>
      <c r="Z63" s="13">
        <f t="shared" si="30"/>
        <v>0</v>
      </c>
      <c r="AA63" s="13">
        <f t="shared" si="31"/>
        <v>0</v>
      </c>
      <c r="AB63" s="13">
        <f t="shared" si="32"/>
        <v>0</v>
      </c>
      <c r="AC63" s="23">
        <f t="shared" si="24"/>
        <v>0</v>
      </c>
      <c r="AD63" s="23">
        <f t="shared" si="33"/>
        <v>0</v>
      </c>
      <c r="AE63" s="23">
        <f t="shared" si="17"/>
        <v>0</v>
      </c>
      <c r="AF63" s="23">
        <f t="shared" si="18"/>
        <v>0</v>
      </c>
      <c r="AG63" s="23">
        <f t="shared" si="19"/>
        <v>0</v>
      </c>
      <c r="AH63" s="13" t="e">
        <f t="shared" si="34"/>
        <v>#DIV/0!</v>
      </c>
      <c r="AI63" s="13" t="e">
        <f t="shared" si="35"/>
        <v>#DIV/0!</v>
      </c>
      <c r="AJ63" s="10" t="e">
        <f t="shared" si="36"/>
        <v>#DIV/0!</v>
      </c>
      <c r="AK63" s="6" t="e">
        <f t="shared" si="37"/>
        <v>#DIV/0!</v>
      </c>
      <c r="AL63" s="6" t="e">
        <f t="shared" si="38"/>
        <v>#DIV/0!</v>
      </c>
      <c r="AM63" s="6" t="e">
        <f t="shared" si="39"/>
        <v>#DIV/0!</v>
      </c>
      <c r="AN63" s="6" t="e">
        <f t="shared" si="40"/>
        <v>#DIV/0!</v>
      </c>
      <c r="AO63" s="57" t="e">
        <f t="shared" si="41"/>
        <v>#DIV/0!</v>
      </c>
      <c r="AP63" s="57" t="e">
        <f t="shared" si="20"/>
        <v>#DIV/0!</v>
      </c>
      <c r="AQ63" s="57" t="e">
        <f t="shared" si="21"/>
        <v>#DIV/0!</v>
      </c>
      <c r="AR63" s="57" t="e">
        <f t="shared" si="22"/>
        <v>#DIV/0!</v>
      </c>
      <c r="AS63" s="57" t="e">
        <f t="shared" si="23"/>
        <v>#DIV/0!</v>
      </c>
    </row>
    <row r="64" spans="1:45" ht="33" hidden="1" customHeight="1">
      <c r="A64" s="22">
        <v>0</v>
      </c>
      <c r="B64" s="12"/>
      <c r="C64" s="203"/>
      <c r="D64" s="12"/>
      <c r="E64" s="12"/>
      <c r="F64" s="12"/>
      <c r="G64" s="12"/>
      <c r="H64" s="12"/>
      <c r="I64" s="12"/>
      <c r="J64" s="12"/>
      <c r="K64" s="12"/>
      <c r="L64" s="12"/>
      <c r="M64" s="12"/>
      <c r="N64" s="12"/>
      <c r="O64" s="12"/>
      <c r="P64" s="12"/>
      <c r="Q64" s="12"/>
      <c r="R64" s="12"/>
      <c r="S64" s="12"/>
      <c r="T64" s="12"/>
      <c r="U64" s="13">
        <f t="shared" si="25"/>
        <v>0</v>
      </c>
      <c r="V64" s="13">
        <f t="shared" si="26"/>
        <v>0</v>
      </c>
      <c r="W64" s="13">
        <f t="shared" si="27"/>
        <v>0</v>
      </c>
      <c r="X64" s="13">
        <f t="shared" si="28"/>
        <v>0</v>
      </c>
      <c r="Y64" s="13">
        <f t="shared" si="29"/>
        <v>0</v>
      </c>
      <c r="Z64" s="13">
        <f t="shared" si="30"/>
        <v>0</v>
      </c>
      <c r="AA64" s="13">
        <f t="shared" si="31"/>
        <v>0</v>
      </c>
      <c r="AB64" s="13">
        <f t="shared" si="32"/>
        <v>0</v>
      </c>
      <c r="AC64" s="23">
        <f t="shared" si="24"/>
        <v>0</v>
      </c>
      <c r="AD64" s="23">
        <f t="shared" si="33"/>
        <v>0</v>
      </c>
      <c r="AE64" s="23">
        <f t="shared" si="17"/>
        <v>0</v>
      </c>
      <c r="AF64" s="23">
        <f t="shared" si="18"/>
        <v>0</v>
      </c>
      <c r="AG64" s="23">
        <f t="shared" si="19"/>
        <v>0</v>
      </c>
      <c r="AH64" s="13" t="e">
        <f t="shared" si="34"/>
        <v>#DIV/0!</v>
      </c>
      <c r="AI64" s="13" t="e">
        <f t="shared" si="35"/>
        <v>#DIV/0!</v>
      </c>
      <c r="AJ64" s="10" t="e">
        <f t="shared" si="36"/>
        <v>#DIV/0!</v>
      </c>
      <c r="AK64" s="6" t="e">
        <f t="shared" si="37"/>
        <v>#DIV/0!</v>
      </c>
      <c r="AL64" s="6" t="e">
        <f t="shared" si="38"/>
        <v>#DIV/0!</v>
      </c>
      <c r="AM64" s="6" t="e">
        <f t="shared" si="39"/>
        <v>#DIV/0!</v>
      </c>
      <c r="AN64" s="6" t="e">
        <f t="shared" si="40"/>
        <v>#DIV/0!</v>
      </c>
      <c r="AO64" s="57" t="e">
        <f t="shared" si="41"/>
        <v>#DIV/0!</v>
      </c>
      <c r="AP64" s="57" t="e">
        <f t="shared" si="20"/>
        <v>#DIV/0!</v>
      </c>
      <c r="AQ64" s="57" t="e">
        <f t="shared" si="21"/>
        <v>#DIV/0!</v>
      </c>
      <c r="AR64" s="57" t="e">
        <f t="shared" si="22"/>
        <v>#DIV/0!</v>
      </c>
      <c r="AS64" s="57" t="e">
        <f t="shared" si="23"/>
        <v>#DIV/0!</v>
      </c>
    </row>
    <row r="65" spans="1:45" ht="33" hidden="1" customHeight="1">
      <c r="A65" s="22">
        <v>0</v>
      </c>
      <c r="B65" s="12"/>
      <c r="C65" s="203"/>
      <c r="D65" s="12"/>
      <c r="E65" s="12"/>
      <c r="F65" s="12"/>
      <c r="G65" s="12"/>
      <c r="H65" s="12"/>
      <c r="I65" s="12"/>
      <c r="J65" s="12"/>
      <c r="K65" s="12"/>
      <c r="L65" s="12"/>
      <c r="M65" s="12"/>
      <c r="N65" s="12"/>
      <c r="O65" s="12"/>
      <c r="P65" s="12"/>
      <c r="Q65" s="12"/>
      <c r="R65" s="12"/>
      <c r="S65" s="12"/>
      <c r="T65" s="12"/>
      <c r="U65" s="13">
        <f t="shared" si="25"/>
        <v>0</v>
      </c>
      <c r="V65" s="13">
        <f t="shared" si="26"/>
        <v>0</v>
      </c>
      <c r="W65" s="13">
        <f t="shared" si="27"/>
        <v>0</v>
      </c>
      <c r="X65" s="13">
        <f t="shared" si="28"/>
        <v>0</v>
      </c>
      <c r="Y65" s="13">
        <f t="shared" si="29"/>
        <v>0</v>
      </c>
      <c r="Z65" s="13">
        <f t="shared" si="30"/>
        <v>0</v>
      </c>
      <c r="AA65" s="13">
        <f t="shared" si="31"/>
        <v>0</v>
      </c>
      <c r="AB65" s="13">
        <f t="shared" si="32"/>
        <v>0</v>
      </c>
      <c r="AC65" s="23">
        <f t="shared" si="24"/>
        <v>0</v>
      </c>
      <c r="AD65" s="23">
        <f t="shared" si="33"/>
        <v>0</v>
      </c>
      <c r="AE65" s="23">
        <f t="shared" si="17"/>
        <v>0</v>
      </c>
      <c r="AF65" s="23">
        <f t="shared" si="18"/>
        <v>0</v>
      </c>
      <c r="AG65" s="23">
        <f t="shared" si="19"/>
        <v>0</v>
      </c>
      <c r="AH65" s="13" t="e">
        <f t="shared" si="34"/>
        <v>#DIV/0!</v>
      </c>
      <c r="AI65" s="13" t="e">
        <f t="shared" si="35"/>
        <v>#DIV/0!</v>
      </c>
      <c r="AJ65" s="10" t="e">
        <f t="shared" si="36"/>
        <v>#DIV/0!</v>
      </c>
      <c r="AK65" s="6" t="e">
        <f t="shared" si="37"/>
        <v>#DIV/0!</v>
      </c>
      <c r="AL65" s="6" t="e">
        <f t="shared" si="38"/>
        <v>#DIV/0!</v>
      </c>
      <c r="AM65" s="6" t="e">
        <f t="shared" si="39"/>
        <v>#DIV/0!</v>
      </c>
      <c r="AN65" s="6" t="e">
        <f t="shared" si="40"/>
        <v>#DIV/0!</v>
      </c>
      <c r="AO65" s="57" t="e">
        <f t="shared" si="41"/>
        <v>#DIV/0!</v>
      </c>
      <c r="AP65" s="57" t="e">
        <f t="shared" si="20"/>
        <v>#DIV/0!</v>
      </c>
      <c r="AQ65" s="57" t="e">
        <f t="shared" si="21"/>
        <v>#DIV/0!</v>
      </c>
      <c r="AR65" s="57" t="e">
        <f t="shared" si="22"/>
        <v>#DIV/0!</v>
      </c>
      <c r="AS65" s="57" t="e">
        <f t="shared" si="23"/>
        <v>#DIV/0!</v>
      </c>
    </row>
    <row r="66" spans="1:45" ht="33" hidden="1" customHeight="1">
      <c r="A66" s="22">
        <v>0</v>
      </c>
      <c r="B66" s="12"/>
      <c r="C66" s="203"/>
      <c r="D66" s="12"/>
      <c r="E66" s="12"/>
      <c r="F66" s="12"/>
      <c r="G66" s="12"/>
      <c r="H66" s="12"/>
      <c r="I66" s="12"/>
      <c r="J66" s="12"/>
      <c r="K66" s="12"/>
      <c r="L66" s="12"/>
      <c r="M66" s="12"/>
      <c r="N66" s="12"/>
      <c r="O66" s="12"/>
      <c r="P66" s="12"/>
      <c r="Q66" s="12"/>
      <c r="R66" s="12"/>
      <c r="S66" s="12"/>
      <c r="T66" s="12"/>
      <c r="U66" s="13">
        <f t="shared" si="25"/>
        <v>0</v>
      </c>
      <c r="V66" s="13">
        <f t="shared" si="26"/>
        <v>0</v>
      </c>
      <c r="W66" s="13">
        <f t="shared" si="27"/>
        <v>0</v>
      </c>
      <c r="X66" s="13">
        <f t="shared" si="28"/>
        <v>0</v>
      </c>
      <c r="Y66" s="13">
        <f t="shared" si="29"/>
        <v>0</v>
      </c>
      <c r="Z66" s="13">
        <f t="shared" si="30"/>
        <v>0</v>
      </c>
      <c r="AA66" s="13">
        <f t="shared" si="31"/>
        <v>0</v>
      </c>
      <c r="AB66" s="13">
        <f t="shared" si="32"/>
        <v>0</v>
      </c>
      <c r="AC66" s="23">
        <f t="shared" si="24"/>
        <v>0</v>
      </c>
      <c r="AD66" s="23">
        <f t="shared" si="33"/>
        <v>0</v>
      </c>
      <c r="AE66" s="23">
        <f t="shared" si="17"/>
        <v>0</v>
      </c>
      <c r="AF66" s="23">
        <f t="shared" si="18"/>
        <v>0</v>
      </c>
      <c r="AG66" s="23">
        <f t="shared" si="19"/>
        <v>0</v>
      </c>
      <c r="AH66" s="13" t="e">
        <f t="shared" si="34"/>
        <v>#DIV/0!</v>
      </c>
      <c r="AI66" s="13" t="e">
        <f t="shared" si="35"/>
        <v>#DIV/0!</v>
      </c>
      <c r="AJ66" s="10" t="e">
        <f t="shared" si="36"/>
        <v>#DIV/0!</v>
      </c>
      <c r="AK66" s="6" t="e">
        <f t="shared" si="37"/>
        <v>#DIV/0!</v>
      </c>
      <c r="AL66" s="6" t="e">
        <f t="shared" si="38"/>
        <v>#DIV/0!</v>
      </c>
      <c r="AM66" s="6" t="e">
        <f t="shared" si="39"/>
        <v>#DIV/0!</v>
      </c>
      <c r="AN66" s="6" t="e">
        <f t="shared" si="40"/>
        <v>#DIV/0!</v>
      </c>
      <c r="AO66" s="57" t="e">
        <f t="shared" si="41"/>
        <v>#DIV/0!</v>
      </c>
      <c r="AP66" s="57" t="e">
        <f t="shared" si="20"/>
        <v>#DIV/0!</v>
      </c>
      <c r="AQ66" s="57" t="e">
        <f t="shared" si="21"/>
        <v>#DIV/0!</v>
      </c>
      <c r="AR66" s="57" t="e">
        <f t="shared" si="22"/>
        <v>#DIV/0!</v>
      </c>
      <c r="AS66" s="57" t="e">
        <f t="shared" si="23"/>
        <v>#DIV/0!</v>
      </c>
    </row>
    <row r="67" spans="1:45" ht="33" hidden="1" customHeight="1">
      <c r="A67" s="22">
        <v>0</v>
      </c>
      <c r="B67" s="12"/>
      <c r="C67" s="203"/>
      <c r="D67" s="12"/>
      <c r="E67" s="12"/>
      <c r="F67" s="12"/>
      <c r="G67" s="12"/>
      <c r="H67" s="12"/>
      <c r="I67" s="12"/>
      <c r="J67" s="12"/>
      <c r="K67" s="12"/>
      <c r="L67" s="12"/>
      <c r="M67" s="12"/>
      <c r="N67" s="12"/>
      <c r="O67" s="12"/>
      <c r="P67" s="12"/>
      <c r="Q67" s="12"/>
      <c r="R67" s="12"/>
      <c r="S67" s="12"/>
      <c r="T67" s="12"/>
      <c r="U67" s="13">
        <f t="shared" si="25"/>
        <v>0</v>
      </c>
      <c r="V67" s="13">
        <f t="shared" si="26"/>
        <v>0</v>
      </c>
      <c r="W67" s="13">
        <f t="shared" si="27"/>
        <v>0</v>
      </c>
      <c r="X67" s="13">
        <f t="shared" si="28"/>
        <v>0</v>
      </c>
      <c r="Y67" s="13">
        <f t="shared" si="29"/>
        <v>0</v>
      </c>
      <c r="Z67" s="13">
        <f t="shared" si="30"/>
        <v>0</v>
      </c>
      <c r="AA67" s="13">
        <f t="shared" si="31"/>
        <v>0</v>
      </c>
      <c r="AB67" s="13">
        <f t="shared" si="32"/>
        <v>0</v>
      </c>
      <c r="AC67" s="23">
        <f t="shared" si="24"/>
        <v>0</v>
      </c>
      <c r="AD67" s="23">
        <f t="shared" si="33"/>
        <v>0</v>
      </c>
      <c r="AE67" s="23">
        <f t="shared" si="17"/>
        <v>0</v>
      </c>
      <c r="AF67" s="23">
        <f t="shared" si="18"/>
        <v>0</v>
      </c>
      <c r="AG67" s="23">
        <f t="shared" si="19"/>
        <v>0</v>
      </c>
      <c r="AH67" s="13" t="e">
        <f t="shared" si="34"/>
        <v>#DIV/0!</v>
      </c>
      <c r="AI67" s="13" t="e">
        <f t="shared" si="35"/>
        <v>#DIV/0!</v>
      </c>
      <c r="AJ67" s="10" t="e">
        <f t="shared" si="36"/>
        <v>#DIV/0!</v>
      </c>
      <c r="AK67" s="6" t="e">
        <f t="shared" si="37"/>
        <v>#DIV/0!</v>
      </c>
      <c r="AL67" s="6" t="e">
        <f t="shared" si="38"/>
        <v>#DIV/0!</v>
      </c>
      <c r="AM67" s="6" t="e">
        <f t="shared" si="39"/>
        <v>#DIV/0!</v>
      </c>
      <c r="AN67" s="6" t="e">
        <f t="shared" si="40"/>
        <v>#DIV/0!</v>
      </c>
      <c r="AO67" s="57" t="e">
        <f t="shared" si="41"/>
        <v>#DIV/0!</v>
      </c>
      <c r="AP67" s="57" t="e">
        <f t="shared" si="20"/>
        <v>#DIV/0!</v>
      </c>
      <c r="AQ67" s="57" t="e">
        <f t="shared" si="21"/>
        <v>#DIV/0!</v>
      </c>
      <c r="AR67" s="57" t="e">
        <f t="shared" si="22"/>
        <v>#DIV/0!</v>
      </c>
      <c r="AS67" s="57" t="e">
        <f t="shared" si="23"/>
        <v>#DIV/0!</v>
      </c>
    </row>
    <row r="68" spans="1:45" ht="33" hidden="1" customHeight="1">
      <c r="A68" s="22">
        <v>0</v>
      </c>
      <c r="B68" s="12"/>
      <c r="C68" s="203"/>
      <c r="D68" s="12"/>
      <c r="E68" s="12"/>
      <c r="F68" s="12"/>
      <c r="G68" s="12"/>
      <c r="H68" s="12"/>
      <c r="I68" s="12"/>
      <c r="J68" s="12"/>
      <c r="K68" s="12"/>
      <c r="L68" s="12"/>
      <c r="M68" s="12"/>
      <c r="N68" s="12"/>
      <c r="O68" s="12"/>
      <c r="P68" s="12"/>
      <c r="Q68" s="12"/>
      <c r="R68" s="12"/>
      <c r="S68" s="12"/>
      <c r="T68" s="12"/>
      <c r="U68" s="13">
        <f t="shared" si="25"/>
        <v>0</v>
      </c>
      <c r="V68" s="13">
        <f t="shared" si="26"/>
        <v>0</v>
      </c>
      <c r="W68" s="13">
        <f t="shared" si="27"/>
        <v>0</v>
      </c>
      <c r="X68" s="13">
        <f t="shared" si="28"/>
        <v>0</v>
      </c>
      <c r="Y68" s="13">
        <f t="shared" si="29"/>
        <v>0</v>
      </c>
      <c r="Z68" s="13">
        <f t="shared" si="30"/>
        <v>0</v>
      </c>
      <c r="AA68" s="13">
        <f t="shared" si="31"/>
        <v>0</v>
      </c>
      <c r="AB68" s="13">
        <f t="shared" si="32"/>
        <v>0</v>
      </c>
      <c r="AC68" s="23">
        <f t="shared" si="24"/>
        <v>0</v>
      </c>
      <c r="AD68" s="23">
        <f t="shared" si="33"/>
        <v>0</v>
      </c>
      <c r="AE68" s="23">
        <f t="shared" si="17"/>
        <v>0</v>
      </c>
      <c r="AF68" s="23">
        <f t="shared" si="18"/>
        <v>0</v>
      </c>
      <c r="AG68" s="23">
        <f t="shared" si="19"/>
        <v>0</v>
      </c>
      <c r="AH68" s="13" t="e">
        <f t="shared" si="34"/>
        <v>#DIV/0!</v>
      </c>
      <c r="AI68" s="13" t="e">
        <f t="shared" si="35"/>
        <v>#DIV/0!</v>
      </c>
      <c r="AJ68" s="10" t="e">
        <f t="shared" si="36"/>
        <v>#DIV/0!</v>
      </c>
      <c r="AK68" s="6" t="e">
        <f t="shared" si="37"/>
        <v>#DIV/0!</v>
      </c>
      <c r="AL68" s="6" t="e">
        <f t="shared" si="38"/>
        <v>#DIV/0!</v>
      </c>
      <c r="AM68" s="6" t="e">
        <f t="shared" si="39"/>
        <v>#DIV/0!</v>
      </c>
      <c r="AN68" s="6" t="e">
        <f t="shared" si="40"/>
        <v>#DIV/0!</v>
      </c>
      <c r="AO68" s="57" t="e">
        <f t="shared" si="41"/>
        <v>#DIV/0!</v>
      </c>
      <c r="AP68" s="57" t="e">
        <f t="shared" si="20"/>
        <v>#DIV/0!</v>
      </c>
      <c r="AQ68" s="57" t="e">
        <f t="shared" si="21"/>
        <v>#DIV/0!</v>
      </c>
      <c r="AR68" s="57" t="e">
        <f t="shared" si="22"/>
        <v>#DIV/0!</v>
      </c>
      <c r="AS68" s="57" t="e">
        <f t="shared" si="23"/>
        <v>#DIV/0!</v>
      </c>
    </row>
    <row r="69" spans="1:45" ht="33" hidden="1" customHeight="1">
      <c r="A69" s="22">
        <v>0</v>
      </c>
      <c r="B69" s="12"/>
      <c r="C69" s="203"/>
      <c r="D69" s="12"/>
      <c r="E69" s="12"/>
      <c r="F69" s="12"/>
      <c r="G69" s="12"/>
      <c r="H69" s="12"/>
      <c r="I69" s="12"/>
      <c r="J69" s="12"/>
      <c r="K69" s="12"/>
      <c r="L69" s="12"/>
      <c r="M69" s="12"/>
      <c r="N69" s="12"/>
      <c r="O69" s="57"/>
      <c r="P69" s="57"/>
      <c r="Q69" s="12"/>
      <c r="R69" s="12"/>
      <c r="S69" s="12"/>
      <c r="T69" s="12"/>
      <c r="U69" s="13">
        <f t="shared" ref="U69:U138" si="42">SUM(D69:T69)</f>
        <v>0</v>
      </c>
      <c r="V69" s="13">
        <f t="shared" ref="V69:V79" si="43">IF($D$12="CO1",D69,0)+IF($E$12="CO1",E69,0)+IF($F$12="CO1",F69,0)+IF($G$12="CO1",G69,0)+IF($H$12="CO1",H69,0)+IF($I$12="CO1",I69,0)+IF($J$12="CO1",J69,0)+IF($K$12="CO1",K69,0)+IF($L$12="CO1",L69,0)+IF($M$12="CO1",M69,0)+IF($N$12="CO1",N69,0)+IF($O$12="CO1",O69,0)+IF($P$12="CO1",P69,0)+IF($Q$12="CO1",Q69,0)+IF($R$12="CO1",R69,0)+IF($S$12="CO1",S69,0)+IF($T$12="CO1",T69,0)</f>
        <v>0</v>
      </c>
      <c r="W69" s="13">
        <f t="shared" ref="W69:W79" si="44">IF($D$12="CO2",D69,0)+IF($E$12="CO2",E69,0)+IF($F$12="CO2",F69,0)+IF($G$12="CO2",G69,0)+IF($H$12="CO2",H69,0)+IF($I$12="CO2",I69,0)+IF($J$12="CO2",J69,0)+IF($K$12="CO2",K69,0)+IF($L$12="CO2",L69,0)+IF($M$12="CO2",M69,0)+IF($N$12="CO2",N69,0)+IF($O$12="CO2",O69,0)+IF($P$12="CO2",P69,0)+IF($Q$12="CO2",Q69,0)+IF($R$12="CO2",R69,0)+IF($S$12="CO2",S69,0)+IF($T$12="CO2",T69,0)</f>
        <v>0</v>
      </c>
      <c r="X69" s="13">
        <f t="shared" ref="X69:X79" si="45">IF($D$12="CO3",D69,0)+IF($E$12="CO3",E69,0)+IF($F$12="CO3",F69,0)+IF($G$12="CO3",G69,0)+IF($H$12="CO3",H69,0)+IF($I$12="CO3",I69,0)+IF($J$12="CO3",J69,0)+IF($K$12="CO3",K69,0)+IF($L$12="CO3",L69,0)+IF($M$12="CO3",M69,0)+IF($N$12="CO3",N69,0)+IF($O$12="CO3",O69,0)+IF($P$12="CO3",P69,0)+IF($Q$12="CO3",Q69,0)+IF($R$12="CO3",R69,0)+IF($S$12="CO3",S69,0)+IF($T$12="CO3",T69,0)</f>
        <v>0</v>
      </c>
      <c r="Y69" s="13">
        <f t="shared" ref="Y69:Y79" si="46">IF($D$12="CO4",D69,0)+IF($E$12="CO4",E69,0)+IF($F$12="CO4",F69,0)+IF($G$12="CO4",G69,0)+IF($H$12="CO4",H69,0)+IF($I$12="CO4",I69,0)+IF($J$12="CO4",J69,0)+IF($K$12="CO4",K69,0)+IF($L$12="CO4",L69,0)+IF($M$12="CO4",M69,0)+IF($N$12="CO4",N69,0)+IF($O$12="CO4",O69,0)+IF($P$12="CO4",P69,0)+IF($Q$12="CO4",Q69,0)+IF($R$12="CO4",R69,0)+IF($S$12="CO4",S69,0)+IF($T$12="CO4",T69,0)</f>
        <v>0</v>
      </c>
      <c r="Z69" s="13">
        <f t="shared" ref="Z69:Z79" si="47">IF($D$12="CO5",D69,0)+IF($E$12="CO5",E69,0)+IF($F$12="CO5",F69,0)+IF($G$12="CO5",G69,0)+IF($H$12="CO5",H69,0)+IF($I$12="CO5",I69,0)+IF($J$12="CO5",J69,0)+IF($K$12="CO5",K69,0)+IF($L$12="CO5",L69,0)+IF($M$12="CO5",M69,0)+IF($N$12="CO5",N69,0)+IF($O$12="CO5",O69,0)+IF($P$12="CO5",P69,0)+IF($Q$12="CO5",Q69,0)+IF($R$12="CO5",R69,0)+IF($S$12="CO5",S69,0)+IF($T$12="CO5",T69,0)</f>
        <v>0</v>
      </c>
      <c r="AA69" s="13">
        <f t="shared" ref="AA69:AA79" si="48">IF($D$12="CO6",D69,0)+IF($E$12="CO6",E69,0)+IF($F$12="CO6",F69,0)+IF($G$12="CO6",G69,0)+IF($H$12="CO6",H69,0)+IF($I$12="CO6",I69,0)+IF($J$12="CO6",J69,0)+IF($K$12="CO6",K69,0)+IF($L$12="CO6",L69,0)+IF($M$12="CO6",M69,0)+IF($N$12="CO6",N69,0)+IF($O$12="CO6",O69,0)+IF($P$12="CO6",P69,0)+IF($Q$12="CO6",Q69,0)+IF($R$12="CO6",R69,0)+IF($S$12="CO6",S69,0)+IF($T$12="CO6",T69,0)</f>
        <v>0</v>
      </c>
      <c r="AB69" s="13">
        <f t="shared" ref="AB69:AB79" si="49">IF($D$12="CO7",D69,0)+IF($E$12="CO7",E69,0)+IF($F$12="CO7",F69,0)+IF($G$12="CO7",G69,0)+IF($H$12="CO7",H69,0)+IF($I$12="CO7",I69,0)+IF($J$12="CO7",J69,0)+IF($K$12="CO7",K69,0)+IF($L$12="CO7",L69,0)+IF($M$12="CO7",M69,0)+IF($N$12="CO7",N69,0)+IF($O$12="CO7",O69,0)+IF($P$12="CO7",P69,0)+IF($Q$12="CO7",Q69,0)+IF($R$12="CO7",R69,0)+IF($S$12="CO7",S69,0)+IF($T$12="CO7",T69,0)</f>
        <v>0</v>
      </c>
      <c r="AC69" s="23">
        <f t="shared" si="24"/>
        <v>0</v>
      </c>
      <c r="AD69" s="23">
        <f t="shared" si="33"/>
        <v>0</v>
      </c>
      <c r="AE69" s="23">
        <f t="shared" si="17"/>
        <v>0</v>
      </c>
      <c r="AF69" s="23">
        <f t="shared" si="18"/>
        <v>0</v>
      </c>
      <c r="AG69" s="23">
        <f t="shared" si="19"/>
        <v>0</v>
      </c>
      <c r="AH69" s="13" t="e">
        <f t="shared" si="34"/>
        <v>#DIV/0!</v>
      </c>
      <c r="AI69" s="13" t="e">
        <f t="shared" si="35"/>
        <v>#DIV/0!</v>
      </c>
      <c r="AJ69" s="10" t="e">
        <f t="shared" si="36"/>
        <v>#DIV/0!</v>
      </c>
      <c r="AK69" s="6" t="e">
        <f t="shared" si="37"/>
        <v>#DIV/0!</v>
      </c>
      <c r="AL69" s="6" t="e">
        <f t="shared" si="38"/>
        <v>#DIV/0!</v>
      </c>
      <c r="AM69" s="6" t="e">
        <f t="shared" si="39"/>
        <v>#DIV/0!</v>
      </c>
      <c r="AN69" s="6" t="e">
        <f t="shared" si="40"/>
        <v>#DIV/0!</v>
      </c>
      <c r="AO69" s="57" t="e">
        <f t="shared" si="41"/>
        <v>#DIV/0!</v>
      </c>
      <c r="AP69" s="57" t="e">
        <f t="shared" si="20"/>
        <v>#DIV/0!</v>
      </c>
      <c r="AQ69" s="57" t="e">
        <f t="shared" si="21"/>
        <v>#DIV/0!</v>
      </c>
      <c r="AR69" s="57" t="e">
        <f t="shared" si="22"/>
        <v>#DIV/0!</v>
      </c>
      <c r="AS69" s="57" t="e">
        <f t="shared" si="23"/>
        <v>#DIV/0!</v>
      </c>
    </row>
    <row r="70" spans="1:45" ht="33" hidden="1" customHeight="1">
      <c r="A70" s="22">
        <v>0</v>
      </c>
      <c r="B70" s="12"/>
      <c r="C70" s="203"/>
      <c r="D70" s="12"/>
      <c r="E70" s="12"/>
      <c r="F70" s="12"/>
      <c r="G70" s="12"/>
      <c r="H70" s="12"/>
      <c r="I70" s="12"/>
      <c r="J70" s="12"/>
      <c r="K70" s="12"/>
      <c r="L70" s="12"/>
      <c r="M70" s="12"/>
      <c r="N70" s="12"/>
      <c r="O70" s="57"/>
      <c r="P70" s="57"/>
      <c r="Q70" s="12"/>
      <c r="R70" s="12"/>
      <c r="S70" s="12"/>
      <c r="T70" s="12"/>
      <c r="U70" s="13">
        <f t="shared" si="42"/>
        <v>0</v>
      </c>
      <c r="V70" s="13">
        <f t="shared" si="43"/>
        <v>0</v>
      </c>
      <c r="W70" s="13">
        <f t="shared" si="44"/>
        <v>0</v>
      </c>
      <c r="X70" s="13">
        <f t="shared" si="45"/>
        <v>0</v>
      </c>
      <c r="Y70" s="13">
        <f t="shared" si="46"/>
        <v>0</v>
      </c>
      <c r="Z70" s="13">
        <f t="shared" si="47"/>
        <v>0</v>
      </c>
      <c r="AA70" s="13">
        <f t="shared" si="48"/>
        <v>0</v>
      </c>
      <c r="AB70" s="13">
        <f t="shared" si="49"/>
        <v>0</v>
      </c>
      <c r="AC70" s="23">
        <f t="shared" si="24"/>
        <v>0</v>
      </c>
      <c r="AD70" s="23">
        <f t="shared" si="33"/>
        <v>0</v>
      </c>
      <c r="AE70" s="23">
        <f t="shared" si="17"/>
        <v>0</v>
      </c>
      <c r="AF70" s="23">
        <f t="shared" si="18"/>
        <v>0</v>
      </c>
      <c r="AG70" s="23">
        <f t="shared" si="19"/>
        <v>0</v>
      </c>
      <c r="AH70" s="13" t="e">
        <f t="shared" si="34"/>
        <v>#DIV/0!</v>
      </c>
      <c r="AI70" s="13" t="e">
        <f t="shared" si="35"/>
        <v>#DIV/0!</v>
      </c>
      <c r="AJ70" s="10" t="e">
        <f t="shared" si="36"/>
        <v>#DIV/0!</v>
      </c>
      <c r="AK70" s="6" t="e">
        <f t="shared" si="37"/>
        <v>#DIV/0!</v>
      </c>
      <c r="AL70" s="6" t="e">
        <f t="shared" si="38"/>
        <v>#DIV/0!</v>
      </c>
      <c r="AM70" s="6" t="e">
        <f t="shared" si="39"/>
        <v>#DIV/0!</v>
      </c>
      <c r="AN70" s="6" t="e">
        <f t="shared" si="40"/>
        <v>#DIV/0!</v>
      </c>
      <c r="AO70" s="57" t="e">
        <f t="shared" si="41"/>
        <v>#DIV/0!</v>
      </c>
      <c r="AP70" s="57" t="e">
        <f t="shared" si="20"/>
        <v>#DIV/0!</v>
      </c>
      <c r="AQ70" s="57" t="e">
        <f t="shared" si="21"/>
        <v>#DIV/0!</v>
      </c>
      <c r="AR70" s="57" t="e">
        <f t="shared" si="22"/>
        <v>#DIV/0!</v>
      </c>
      <c r="AS70" s="57" t="e">
        <f t="shared" si="23"/>
        <v>#DIV/0!</v>
      </c>
    </row>
    <row r="71" spans="1:45" ht="33" hidden="1" customHeight="1">
      <c r="A71" s="22">
        <v>0</v>
      </c>
      <c r="B71" s="12"/>
      <c r="C71" s="203"/>
      <c r="D71" s="12"/>
      <c r="E71" s="12"/>
      <c r="F71" s="12"/>
      <c r="G71" s="12"/>
      <c r="H71" s="12"/>
      <c r="I71" s="12"/>
      <c r="J71" s="12"/>
      <c r="K71" s="12"/>
      <c r="L71" s="12"/>
      <c r="M71" s="12"/>
      <c r="N71" s="12"/>
      <c r="O71" s="57"/>
      <c r="P71" s="57"/>
      <c r="Q71" s="12"/>
      <c r="R71" s="12"/>
      <c r="S71" s="12"/>
      <c r="T71" s="12"/>
      <c r="U71" s="13">
        <f t="shared" si="42"/>
        <v>0</v>
      </c>
      <c r="V71" s="13">
        <f t="shared" si="43"/>
        <v>0</v>
      </c>
      <c r="W71" s="13">
        <f t="shared" si="44"/>
        <v>0</v>
      </c>
      <c r="X71" s="13">
        <f t="shared" si="45"/>
        <v>0</v>
      </c>
      <c r="Y71" s="13">
        <f t="shared" si="46"/>
        <v>0</v>
      </c>
      <c r="Z71" s="13">
        <f t="shared" si="47"/>
        <v>0</v>
      </c>
      <c r="AA71" s="13">
        <f t="shared" si="48"/>
        <v>0</v>
      </c>
      <c r="AB71" s="13">
        <f t="shared" si="49"/>
        <v>0</v>
      </c>
      <c r="AC71" s="23">
        <f t="shared" si="24"/>
        <v>0</v>
      </c>
      <c r="AD71" s="23">
        <f t="shared" si="33"/>
        <v>0</v>
      </c>
      <c r="AE71" s="23">
        <f t="shared" si="17"/>
        <v>0</v>
      </c>
      <c r="AF71" s="23">
        <f t="shared" si="18"/>
        <v>0</v>
      </c>
      <c r="AG71" s="23">
        <f t="shared" si="19"/>
        <v>0</v>
      </c>
      <c r="AH71" s="13" t="e">
        <f t="shared" si="34"/>
        <v>#DIV/0!</v>
      </c>
      <c r="AI71" s="13" t="e">
        <f t="shared" si="35"/>
        <v>#DIV/0!</v>
      </c>
      <c r="AJ71" s="10" t="e">
        <f t="shared" si="36"/>
        <v>#DIV/0!</v>
      </c>
      <c r="AK71" s="6" t="e">
        <f t="shared" si="37"/>
        <v>#DIV/0!</v>
      </c>
      <c r="AL71" s="6" t="e">
        <f t="shared" si="38"/>
        <v>#DIV/0!</v>
      </c>
      <c r="AM71" s="6" t="e">
        <f t="shared" si="39"/>
        <v>#DIV/0!</v>
      </c>
      <c r="AN71" s="6" t="e">
        <f t="shared" si="40"/>
        <v>#DIV/0!</v>
      </c>
      <c r="AO71" s="57" t="e">
        <f t="shared" si="41"/>
        <v>#DIV/0!</v>
      </c>
      <c r="AP71" s="57" t="e">
        <f t="shared" si="20"/>
        <v>#DIV/0!</v>
      </c>
      <c r="AQ71" s="57" t="e">
        <f t="shared" si="21"/>
        <v>#DIV/0!</v>
      </c>
      <c r="AR71" s="57" t="e">
        <f t="shared" si="22"/>
        <v>#DIV/0!</v>
      </c>
      <c r="AS71" s="57" t="e">
        <f t="shared" si="23"/>
        <v>#DIV/0!</v>
      </c>
    </row>
    <row r="72" spans="1:45" ht="33" hidden="1" customHeight="1">
      <c r="A72" s="22">
        <v>0</v>
      </c>
      <c r="B72" s="12"/>
      <c r="C72" s="203"/>
      <c r="D72" s="12"/>
      <c r="E72" s="12"/>
      <c r="F72" s="12"/>
      <c r="G72" s="12"/>
      <c r="H72" s="12"/>
      <c r="I72" s="12"/>
      <c r="J72" s="12"/>
      <c r="K72" s="12"/>
      <c r="L72" s="12"/>
      <c r="M72" s="12"/>
      <c r="N72" s="12"/>
      <c r="O72" s="57"/>
      <c r="P72" s="57"/>
      <c r="Q72" s="12"/>
      <c r="R72" s="12"/>
      <c r="S72" s="12"/>
      <c r="T72" s="12"/>
      <c r="U72" s="13">
        <f t="shared" si="42"/>
        <v>0</v>
      </c>
      <c r="V72" s="13">
        <f t="shared" si="43"/>
        <v>0</v>
      </c>
      <c r="W72" s="13">
        <f t="shared" si="44"/>
        <v>0</v>
      </c>
      <c r="X72" s="13">
        <f t="shared" si="45"/>
        <v>0</v>
      </c>
      <c r="Y72" s="13">
        <f t="shared" si="46"/>
        <v>0</v>
      </c>
      <c r="Z72" s="13">
        <f t="shared" si="47"/>
        <v>0</v>
      </c>
      <c r="AA72" s="13">
        <f t="shared" si="48"/>
        <v>0</v>
      </c>
      <c r="AB72" s="13">
        <f t="shared" si="49"/>
        <v>0</v>
      </c>
      <c r="AC72" s="23">
        <f t="shared" si="24"/>
        <v>0</v>
      </c>
      <c r="AD72" s="23">
        <f t="shared" si="33"/>
        <v>0</v>
      </c>
      <c r="AE72" s="23">
        <f t="shared" si="17"/>
        <v>0</v>
      </c>
      <c r="AF72" s="23">
        <f t="shared" si="18"/>
        <v>0</v>
      </c>
      <c r="AG72" s="23">
        <f t="shared" si="19"/>
        <v>0</v>
      </c>
      <c r="AH72" s="13" t="e">
        <f t="shared" si="34"/>
        <v>#DIV/0!</v>
      </c>
      <c r="AI72" s="13" t="e">
        <f t="shared" si="35"/>
        <v>#DIV/0!</v>
      </c>
      <c r="AJ72" s="10" t="e">
        <f t="shared" si="36"/>
        <v>#DIV/0!</v>
      </c>
      <c r="AK72" s="6" t="e">
        <f t="shared" si="37"/>
        <v>#DIV/0!</v>
      </c>
      <c r="AL72" s="6" t="e">
        <f t="shared" si="38"/>
        <v>#DIV/0!</v>
      </c>
      <c r="AM72" s="6" t="e">
        <f t="shared" si="39"/>
        <v>#DIV/0!</v>
      </c>
      <c r="AN72" s="6" t="e">
        <f t="shared" si="40"/>
        <v>#DIV/0!</v>
      </c>
      <c r="AO72" s="57" t="e">
        <f t="shared" si="41"/>
        <v>#DIV/0!</v>
      </c>
      <c r="AP72" s="57" t="e">
        <f t="shared" si="20"/>
        <v>#DIV/0!</v>
      </c>
      <c r="AQ72" s="57" t="e">
        <f t="shared" si="21"/>
        <v>#DIV/0!</v>
      </c>
      <c r="AR72" s="57" t="e">
        <f t="shared" si="22"/>
        <v>#DIV/0!</v>
      </c>
      <c r="AS72" s="57" t="e">
        <f t="shared" si="23"/>
        <v>#DIV/0!</v>
      </c>
    </row>
    <row r="73" spans="1:45" ht="33" hidden="1" customHeight="1">
      <c r="A73" s="22">
        <v>0</v>
      </c>
      <c r="B73" s="12"/>
      <c r="C73" s="203"/>
      <c r="D73" s="12"/>
      <c r="E73" s="12"/>
      <c r="F73" s="12"/>
      <c r="G73" s="12"/>
      <c r="H73" s="12"/>
      <c r="I73" s="12"/>
      <c r="J73" s="12"/>
      <c r="K73" s="12"/>
      <c r="L73" s="12"/>
      <c r="M73" s="12"/>
      <c r="N73" s="12"/>
      <c r="O73" s="57"/>
      <c r="P73" s="57"/>
      <c r="Q73" s="12"/>
      <c r="R73" s="12"/>
      <c r="S73" s="12"/>
      <c r="T73" s="12"/>
      <c r="U73" s="13">
        <f t="shared" si="42"/>
        <v>0</v>
      </c>
      <c r="V73" s="13">
        <f t="shared" si="43"/>
        <v>0</v>
      </c>
      <c r="W73" s="13">
        <f t="shared" si="44"/>
        <v>0</v>
      </c>
      <c r="X73" s="13">
        <f t="shared" si="45"/>
        <v>0</v>
      </c>
      <c r="Y73" s="13">
        <f t="shared" si="46"/>
        <v>0</v>
      </c>
      <c r="Z73" s="13">
        <f t="shared" si="47"/>
        <v>0</v>
      </c>
      <c r="AA73" s="13">
        <f t="shared" si="48"/>
        <v>0</v>
      </c>
      <c r="AB73" s="13">
        <f t="shared" si="49"/>
        <v>0</v>
      </c>
      <c r="AC73" s="23">
        <f t="shared" si="24"/>
        <v>0</v>
      </c>
      <c r="AD73" s="23">
        <f t="shared" si="33"/>
        <v>0</v>
      </c>
      <c r="AE73" s="23">
        <f t="shared" si="17"/>
        <v>0</v>
      </c>
      <c r="AF73" s="23">
        <f t="shared" si="18"/>
        <v>0</v>
      </c>
      <c r="AG73" s="23">
        <f t="shared" si="19"/>
        <v>0</v>
      </c>
      <c r="AH73" s="13" t="e">
        <f t="shared" si="34"/>
        <v>#DIV/0!</v>
      </c>
      <c r="AI73" s="13" t="e">
        <f t="shared" si="35"/>
        <v>#DIV/0!</v>
      </c>
      <c r="AJ73" s="10" t="e">
        <f t="shared" si="36"/>
        <v>#DIV/0!</v>
      </c>
      <c r="AK73" s="6" t="e">
        <f t="shared" si="37"/>
        <v>#DIV/0!</v>
      </c>
      <c r="AL73" s="6" t="e">
        <f t="shared" si="38"/>
        <v>#DIV/0!</v>
      </c>
      <c r="AM73" s="6" t="e">
        <f t="shared" si="39"/>
        <v>#DIV/0!</v>
      </c>
      <c r="AN73" s="6" t="e">
        <f t="shared" si="40"/>
        <v>#DIV/0!</v>
      </c>
      <c r="AO73" s="57" t="e">
        <f t="shared" si="41"/>
        <v>#DIV/0!</v>
      </c>
      <c r="AP73" s="57" t="e">
        <f t="shared" si="20"/>
        <v>#DIV/0!</v>
      </c>
      <c r="AQ73" s="57" t="e">
        <f t="shared" si="21"/>
        <v>#DIV/0!</v>
      </c>
      <c r="AR73" s="57" t="e">
        <f t="shared" si="22"/>
        <v>#DIV/0!</v>
      </c>
      <c r="AS73" s="57" t="e">
        <f t="shared" si="23"/>
        <v>#DIV/0!</v>
      </c>
    </row>
    <row r="74" spans="1:45" ht="33" hidden="1" customHeight="1">
      <c r="A74" s="22">
        <v>0</v>
      </c>
      <c r="B74" s="12"/>
      <c r="C74" s="203"/>
      <c r="D74" s="12"/>
      <c r="E74" s="12"/>
      <c r="F74" s="12"/>
      <c r="G74" s="12"/>
      <c r="H74" s="12"/>
      <c r="I74" s="12"/>
      <c r="J74" s="12"/>
      <c r="K74" s="12"/>
      <c r="L74" s="12"/>
      <c r="M74" s="12"/>
      <c r="N74" s="12"/>
      <c r="O74" s="57"/>
      <c r="P74" s="57"/>
      <c r="Q74" s="12"/>
      <c r="R74" s="12"/>
      <c r="S74" s="12"/>
      <c r="T74" s="12"/>
      <c r="U74" s="13">
        <f t="shared" si="42"/>
        <v>0</v>
      </c>
      <c r="V74" s="13">
        <f t="shared" si="43"/>
        <v>0</v>
      </c>
      <c r="W74" s="13">
        <f t="shared" si="44"/>
        <v>0</v>
      </c>
      <c r="X74" s="13">
        <f t="shared" si="45"/>
        <v>0</v>
      </c>
      <c r="Y74" s="13">
        <f t="shared" si="46"/>
        <v>0</v>
      </c>
      <c r="Z74" s="13">
        <f t="shared" si="47"/>
        <v>0</v>
      </c>
      <c r="AA74" s="13">
        <f t="shared" si="48"/>
        <v>0</v>
      </c>
      <c r="AB74" s="13">
        <f t="shared" si="49"/>
        <v>0</v>
      </c>
      <c r="AC74" s="23">
        <f t="shared" si="24"/>
        <v>0</v>
      </c>
      <c r="AD74" s="23">
        <f t="shared" si="33"/>
        <v>0</v>
      </c>
      <c r="AE74" s="23">
        <f t="shared" si="17"/>
        <v>0</v>
      </c>
      <c r="AF74" s="23">
        <f t="shared" si="18"/>
        <v>0</v>
      </c>
      <c r="AG74" s="23">
        <f t="shared" si="19"/>
        <v>0</v>
      </c>
      <c r="AH74" s="13" t="e">
        <f t="shared" si="34"/>
        <v>#DIV/0!</v>
      </c>
      <c r="AI74" s="13" t="e">
        <f t="shared" si="35"/>
        <v>#DIV/0!</v>
      </c>
      <c r="AJ74" s="10" t="e">
        <f t="shared" si="36"/>
        <v>#DIV/0!</v>
      </c>
      <c r="AK74" s="6" t="e">
        <f t="shared" si="37"/>
        <v>#DIV/0!</v>
      </c>
      <c r="AL74" s="6" t="e">
        <f t="shared" si="38"/>
        <v>#DIV/0!</v>
      </c>
      <c r="AM74" s="6" t="e">
        <f t="shared" si="39"/>
        <v>#DIV/0!</v>
      </c>
      <c r="AN74" s="6" t="e">
        <f t="shared" si="40"/>
        <v>#DIV/0!</v>
      </c>
      <c r="AO74" s="57" t="e">
        <f t="shared" si="41"/>
        <v>#DIV/0!</v>
      </c>
      <c r="AP74" s="57" t="e">
        <f t="shared" si="20"/>
        <v>#DIV/0!</v>
      </c>
      <c r="AQ74" s="57" t="e">
        <f t="shared" si="21"/>
        <v>#DIV/0!</v>
      </c>
      <c r="AR74" s="57" t="e">
        <f t="shared" si="22"/>
        <v>#DIV/0!</v>
      </c>
      <c r="AS74" s="57" t="e">
        <f t="shared" si="23"/>
        <v>#DIV/0!</v>
      </c>
    </row>
    <row r="75" spans="1:45" ht="33" hidden="1" customHeight="1">
      <c r="A75" s="22">
        <v>0</v>
      </c>
      <c r="B75" s="12"/>
      <c r="C75" s="203"/>
      <c r="D75" s="12"/>
      <c r="E75" s="12"/>
      <c r="F75" s="12"/>
      <c r="G75" s="12"/>
      <c r="H75" s="12"/>
      <c r="I75" s="12"/>
      <c r="J75" s="12"/>
      <c r="K75" s="12"/>
      <c r="L75" s="12"/>
      <c r="M75" s="12"/>
      <c r="N75" s="12"/>
      <c r="O75" s="57"/>
      <c r="P75" s="57"/>
      <c r="Q75" s="12"/>
      <c r="R75" s="12"/>
      <c r="S75" s="12"/>
      <c r="T75" s="12"/>
      <c r="U75" s="13">
        <f t="shared" si="42"/>
        <v>0</v>
      </c>
      <c r="V75" s="13">
        <f t="shared" si="43"/>
        <v>0</v>
      </c>
      <c r="W75" s="13">
        <f t="shared" si="44"/>
        <v>0</v>
      </c>
      <c r="X75" s="13">
        <f t="shared" si="45"/>
        <v>0</v>
      </c>
      <c r="Y75" s="13">
        <f t="shared" si="46"/>
        <v>0</v>
      </c>
      <c r="Z75" s="13">
        <f t="shared" si="47"/>
        <v>0</v>
      </c>
      <c r="AA75" s="13">
        <f t="shared" si="48"/>
        <v>0</v>
      </c>
      <c r="AB75" s="13">
        <f t="shared" si="49"/>
        <v>0</v>
      </c>
      <c r="AC75" s="23">
        <f t="shared" si="24"/>
        <v>0</v>
      </c>
      <c r="AD75" s="23">
        <f t="shared" si="33"/>
        <v>0</v>
      </c>
      <c r="AE75" s="23">
        <f t="shared" si="17"/>
        <v>0</v>
      </c>
      <c r="AF75" s="23">
        <f t="shared" si="18"/>
        <v>0</v>
      </c>
      <c r="AG75" s="23">
        <f t="shared" si="19"/>
        <v>0</v>
      </c>
      <c r="AH75" s="13" t="e">
        <f t="shared" si="34"/>
        <v>#DIV/0!</v>
      </c>
      <c r="AI75" s="13" t="e">
        <f t="shared" si="35"/>
        <v>#DIV/0!</v>
      </c>
      <c r="AJ75" s="10" t="e">
        <f t="shared" si="36"/>
        <v>#DIV/0!</v>
      </c>
      <c r="AK75" s="6" t="e">
        <f t="shared" si="37"/>
        <v>#DIV/0!</v>
      </c>
      <c r="AL75" s="6" t="e">
        <f t="shared" si="38"/>
        <v>#DIV/0!</v>
      </c>
      <c r="AM75" s="6" t="e">
        <f t="shared" si="39"/>
        <v>#DIV/0!</v>
      </c>
      <c r="AN75" s="6" t="e">
        <f t="shared" si="40"/>
        <v>#DIV/0!</v>
      </c>
      <c r="AO75" s="57" t="e">
        <f t="shared" si="41"/>
        <v>#DIV/0!</v>
      </c>
      <c r="AP75" s="57" t="e">
        <f t="shared" si="20"/>
        <v>#DIV/0!</v>
      </c>
      <c r="AQ75" s="57" t="e">
        <f t="shared" si="21"/>
        <v>#DIV/0!</v>
      </c>
      <c r="AR75" s="57" t="e">
        <f t="shared" si="22"/>
        <v>#DIV/0!</v>
      </c>
      <c r="AS75" s="57" t="e">
        <f t="shared" si="23"/>
        <v>#DIV/0!</v>
      </c>
    </row>
    <row r="76" spans="1:45" ht="33" hidden="1" customHeight="1">
      <c r="A76" s="22">
        <v>0</v>
      </c>
      <c r="B76" s="12"/>
      <c r="C76" s="203"/>
      <c r="D76" s="12"/>
      <c r="E76" s="12"/>
      <c r="F76" s="12"/>
      <c r="G76" s="12"/>
      <c r="H76" s="12"/>
      <c r="I76" s="12"/>
      <c r="J76" s="12"/>
      <c r="K76" s="12"/>
      <c r="L76" s="12"/>
      <c r="M76" s="12"/>
      <c r="N76" s="12"/>
      <c r="O76" s="57"/>
      <c r="P76" s="57"/>
      <c r="Q76" s="12"/>
      <c r="R76" s="12"/>
      <c r="S76" s="12"/>
      <c r="T76" s="12"/>
      <c r="U76" s="13">
        <f t="shared" si="42"/>
        <v>0</v>
      </c>
      <c r="V76" s="13">
        <f t="shared" si="43"/>
        <v>0</v>
      </c>
      <c r="W76" s="13">
        <f t="shared" si="44"/>
        <v>0</v>
      </c>
      <c r="X76" s="13">
        <f t="shared" si="45"/>
        <v>0</v>
      </c>
      <c r="Y76" s="13">
        <f t="shared" si="46"/>
        <v>0</v>
      </c>
      <c r="Z76" s="13">
        <f t="shared" si="47"/>
        <v>0</v>
      </c>
      <c r="AA76" s="13">
        <f t="shared" si="48"/>
        <v>0</v>
      </c>
      <c r="AB76" s="13">
        <f t="shared" si="49"/>
        <v>0</v>
      </c>
      <c r="AC76" s="23">
        <f t="shared" si="24"/>
        <v>0</v>
      </c>
      <c r="AD76" s="23">
        <f t="shared" si="33"/>
        <v>0</v>
      </c>
      <c r="AE76" s="23">
        <f t="shared" si="17"/>
        <v>0</v>
      </c>
      <c r="AF76" s="23">
        <f t="shared" si="18"/>
        <v>0</v>
      </c>
      <c r="AG76" s="23">
        <f t="shared" si="19"/>
        <v>0</v>
      </c>
      <c r="AH76" s="13" t="e">
        <f t="shared" si="34"/>
        <v>#DIV/0!</v>
      </c>
      <c r="AI76" s="13" t="e">
        <f t="shared" si="35"/>
        <v>#DIV/0!</v>
      </c>
      <c r="AJ76" s="10" t="e">
        <f t="shared" si="36"/>
        <v>#DIV/0!</v>
      </c>
      <c r="AK76" s="6" t="e">
        <f t="shared" si="37"/>
        <v>#DIV/0!</v>
      </c>
      <c r="AL76" s="6" t="e">
        <f t="shared" si="38"/>
        <v>#DIV/0!</v>
      </c>
      <c r="AM76" s="6" t="e">
        <f t="shared" si="39"/>
        <v>#DIV/0!</v>
      </c>
      <c r="AN76" s="6" t="e">
        <f t="shared" si="40"/>
        <v>#DIV/0!</v>
      </c>
      <c r="AO76" s="57" t="e">
        <f t="shared" si="41"/>
        <v>#DIV/0!</v>
      </c>
      <c r="AP76" s="57" t="e">
        <f t="shared" si="20"/>
        <v>#DIV/0!</v>
      </c>
      <c r="AQ76" s="57" t="e">
        <f t="shared" si="21"/>
        <v>#DIV/0!</v>
      </c>
      <c r="AR76" s="57" t="e">
        <f t="shared" si="22"/>
        <v>#DIV/0!</v>
      </c>
      <c r="AS76" s="57" t="e">
        <f t="shared" si="23"/>
        <v>#DIV/0!</v>
      </c>
    </row>
    <row r="77" spans="1:45" ht="33" hidden="1" customHeight="1">
      <c r="A77" s="22">
        <v>0</v>
      </c>
      <c r="B77" s="12"/>
      <c r="C77" s="203"/>
      <c r="D77" s="12"/>
      <c r="E77" s="12"/>
      <c r="F77" s="12"/>
      <c r="G77" s="12"/>
      <c r="H77" s="12"/>
      <c r="I77" s="12"/>
      <c r="J77" s="12"/>
      <c r="K77" s="12"/>
      <c r="L77" s="12"/>
      <c r="M77" s="12"/>
      <c r="N77" s="12"/>
      <c r="O77" s="57"/>
      <c r="P77" s="57"/>
      <c r="Q77" s="12"/>
      <c r="R77" s="12"/>
      <c r="S77" s="12"/>
      <c r="T77" s="12"/>
      <c r="U77" s="13">
        <f t="shared" si="42"/>
        <v>0</v>
      </c>
      <c r="V77" s="13">
        <f t="shared" si="43"/>
        <v>0</v>
      </c>
      <c r="W77" s="13">
        <f t="shared" si="44"/>
        <v>0</v>
      </c>
      <c r="X77" s="13">
        <f t="shared" si="45"/>
        <v>0</v>
      </c>
      <c r="Y77" s="13">
        <f t="shared" si="46"/>
        <v>0</v>
      </c>
      <c r="Z77" s="13">
        <f t="shared" si="47"/>
        <v>0</v>
      </c>
      <c r="AA77" s="13">
        <f t="shared" si="48"/>
        <v>0</v>
      </c>
      <c r="AB77" s="13">
        <f t="shared" si="49"/>
        <v>0</v>
      </c>
      <c r="AC77" s="23">
        <f t="shared" si="24"/>
        <v>0</v>
      </c>
      <c r="AD77" s="23">
        <f t="shared" si="33"/>
        <v>0</v>
      </c>
      <c r="AE77" s="23">
        <f t="shared" si="17"/>
        <v>0</v>
      </c>
      <c r="AF77" s="23">
        <f t="shared" si="18"/>
        <v>0</v>
      </c>
      <c r="AG77" s="23">
        <f t="shared" si="19"/>
        <v>0</v>
      </c>
      <c r="AH77" s="13" t="e">
        <f t="shared" si="34"/>
        <v>#DIV/0!</v>
      </c>
      <c r="AI77" s="13" t="e">
        <f t="shared" si="35"/>
        <v>#DIV/0!</v>
      </c>
      <c r="AJ77" s="10" t="e">
        <f t="shared" si="36"/>
        <v>#DIV/0!</v>
      </c>
      <c r="AK77" s="6" t="e">
        <f t="shared" si="37"/>
        <v>#DIV/0!</v>
      </c>
      <c r="AL77" s="6" t="e">
        <f t="shared" si="38"/>
        <v>#DIV/0!</v>
      </c>
      <c r="AM77" s="6" t="e">
        <f t="shared" si="39"/>
        <v>#DIV/0!</v>
      </c>
      <c r="AN77" s="6" t="e">
        <f t="shared" si="40"/>
        <v>#DIV/0!</v>
      </c>
      <c r="AO77" s="57" t="e">
        <f t="shared" si="41"/>
        <v>#DIV/0!</v>
      </c>
      <c r="AP77" s="57" t="e">
        <f t="shared" si="20"/>
        <v>#DIV/0!</v>
      </c>
      <c r="AQ77" s="57" t="e">
        <f t="shared" si="21"/>
        <v>#DIV/0!</v>
      </c>
      <c r="AR77" s="57" t="e">
        <f t="shared" si="22"/>
        <v>#DIV/0!</v>
      </c>
      <c r="AS77" s="57" t="e">
        <f t="shared" si="23"/>
        <v>#DIV/0!</v>
      </c>
    </row>
    <row r="78" spans="1:45" ht="33" hidden="1" customHeight="1">
      <c r="A78" s="22">
        <v>0</v>
      </c>
      <c r="B78" s="12"/>
      <c r="C78" s="203"/>
      <c r="D78" s="12"/>
      <c r="E78" s="12"/>
      <c r="F78" s="12"/>
      <c r="G78" s="12"/>
      <c r="H78" s="12"/>
      <c r="I78" s="12"/>
      <c r="J78" s="12"/>
      <c r="K78" s="12"/>
      <c r="L78" s="12"/>
      <c r="M78" s="12"/>
      <c r="N78" s="12"/>
      <c r="O78" s="57"/>
      <c r="P78" s="57"/>
      <c r="Q78" s="12"/>
      <c r="R78" s="12"/>
      <c r="S78" s="12"/>
      <c r="T78" s="12"/>
      <c r="U78" s="13">
        <f t="shared" si="42"/>
        <v>0</v>
      </c>
      <c r="V78" s="13">
        <f t="shared" si="43"/>
        <v>0</v>
      </c>
      <c r="W78" s="13">
        <f t="shared" si="44"/>
        <v>0</v>
      </c>
      <c r="X78" s="13">
        <f t="shared" si="45"/>
        <v>0</v>
      </c>
      <c r="Y78" s="13">
        <f t="shared" si="46"/>
        <v>0</v>
      </c>
      <c r="Z78" s="13">
        <f t="shared" si="47"/>
        <v>0</v>
      </c>
      <c r="AA78" s="13">
        <f t="shared" si="48"/>
        <v>0</v>
      </c>
      <c r="AB78" s="13">
        <f t="shared" si="49"/>
        <v>0</v>
      </c>
      <c r="AC78" s="23">
        <f t="shared" si="24"/>
        <v>0</v>
      </c>
      <c r="AD78" s="23">
        <f t="shared" ref="AD78:AD109" si="50">IF($D$12="CO9",D78,0)+IF($E$12="CO9",E78,0)+IF($F$12="CO9",F78,0)+IF($G$12="CO9",G78,0)+IF($H$12="CO9",H78,0)+IF($I$12="CO9",I78,0)+IF($J$12="CO9",J78,0)+IF($K$12="CO9",K78,0)+IF($L$12="CO9",L78,0)+IF($M$12="CO9",M78,0)+IF($N$12="CO9",N78,0)+IF($O$12="CO9",O78,0)+IF($P$12="CO9",P78,0)+IF($Q$12="CO9",Q78,0)+IF($R$12="CO9",R78,0)+IF($S$12="CO9",S78,0)+IF($T$12="CO9",T78,0)</f>
        <v>0</v>
      </c>
      <c r="AE78" s="23">
        <f t="shared" si="17"/>
        <v>0</v>
      </c>
      <c r="AF78" s="23">
        <f t="shared" si="18"/>
        <v>0</v>
      </c>
      <c r="AG78" s="23">
        <f t="shared" si="19"/>
        <v>0</v>
      </c>
      <c r="AH78" s="13" t="e">
        <f t="shared" ref="AH78:AH109" si="51">ROUND(V78/(IF($D$12="CO1",$D$13,0)+IF($E$12="CO1",$E$13,0)+IF($F$12="CO1",$F$13,0)+IF($G$12="CO1",$G$13,0)+IF($H$12="CO1",$H$13,0)+IF($I$12="CO1",$I$13,0)+IF($J$12="CO1",$J$13,0)+IF($K$12="CO1",$K$13,0)+IF($L$12="CO1",$L$13,0)+IF($M$12="CO1",$M$13,0)+IF($N$12="CO1",$N$13,0)+IF($O$12="CO1",$O$13,0)+IF($P$12="CO1",$P$13,0)+IF($Q$12="CO1",$Q$13,0)+IF($R$12="CO1",$R$13,0)+IF($S$12="CO1",$S$13,0)+IF($T$12="CO1",$T$13,0))*100,2)</f>
        <v>#DIV/0!</v>
      </c>
      <c r="AI78" s="13" t="e">
        <f t="shared" ref="AI78:AI109" si="52">ROUND(W78/(IF($D$12="CO2",$D$13,0)+IF($E$12="CO2",$E$13,0)+IF($F$12="CO2",$F$13,0)+IF($G$12="CO2",$G$13,0)+IF($H$12="CO2",$H$13,0)+IF($I$12="CO2",$I$13,0)+IF($J$12="CO2",$J$13,0)+IF($K$12="CO2",$K$13,0)+IF($L$12="CO2",$L$13,0)+IF($M$12="CO2",$M$13,0)+IF($N$12="CO2",$N$13,0)+IF($O$12="CO2",$O$13,0)+IF($P$12="CO2",$P$13,0)+IF($Q$12="CO2",$Q$13,0)+IF($R$12="CO2",$R$13,0)+IF($S$12="CO2",$S$13,0)+IF($T$12="CO2",$T$13,0))*100,2)</f>
        <v>#DIV/0!</v>
      </c>
      <c r="AJ78" s="10" t="e">
        <f t="shared" ref="AJ78:AJ109" si="53">ROUND(X78/(IF($D$12="CO3",$D$13,0)+IF($E$12="CO3",$E$13,0)+IF($F$12="CO3",$F$13,0)+IF($G$12="CO3",$G$13,0)+IF($H$12="CO3",$H$13,0)+IF($I$12="CO3",$I$13,0)+IF($J$12="CO3",$J$13,0)+IF($K$12="CO3",$K$13,0)+IF($L$12="CO3",$L$13,0)+IF($M$12="CO3",$M$13,0)+IF($N$12="CO3",$N$13,0)+IF($O$12="CO3",$O$13,0)+IF($P$12="CO3",$P$13,0)+IF($Q$12="CO3",$Q$13,0)+IF($R$12="CO3",$R$13,0)+IF($S$12="CO3",$S$13,0)+IF($T$12="CO3",$T$13,0))*100,2)</f>
        <v>#DIV/0!</v>
      </c>
      <c r="AK78" s="6" t="e">
        <f t="shared" ref="AK78:AK109" si="54">ROUND(Y78/(IF($D$12="CO4",$D$13,0)+IF($E$12="CO4",$E$13,0)+IF($F$12="CO4",$F$13,0)+IF($G$12="CO4",$G$13,0)+IF($H$12="CO4",$H$13,0)+IF($I$12="CO4",$I$13,0)+IF($J$12="CO4",$J$13,0)+IF($K$12="CO4",$K$13,0)+IF($L$12="CO4",$L$13,0)+IF($M$12="CO4",$M$13,0)+IF($N$12="CO4",$N$13,0)+IF($O$12="CO4",$O$13,0)+IF($P$12="CO4",$P$13,0)+IF($Q$12="CO4",$Q$13,0)+IF($R$12="CO4",$R$13,0)+IF($S$12="CO4",$S$13,0)+IF($T$12="CO4",$T$13,0))*100,2)</f>
        <v>#DIV/0!</v>
      </c>
      <c r="AL78" s="6" t="e">
        <f t="shared" ref="AL78:AL109" si="55">ROUND(Z78/(IF($D$12="CO5",$D$13,0)+IF($E$12="CO5",$E$13,0)+IF($F$12="CO5",$F$13,0)+IF($G$12="CO5",$G$13,0)+IF($H$12="CO5",$H$13,0)+IF($I$12="CO5",$I$13,0)+IF($J$12="CO5",$J$13,0)+IF($K$12="CO5",$K$13,0)+IF($L$12="CO5",$L$13,0)+IF($M$12="CO5",$M$13,0)+IF($N$12="CO5",$N$13,0)+IF($O$12="CO5",$O$13,0)+IF($P$12="CO5",$P$13,0)+IF($Q$12="CO5",$Q$13,0)+IF($R$12="CO5",$R$13,0)+IF($S$12="CO5",$S$13,0)+IF($T$12="CO5",$T$13,0))*100,2)</f>
        <v>#DIV/0!</v>
      </c>
      <c r="AM78" s="6" t="e">
        <f t="shared" ref="AM78:AM109" si="56">ROUND(AA78/(IF($D$12="CO6",$D$13,0)+IF($E$12="CO6",$E$13,0)+IF($F$12="CO6",$F$13,0)+IF($G$12="CO6",$G$13,0)+IF($H$12="CO6",$H$13,0)+IF($I$12="CO6",$I$13,0)+IF($J$12="CO6",$J$13,0)+IF($K$12="CO6",$K$13,0)+IF($L$12="CO6",$L$13,0)+IF($M$12="CO6",$M$13,0)+IF($N$12="CO6",$N$13,0)+IF($O$12="CO6",$O$13,0)+IF($P$12="CO6",$P$13,0)+IF($Q$12="CO6",$Q$13,0)+IF($R$12="CO6",$R$13,0)+IF($S$12="CO6",$S$13,0)+IF($T$12="CO6",$T$13,0))*100,2)</f>
        <v>#DIV/0!</v>
      </c>
      <c r="AN78" s="6" t="e">
        <f t="shared" ref="AN78:AN109" si="57">ROUND(AB78/(IF($D$12="CO7",$D$13,0)+IF($E$12="CO7",$E$13,0)+IF($F$12="CO7",$F$13,0)+IF($G$12="CO7",$G$13,0)+IF($H$12="CO7",$H$13,0)+IF($I$12="CO7",$I$13,0)+IF($J$12="CO7",$J$13,0)+IF($K$12="CO7",$K$13,0)+IF($L$12="CO7",$L$13,0)+IF($M$12="CO7",$M$13,0)+IF($N$12="CO7",$N$13,0)+IF($O$12="CO7",$O$13,0)+IF($P$12="CO7",$P$13,0)+IF($Q$12="CO7",$Q$13,0)+IF($R$12="CO7",$R$13,0)+IF($S$12="CO7",$S$13,0)+IF($T$12="CO7",$T$13,0))*100,2)</f>
        <v>#DIV/0!</v>
      </c>
      <c r="AO78" s="57" t="e">
        <f t="shared" ref="AO78:AO109" si="58">ROUND(AC78/(IF($D$12="CO8",$D$13,0)+IF($E$12="CO8",$E$13,0)+IF($F$12="CO8",$F$13,0)+IF($G$12="CO8",$G$13,0)+IF($H$12="CO8",$H$13,0)+IF($I$12="CO8",$I$13,0)+IF($J$12="CO8",$J$13,0)+IF($K$12="CO8",$K$13,0)+IF($L$12="CO8",$L$13,0)+IF($M$12="CO8",$M$13,0)+IF($N$12="CO8",$N$13,0)+IF($O$12="CO8",$O$13,0)+IF($P$12="CO8",$P$13,0)+IF($Q$12="CO8",$Q$13,0)+IF($R$12="CO8",$R$13,0)+IF($S$12="CO8",$S$13,0)+IF($T$12="CO8",$T$13,0))*100,2)</f>
        <v>#DIV/0!</v>
      </c>
      <c r="AP78" s="57" t="e">
        <f t="shared" si="20"/>
        <v>#DIV/0!</v>
      </c>
      <c r="AQ78" s="57" t="e">
        <f t="shared" si="21"/>
        <v>#DIV/0!</v>
      </c>
      <c r="AR78" s="57" t="e">
        <f t="shared" si="22"/>
        <v>#DIV/0!</v>
      </c>
      <c r="AS78" s="57" t="e">
        <f t="shared" si="23"/>
        <v>#DIV/0!</v>
      </c>
    </row>
    <row r="79" spans="1:45" ht="33" hidden="1" customHeight="1">
      <c r="A79" s="22">
        <v>0</v>
      </c>
      <c r="B79" s="12"/>
      <c r="C79" s="203"/>
      <c r="D79" s="12"/>
      <c r="E79" s="12"/>
      <c r="F79" s="12"/>
      <c r="G79" s="12"/>
      <c r="H79" s="12"/>
      <c r="I79" s="12"/>
      <c r="J79" s="12"/>
      <c r="K79" s="12"/>
      <c r="L79" s="12"/>
      <c r="M79" s="12"/>
      <c r="N79" s="12"/>
      <c r="O79" s="57"/>
      <c r="P79" s="57"/>
      <c r="Q79" s="12"/>
      <c r="R79" s="12"/>
      <c r="S79" s="12"/>
      <c r="T79" s="12"/>
      <c r="U79" s="13">
        <f t="shared" si="42"/>
        <v>0</v>
      </c>
      <c r="V79" s="13">
        <f t="shared" si="43"/>
        <v>0</v>
      </c>
      <c r="W79" s="13">
        <f t="shared" si="44"/>
        <v>0</v>
      </c>
      <c r="X79" s="13">
        <f t="shared" si="45"/>
        <v>0</v>
      </c>
      <c r="Y79" s="13">
        <f t="shared" si="46"/>
        <v>0</v>
      </c>
      <c r="Z79" s="13">
        <f t="shared" si="47"/>
        <v>0</v>
      </c>
      <c r="AA79" s="13">
        <f t="shared" si="48"/>
        <v>0</v>
      </c>
      <c r="AB79" s="13">
        <f t="shared" si="49"/>
        <v>0</v>
      </c>
      <c r="AC79" s="23">
        <f t="shared" si="24"/>
        <v>0</v>
      </c>
      <c r="AD79" s="23">
        <f t="shared" si="50"/>
        <v>0</v>
      </c>
      <c r="AE79" s="23">
        <f t="shared" ref="AE79:AE139" si="59">IF($D$12="CO10",D79,0)+IF($E$12="CO10",E79,0)+IF($F$12="CO10",F79,0)+IF($G$12="CO10",G79,0)+IF($H$12="CO10",H79,0)+IF($I$12="CO10",I79,0)+IF($J$12="CO10",J79,0)+IF($K$12="CO10",K79,0)+IF($L$12="CO10",L79,0)+IF($M$12="CO10",M79,0)+IF($N$12="CO10",N79,0)+IF($O$12="CO10",O79,0)+IF($P$12="CO10",P79,0)+IF($Q$12="CO10",Q79,0)+IF($R$12="CO10",R79,0)+IF($S$12="CO10",S79,0)+IF($T$12="CO10",T79,0)</f>
        <v>0</v>
      </c>
      <c r="AF79" s="23">
        <f t="shared" ref="AF79:AF139" si="60">IF($D$12="CO11",D79,0)+IF($E$12="CO11",E79,0)+IF($F$12="CO11",F79,0)+IF($G$12="CO11",G79,0)+IF($H$12="CO11",H79,0)+IF($I$12="CO11",I79,0)+IF($J$12="CO11",J79,0)+IF($K$12="CO11",K79,0)+IF($L$12="CO11",L79,0)+IF($M$12="CO11",M79,0)+IF($N$12="CO11",N79,0)+IF($O$12="CO11",O79,0)+IF($P$12="CO11",P79,0)+IF($Q$12="CO11",Q79,0)+IF($R$12="CO11",R79,0)+IF($S$12="CO11",S79,0)+IF($T$12="CO11",T79,0)</f>
        <v>0</v>
      </c>
      <c r="AG79" s="23">
        <f t="shared" ref="AG79:AG139" si="61">IF($D$12="CO12",D79,0)+IF($E$12="CO12",E79,0)+IF($F$12="CO12",F79,0)+IF($G$12="CO12",G79,0)+IF($H$12="CO12",H79,0)+IF($I$12="CO12",I79,0)+IF($J$12="CO12",J79,0)+IF($K$12="CO12",K79,0)+IF($L$12="CO12",L79,0)+IF($M$12="CO12",M79,0)+IF($N$12="CO12",N79,0)+IF($O$12="CO12",O79,0)+IF($P$12="CO12",P79,0)+IF($Q$12="CO12",Q79,0)+IF($R$12="CO12",R79,0)+IF($S$12="CO12",S79,0)+IF($T$12="CO12",T79,0)</f>
        <v>0</v>
      </c>
      <c r="AH79" s="13" t="e">
        <f t="shared" si="51"/>
        <v>#DIV/0!</v>
      </c>
      <c r="AI79" s="13" t="e">
        <f t="shared" si="52"/>
        <v>#DIV/0!</v>
      </c>
      <c r="AJ79" s="10" t="e">
        <f t="shared" si="53"/>
        <v>#DIV/0!</v>
      </c>
      <c r="AK79" s="6" t="e">
        <f t="shared" si="54"/>
        <v>#DIV/0!</v>
      </c>
      <c r="AL79" s="6" t="e">
        <f t="shared" si="55"/>
        <v>#DIV/0!</v>
      </c>
      <c r="AM79" s="6" t="e">
        <f t="shared" si="56"/>
        <v>#DIV/0!</v>
      </c>
      <c r="AN79" s="6" t="e">
        <f t="shared" si="57"/>
        <v>#DIV/0!</v>
      </c>
      <c r="AO79" s="57" t="e">
        <f t="shared" si="58"/>
        <v>#DIV/0!</v>
      </c>
      <c r="AP79" s="57" t="e">
        <f t="shared" ref="AP79:AP139" si="62">ROUND(AD79/(IF($D$12="CO9",$D$13,0)+IF($E$12="CO9",$E$13,0)+IF($F$12="CO9",$F$13,0)+IF($G$12="CO9",$G$13,0)+IF($H$12="CO9",$H$13,0)+IF($I$12="CO9",$I$13,0)+IF($J$12="CO9",$J$13,0)+IF($K$12="CO9",$K$13,0)+IF($L$12="CO9",$L$13,0)+IF($M$12="CO9",$M$13,0)+IF($N$12="CO9",$N$13,0)+IF($O$12="CO9",$O$13,0)+IF($P$12="CO9",$P$13,0)+IF($Q$12="CO9",$Q$13,0)+IF($R$12="CO9",$R$13,0)+IF($S$12="CO9",$S$13,0)+IF($T$12="CO9",$T$13,0))*100,2)</f>
        <v>#DIV/0!</v>
      </c>
      <c r="AQ79" s="57" t="e">
        <f t="shared" ref="AQ79:AQ139" si="63">ROUND(AE79/(IF($D$12="CO10",$D$13,0)+IF($E$12="CO10",$E$13,0)+IF($F$12="CO10",$F$13,0)+IF($G$12="CO10",$G$13,0)+IF($H$12="CO10",$H$13,0)+IF($I$12="CO10",$I$13,0)+IF($J$12="CO10",$J$13,0)+IF($K$12="CO10",$K$13,0)+IF($L$12="CO10",$L$13,0)+IF($M$12="CO10",$M$13,0)+IF($N$12="CO10",$N$13,0)+IF($O$12="CO10",$O$13,0)+IF($P$12="CO10",$P$13,0)+IF($Q$12="CO10",$Q$13,0)+IF($R$12="CO10",$R$13,0)+IF($S$12="CO10",$S$13,0)+IF($T$12="CO10",$T$13,0))*100,2)</f>
        <v>#DIV/0!</v>
      </c>
      <c r="AR79" s="57" t="e">
        <f t="shared" ref="AR79:AR139" si="64">ROUND(AF79/(IF($D$12="CO11",$D$13,0)+IF($E$12="CO11",$E$13,0)+IF($F$12="CO11",$F$13,0)+IF($G$12="CO11",$G$13,0)+IF($H$12="CO11",$H$13,0)+IF($I$12="CO11",$I$13,0)+IF($J$12="CO11",$J$13,0)+IF($K$12="CO11",$K$13,0)+IF($L$12="CO11",$L$13,0)+IF($M$12="CO11",$M$13,0)+IF($N$12="CO11",$N$13,0)+IF($O$12="CO11",$O$13,0)+IF($P$12="CO11",$P$13,0)+IF($Q$12="CO11",$Q$13,0)+IF($R$12="CO11",$R$13,0)+IF($S$12="CO11",$S$13,0)+IF($T$12="CO11",$T$13,0))*100,2)</f>
        <v>#DIV/0!</v>
      </c>
      <c r="AS79" s="57" t="e">
        <f t="shared" ref="AS79:AS139" si="65">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2">
        <v>0</v>
      </c>
      <c r="B80" s="12"/>
      <c r="C80" s="203"/>
      <c r="D80" s="12"/>
      <c r="E80" s="12"/>
      <c r="F80" s="12"/>
      <c r="G80" s="12"/>
      <c r="H80" s="12"/>
      <c r="I80" s="12"/>
      <c r="J80" s="12"/>
      <c r="K80" s="12"/>
      <c r="L80" s="12"/>
      <c r="M80" s="12"/>
      <c r="N80" s="12"/>
      <c r="O80" s="57"/>
      <c r="P80" s="57"/>
      <c r="Q80" s="12"/>
      <c r="R80" s="12"/>
      <c r="S80" s="12"/>
      <c r="T80" s="12"/>
      <c r="U80" s="13">
        <f t="shared" si="42"/>
        <v>0</v>
      </c>
      <c r="V80" s="13">
        <f t="shared" ref="V80:V139" si="66">IF($D$12="CO1",D80,0)+IF($E$12="CO1",E80,0)+IF($F$12="CO1",F80,0)+IF($G$12="CO1",G80,0)+IF($H$12="CO1",H80,0)+IF($I$12="CO1",I80,0)+IF($J$12="CO1",J80,0)+IF($K$12="CO1",K80,0)+IF($L$12="CO1",L80,0)+IF($M$12="CO1",M80,0)+IF($N$12="CO1",N80,0)+IF($O$12="CO1",O80,0)+IF($P$12="CO1",P80,0)+IF($Q$12="CO1",Q80,0)+IF($R$12="CO1",R80,0)+IF($S$12="CO1",S80,0)+IF($T$12="CO1",T80,0)</f>
        <v>0</v>
      </c>
      <c r="W80" s="13">
        <f t="shared" ref="W80:W139" si="67">IF($D$12="CO2",D80,0)+IF($E$12="CO2",E80,0)+IF($F$12="CO2",F80,0)+IF($G$12="CO2",G80,0)+IF($H$12="CO2",H80,0)+IF($I$12="CO2",I80,0)+IF($J$12="CO2",J80,0)+IF($K$12="CO2",K80,0)+IF($L$12="CO2",L80,0)+IF($M$12="CO2",M80,0)+IF($N$12="CO2",N80,0)+IF($O$12="CO2",O80,0)+IF($P$12="CO2",P80,0)+IF($Q$12="CO2",Q80,0)+IF($R$12="CO2",R80,0)+IF($S$12="CO2",S80,0)+IF($T$12="CO2",T80,0)</f>
        <v>0</v>
      </c>
      <c r="X80" s="13">
        <f t="shared" ref="X80:X139" si="68">IF($D$12="CO3",D80,0)+IF($E$12="CO3",E80,0)+IF($F$12="CO3",F80,0)+IF($G$12="CO3",G80,0)+IF($H$12="CO3",H80,0)+IF($I$12="CO3",I80,0)+IF($J$12="CO3",J80,0)+IF($K$12="CO3",K80,0)+IF($L$12="CO3",L80,0)+IF($M$12="CO3",M80,0)+IF($N$12="CO3",N80,0)+IF($O$12="CO3",O80,0)+IF($P$12="CO3",P80,0)+IF($Q$12="CO3",Q80,0)+IF($R$12="CO3",R80,0)+IF($S$12="CO3",S80,0)+IF($T$12="CO3",T80,0)</f>
        <v>0</v>
      </c>
      <c r="Y80" s="13">
        <f t="shared" ref="Y80:Y139" si="69">IF($D$12="CO4",D80,0)+IF($E$12="CO4",E80,0)+IF($F$12="CO4",F80,0)+IF($G$12="CO4",G80,0)+IF($H$12="CO4",H80,0)+IF($I$12="CO4",I80,0)+IF($J$12="CO4",J80,0)+IF($K$12="CO4",K80,0)+IF($L$12="CO4",L80,0)+IF($M$12="CO4",M80,0)+IF($N$12="CO4",N80,0)+IF($O$12="CO4",O80,0)+IF($P$12="CO4",P80,0)+IF($Q$12="CO4",Q80,0)+IF($R$12="CO4",R80,0)+IF($S$12="CO4",S80,0)+IF($T$12="CO4",T80,0)</f>
        <v>0</v>
      </c>
      <c r="Z80" s="13">
        <f t="shared" ref="Z80:Z139" si="70">IF($D$12="CO5",D80,0)+IF($E$12="CO5",E80,0)+IF($F$12="CO5",F80,0)+IF($G$12="CO5",G80,0)+IF($H$12="CO5",H80,0)+IF($I$12="CO5",I80,0)+IF($J$12="CO5",J80,0)+IF($K$12="CO5",K80,0)+IF($L$12="CO5",L80,0)+IF($M$12="CO5",M80,0)+IF($N$12="CO5",N80,0)+IF($O$12="CO5",O80,0)+IF($P$12="CO5",P80,0)+IF($Q$12="CO5",Q80,0)+IF($R$12="CO5",R80,0)+IF($S$12="CO5",S80,0)+IF($T$12="CO5",T80,0)</f>
        <v>0</v>
      </c>
      <c r="AA80" s="13">
        <f t="shared" ref="AA80:AA139" si="71">IF($D$12="CO6",D80,0)+IF($E$12="CO6",E80,0)+IF($F$12="CO6",F80,0)+IF($G$12="CO6",G80,0)+IF($H$12="CO6",H80,0)+IF($I$12="CO6",I80,0)+IF($J$12="CO6",J80,0)+IF($K$12="CO6",K80,0)+IF($L$12="CO6",L80,0)+IF($M$12="CO6",M80,0)+IF($N$12="CO6",N80,0)+IF($O$12="CO6",O80,0)+IF($P$12="CO6",P80,0)+IF($Q$12="CO6",Q80,0)+IF($R$12="CO6",R80,0)+IF($S$12="CO6",S80,0)+IF($T$12="CO6",T80,0)</f>
        <v>0</v>
      </c>
      <c r="AB80" s="13">
        <f t="shared" ref="AB80:AB139" si="72">IF($D$12="CO7",D80,0)+IF($E$12="CO7",E80,0)+IF($F$12="CO7",F80,0)+IF($G$12="CO7",G80,0)+IF($H$12="CO7",H80,0)+IF($I$12="CO7",I80,0)+IF($J$12="CO7",J80,0)+IF($K$12="CO7",K80,0)+IF($L$12="CO7",L80,0)+IF($M$12="CO7",M80,0)+IF($N$12="CO7",N80,0)+IF($O$12="CO7",O80,0)+IF($P$12="CO7",P80,0)+IF($Q$12="CO7",Q80,0)+IF($R$12="CO7",R80,0)+IF($S$12="CO7",S80,0)+IF($T$12="CO7",T80,0)</f>
        <v>0</v>
      </c>
      <c r="AC80" s="23">
        <f t="shared" ref="AC80:AC139" si="73">IF($D$12="CO8",D80,0)+IF($E$12="CO8",E80,0)+IF($F$12="CO8",F80,0)+IF($G$12="CO8",G80,0)+IF($H$12="CO8",H80,0)+IF($I$12="CO8",I80,0)+IF($J$12="CO8",J80,0)+IF($K$12="CO8",K80,0)+IF($L$12="CO8",L80,0)+IF($M$12="CO8",M80,0)+IF($N$12="CO8",N80,0)+IF($O$12="CO8",O80,0)+IF($P$12="CO8",P80,0)+IF($Q$12="CO8",Q80,0)+IF($R$12="CO8",R80,0)+IF($S$12="CO8",S80,0)+IF($T$12="CO8",T80,0)</f>
        <v>0</v>
      </c>
      <c r="AD80" s="23">
        <f t="shared" si="50"/>
        <v>0</v>
      </c>
      <c r="AE80" s="23">
        <f t="shared" si="59"/>
        <v>0</v>
      </c>
      <c r="AF80" s="23">
        <f t="shared" si="60"/>
        <v>0</v>
      </c>
      <c r="AG80" s="23">
        <f t="shared" si="61"/>
        <v>0</v>
      </c>
      <c r="AH80" s="13" t="e">
        <f t="shared" si="51"/>
        <v>#DIV/0!</v>
      </c>
      <c r="AI80" s="13" t="e">
        <f t="shared" si="52"/>
        <v>#DIV/0!</v>
      </c>
      <c r="AJ80" s="10" t="e">
        <f t="shared" si="53"/>
        <v>#DIV/0!</v>
      </c>
      <c r="AK80" s="6" t="e">
        <f t="shared" si="54"/>
        <v>#DIV/0!</v>
      </c>
      <c r="AL80" s="6" t="e">
        <f t="shared" si="55"/>
        <v>#DIV/0!</v>
      </c>
      <c r="AM80" s="6" t="e">
        <f t="shared" si="56"/>
        <v>#DIV/0!</v>
      </c>
      <c r="AN80" s="6" t="e">
        <f t="shared" si="57"/>
        <v>#DIV/0!</v>
      </c>
      <c r="AO80" s="57" t="e">
        <f t="shared" si="58"/>
        <v>#DIV/0!</v>
      </c>
      <c r="AP80" s="57" t="e">
        <f t="shared" si="62"/>
        <v>#DIV/0!</v>
      </c>
      <c r="AQ80" s="57" t="e">
        <f t="shared" si="63"/>
        <v>#DIV/0!</v>
      </c>
      <c r="AR80" s="57" t="e">
        <f t="shared" si="64"/>
        <v>#DIV/0!</v>
      </c>
      <c r="AS80" s="57" t="e">
        <f t="shared" si="65"/>
        <v>#DIV/0!</v>
      </c>
    </row>
    <row r="81" spans="1:45" ht="33" hidden="1" customHeight="1">
      <c r="A81" s="22">
        <v>0</v>
      </c>
      <c r="B81" s="12"/>
      <c r="C81" s="203"/>
      <c r="D81" s="12"/>
      <c r="E81" s="12"/>
      <c r="F81" s="12"/>
      <c r="G81" s="12"/>
      <c r="H81" s="12"/>
      <c r="I81" s="12"/>
      <c r="J81" s="12"/>
      <c r="K81" s="12"/>
      <c r="L81" s="12"/>
      <c r="M81" s="12"/>
      <c r="N81" s="12"/>
      <c r="O81" s="57"/>
      <c r="P81" s="57"/>
      <c r="Q81" s="12"/>
      <c r="R81" s="12"/>
      <c r="S81" s="12"/>
      <c r="T81" s="12"/>
      <c r="U81" s="13">
        <f t="shared" si="42"/>
        <v>0</v>
      </c>
      <c r="V81" s="13">
        <f t="shared" si="66"/>
        <v>0</v>
      </c>
      <c r="W81" s="13">
        <f t="shared" si="67"/>
        <v>0</v>
      </c>
      <c r="X81" s="13">
        <f t="shared" si="68"/>
        <v>0</v>
      </c>
      <c r="Y81" s="13">
        <f t="shared" si="69"/>
        <v>0</v>
      </c>
      <c r="Z81" s="13">
        <f t="shared" si="70"/>
        <v>0</v>
      </c>
      <c r="AA81" s="13">
        <f t="shared" si="71"/>
        <v>0</v>
      </c>
      <c r="AB81" s="13">
        <f t="shared" si="72"/>
        <v>0</v>
      </c>
      <c r="AC81" s="23">
        <f t="shared" si="73"/>
        <v>0</v>
      </c>
      <c r="AD81" s="23">
        <f t="shared" si="50"/>
        <v>0</v>
      </c>
      <c r="AE81" s="23">
        <f t="shared" si="59"/>
        <v>0</v>
      </c>
      <c r="AF81" s="23">
        <f t="shared" si="60"/>
        <v>0</v>
      </c>
      <c r="AG81" s="23">
        <f t="shared" si="61"/>
        <v>0</v>
      </c>
      <c r="AH81" s="13" t="e">
        <f t="shared" si="51"/>
        <v>#DIV/0!</v>
      </c>
      <c r="AI81" s="13" t="e">
        <f t="shared" si="52"/>
        <v>#DIV/0!</v>
      </c>
      <c r="AJ81" s="10" t="e">
        <f t="shared" si="53"/>
        <v>#DIV/0!</v>
      </c>
      <c r="AK81" s="6" t="e">
        <f t="shared" si="54"/>
        <v>#DIV/0!</v>
      </c>
      <c r="AL81" s="6" t="e">
        <f t="shared" si="55"/>
        <v>#DIV/0!</v>
      </c>
      <c r="AM81" s="6" t="e">
        <f t="shared" si="56"/>
        <v>#DIV/0!</v>
      </c>
      <c r="AN81" s="6" t="e">
        <f t="shared" si="57"/>
        <v>#DIV/0!</v>
      </c>
      <c r="AO81" s="57" t="e">
        <f t="shared" si="58"/>
        <v>#DIV/0!</v>
      </c>
      <c r="AP81" s="57" t="e">
        <f t="shared" si="62"/>
        <v>#DIV/0!</v>
      </c>
      <c r="AQ81" s="57" t="e">
        <f t="shared" si="63"/>
        <v>#DIV/0!</v>
      </c>
      <c r="AR81" s="57" t="e">
        <f t="shared" si="64"/>
        <v>#DIV/0!</v>
      </c>
      <c r="AS81" s="57" t="e">
        <f t="shared" si="65"/>
        <v>#DIV/0!</v>
      </c>
    </row>
    <row r="82" spans="1:45" ht="33" hidden="1" customHeight="1">
      <c r="A82" s="22">
        <v>0</v>
      </c>
      <c r="B82" s="12"/>
      <c r="C82" s="203"/>
      <c r="D82" s="12"/>
      <c r="E82" s="12"/>
      <c r="F82" s="12"/>
      <c r="G82" s="12"/>
      <c r="H82" s="12"/>
      <c r="I82" s="12"/>
      <c r="J82" s="12"/>
      <c r="K82" s="12"/>
      <c r="L82" s="12"/>
      <c r="M82" s="12"/>
      <c r="N82" s="12"/>
      <c r="O82" s="57"/>
      <c r="P82" s="57"/>
      <c r="Q82" s="12"/>
      <c r="R82" s="12"/>
      <c r="S82" s="12"/>
      <c r="T82" s="12"/>
      <c r="U82" s="13">
        <f t="shared" si="42"/>
        <v>0</v>
      </c>
      <c r="V82" s="13">
        <f t="shared" si="66"/>
        <v>0</v>
      </c>
      <c r="W82" s="13">
        <f t="shared" si="67"/>
        <v>0</v>
      </c>
      <c r="X82" s="13">
        <f t="shared" si="68"/>
        <v>0</v>
      </c>
      <c r="Y82" s="13">
        <f t="shared" si="69"/>
        <v>0</v>
      </c>
      <c r="Z82" s="13">
        <f t="shared" si="70"/>
        <v>0</v>
      </c>
      <c r="AA82" s="13">
        <f t="shared" si="71"/>
        <v>0</v>
      </c>
      <c r="AB82" s="13">
        <f t="shared" si="72"/>
        <v>0</v>
      </c>
      <c r="AC82" s="23">
        <f t="shared" si="73"/>
        <v>0</v>
      </c>
      <c r="AD82" s="23">
        <f t="shared" si="50"/>
        <v>0</v>
      </c>
      <c r="AE82" s="23">
        <f t="shared" si="59"/>
        <v>0</v>
      </c>
      <c r="AF82" s="23">
        <f t="shared" si="60"/>
        <v>0</v>
      </c>
      <c r="AG82" s="23">
        <f t="shared" si="61"/>
        <v>0</v>
      </c>
      <c r="AH82" s="13" t="e">
        <f t="shared" si="51"/>
        <v>#DIV/0!</v>
      </c>
      <c r="AI82" s="13" t="e">
        <f t="shared" si="52"/>
        <v>#DIV/0!</v>
      </c>
      <c r="AJ82" s="10" t="e">
        <f t="shared" si="53"/>
        <v>#DIV/0!</v>
      </c>
      <c r="AK82" s="6" t="e">
        <f t="shared" si="54"/>
        <v>#DIV/0!</v>
      </c>
      <c r="AL82" s="6" t="e">
        <f t="shared" si="55"/>
        <v>#DIV/0!</v>
      </c>
      <c r="AM82" s="6" t="e">
        <f t="shared" si="56"/>
        <v>#DIV/0!</v>
      </c>
      <c r="AN82" s="6" t="e">
        <f t="shared" si="57"/>
        <v>#DIV/0!</v>
      </c>
      <c r="AO82" s="57" t="e">
        <f t="shared" si="58"/>
        <v>#DIV/0!</v>
      </c>
      <c r="AP82" s="57" t="e">
        <f t="shared" si="62"/>
        <v>#DIV/0!</v>
      </c>
      <c r="AQ82" s="57" t="e">
        <f t="shared" si="63"/>
        <v>#DIV/0!</v>
      </c>
      <c r="AR82" s="57" t="e">
        <f t="shared" si="64"/>
        <v>#DIV/0!</v>
      </c>
      <c r="AS82" s="57" t="e">
        <f t="shared" si="65"/>
        <v>#DIV/0!</v>
      </c>
    </row>
    <row r="83" spans="1:45" ht="33" hidden="1" customHeight="1">
      <c r="A83" s="22">
        <v>0</v>
      </c>
      <c r="B83" s="12"/>
      <c r="C83" s="203"/>
      <c r="D83" s="12"/>
      <c r="E83" s="12"/>
      <c r="F83" s="12"/>
      <c r="G83" s="12"/>
      <c r="H83" s="12"/>
      <c r="I83" s="12"/>
      <c r="J83" s="12"/>
      <c r="K83" s="12"/>
      <c r="L83" s="12"/>
      <c r="M83" s="12"/>
      <c r="N83" s="12"/>
      <c r="O83" s="57"/>
      <c r="P83" s="57"/>
      <c r="Q83" s="12"/>
      <c r="R83" s="12"/>
      <c r="S83" s="12"/>
      <c r="T83" s="12"/>
      <c r="U83" s="13">
        <f t="shared" si="42"/>
        <v>0</v>
      </c>
      <c r="V83" s="13">
        <f t="shared" si="66"/>
        <v>0</v>
      </c>
      <c r="W83" s="13">
        <f t="shared" si="67"/>
        <v>0</v>
      </c>
      <c r="X83" s="13">
        <f t="shared" si="68"/>
        <v>0</v>
      </c>
      <c r="Y83" s="13">
        <f t="shared" si="69"/>
        <v>0</v>
      </c>
      <c r="Z83" s="13">
        <f t="shared" si="70"/>
        <v>0</v>
      </c>
      <c r="AA83" s="13">
        <f t="shared" si="71"/>
        <v>0</v>
      </c>
      <c r="AB83" s="13">
        <f t="shared" si="72"/>
        <v>0</v>
      </c>
      <c r="AC83" s="23">
        <f t="shared" si="73"/>
        <v>0</v>
      </c>
      <c r="AD83" s="23">
        <f t="shared" si="50"/>
        <v>0</v>
      </c>
      <c r="AE83" s="23">
        <f t="shared" si="59"/>
        <v>0</v>
      </c>
      <c r="AF83" s="23">
        <f t="shared" si="60"/>
        <v>0</v>
      </c>
      <c r="AG83" s="23">
        <f t="shared" si="61"/>
        <v>0</v>
      </c>
      <c r="AH83" s="13" t="e">
        <f t="shared" si="51"/>
        <v>#DIV/0!</v>
      </c>
      <c r="AI83" s="13" t="e">
        <f t="shared" si="52"/>
        <v>#DIV/0!</v>
      </c>
      <c r="AJ83" s="10" t="e">
        <f t="shared" si="53"/>
        <v>#DIV/0!</v>
      </c>
      <c r="AK83" s="6" t="e">
        <f t="shared" si="54"/>
        <v>#DIV/0!</v>
      </c>
      <c r="AL83" s="6" t="e">
        <f t="shared" si="55"/>
        <v>#DIV/0!</v>
      </c>
      <c r="AM83" s="6" t="e">
        <f t="shared" si="56"/>
        <v>#DIV/0!</v>
      </c>
      <c r="AN83" s="6" t="e">
        <f t="shared" si="57"/>
        <v>#DIV/0!</v>
      </c>
      <c r="AO83" s="57" t="e">
        <f t="shared" si="58"/>
        <v>#DIV/0!</v>
      </c>
      <c r="AP83" s="57" t="e">
        <f t="shared" si="62"/>
        <v>#DIV/0!</v>
      </c>
      <c r="AQ83" s="57" t="e">
        <f t="shared" si="63"/>
        <v>#DIV/0!</v>
      </c>
      <c r="AR83" s="57" t="e">
        <f t="shared" si="64"/>
        <v>#DIV/0!</v>
      </c>
      <c r="AS83" s="57" t="e">
        <f t="shared" si="65"/>
        <v>#DIV/0!</v>
      </c>
    </row>
    <row r="84" spans="1:45" ht="33" hidden="1" customHeight="1">
      <c r="A84" s="22">
        <v>0</v>
      </c>
      <c r="B84" s="12"/>
      <c r="C84" s="203"/>
      <c r="D84" s="12"/>
      <c r="E84" s="12"/>
      <c r="F84" s="12"/>
      <c r="G84" s="12"/>
      <c r="H84" s="12"/>
      <c r="I84" s="12"/>
      <c r="J84" s="12"/>
      <c r="K84" s="12"/>
      <c r="L84" s="12"/>
      <c r="M84" s="12"/>
      <c r="N84" s="12"/>
      <c r="O84" s="57"/>
      <c r="P84" s="57"/>
      <c r="Q84" s="12"/>
      <c r="R84" s="12"/>
      <c r="S84" s="12"/>
      <c r="T84" s="12"/>
      <c r="U84" s="13">
        <f t="shared" si="42"/>
        <v>0</v>
      </c>
      <c r="V84" s="13">
        <f t="shared" si="66"/>
        <v>0</v>
      </c>
      <c r="W84" s="13">
        <f t="shared" si="67"/>
        <v>0</v>
      </c>
      <c r="X84" s="13">
        <f t="shared" si="68"/>
        <v>0</v>
      </c>
      <c r="Y84" s="13">
        <f t="shared" si="69"/>
        <v>0</v>
      </c>
      <c r="Z84" s="13">
        <f t="shared" si="70"/>
        <v>0</v>
      </c>
      <c r="AA84" s="13">
        <f t="shared" si="71"/>
        <v>0</v>
      </c>
      <c r="AB84" s="13">
        <f t="shared" si="72"/>
        <v>0</v>
      </c>
      <c r="AC84" s="23">
        <f t="shared" si="73"/>
        <v>0</v>
      </c>
      <c r="AD84" s="23">
        <f t="shared" si="50"/>
        <v>0</v>
      </c>
      <c r="AE84" s="23">
        <f t="shared" si="59"/>
        <v>0</v>
      </c>
      <c r="AF84" s="23">
        <f t="shared" si="60"/>
        <v>0</v>
      </c>
      <c r="AG84" s="23">
        <f t="shared" si="61"/>
        <v>0</v>
      </c>
      <c r="AH84" s="13" t="e">
        <f t="shared" si="51"/>
        <v>#DIV/0!</v>
      </c>
      <c r="AI84" s="13" t="e">
        <f t="shared" si="52"/>
        <v>#DIV/0!</v>
      </c>
      <c r="AJ84" s="10" t="e">
        <f t="shared" si="53"/>
        <v>#DIV/0!</v>
      </c>
      <c r="AK84" s="6" t="e">
        <f t="shared" si="54"/>
        <v>#DIV/0!</v>
      </c>
      <c r="AL84" s="6" t="e">
        <f t="shared" si="55"/>
        <v>#DIV/0!</v>
      </c>
      <c r="AM84" s="6" t="e">
        <f t="shared" si="56"/>
        <v>#DIV/0!</v>
      </c>
      <c r="AN84" s="6" t="e">
        <f t="shared" si="57"/>
        <v>#DIV/0!</v>
      </c>
      <c r="AO84" s="57" t="e">
        <f t="shared" si="58"/>
        <v>#DIV/0!</v>
      </c>
      <c r="AP84" s="57" t="e">
        <f t="shared" si="62"/>
        <v>#DIV/0!</v>
      </c>
      <c r="AQ84" s="57" t="e">
        <f t="shared" si="63"/>
        <v>#DIV/0!</v>
      </c>
      <c r="AR84" s="57" t="e">
        <f t="shared" si="64"/>
        <v>#DIV/0!</v>
      </c>
      <c r="AS84" s="57" t="e">
        <f t="shared" si="65"/>
        <v>#DIV/0!</v>
      </c>
    </row>
    <row r="85" spans="1:45" ht="33" hidden="1" customHeight="1">
      <c r="A85" s="22">
        <v>0</v>
      </c>
      <c r="B85" s="12"/>
      <c r="C85" s="203"/>
      <c r="D85" s="12"/>
      <c r="E85" s="12"/>
      <c r="F85" s="12"/>
      <c r="G85" s="12"/>
      <c r="H85" s="12"/>
      <c r="I85" s="12"/>
      <c r="J85" s="12"/>
      <c r="K85" s="12"/>
      <c r="L85" s="12"/>
      <c r="M85" s="12"/>
      <c r="N85" s="12"/>
      <c r="O85" s="57"/>
      <c r="P85" s="57"/>
      <c r="Q85" s="12"/>
      <c r="R85" s="12"/>
      <c r="S85" s="12"/>
      <c r="T85" s="12"/>
      <c r="U85" s="13">
        <f t="shared" si="42"/>
        <v>0</v>
      </c>
      <c r="V85" s="13">
        <f t="shared" si="66"/>
        <v>0</v>
      </c>
      <c r="W85" s="13">
        <f t="shared" si="67"/>
        <v>0</v>
      </c>
      <c r="X85" s="13">
        <f t="shared" si="68"/>
        <v>0</v>
      </c>
      <c r="Y85" s="13">
        <f t="shared" si="69"/>
        <v>0</v>
      </c>
      <c r="Z85" s="13">
        <f t="shared" si="70"/>
        <v>0</v>
      </c>
      <c r="AA85" s="13">
        <f t="shared" si="71"/>
        <v>0</v>
      </c>
      <c r="AB85" s="13">
        <f t="shared" si="72"/>
        <v>0</v>
      </c>
      <c r="AC85" s="23">
        <f t="shared" si="73"/>
        <v>0</v>
      </c>
      <c r="AD85" s="23">
        <f t="shared" si="50"/>
        <v>0</v>
      </c>
      <c r="AE85" s="23">
        <f t="shared" si="59"/>
        <v>0</v>
      </c>
      <c r="AF85" s="23">
        <f t="shared" si="60"/>
        <v>0</v>
      </c>
      <c r="AG85" s="23">
        <f t="shared" si="61"/>
        <v>0</v>
      </c>
      <c r="AH85" s="13" t="e">
        <f t="shared" si="51"/>
        <v>#DIV/0!</v>
      </c>
      <c r="AI85" s="13" t="e">
        <f t="shared" si="52"/>
        <v>#DIV/0!</v>
      </c>
      <c r="AJ85" s="10" t="e">
        <f t="shared" si="53"/>
        <v>#DIV/0!</v>
      </c>
      <c r="AK85" s="6" t="e">
        <f t="shared" si="54"/>
        <v>#DIV/0!</v>
      </c>
      <c r="AL85" s="6" t="e">
        <f t="shared" si="55"/>
        <v>#DIV/0!</v>
      </c>
      <c r="AM85" s="6" t="e">
        <f t="shared" si="56"/>
        <v>#DIV/0!</v>
      </c>
      <c r="AN85" s="6" t="e">
        <f t="shared" si="57"/>
        <v>#DIV/0!</v>
      </c>
      <c r="AO85" s="57" t="e">
        <f t="shared" si="58"/>
        <v>#DIV/0!</v>
      </c>
      <c r="AP85" s="57" t="e">
        <f t="shared" si="62"/>
        <v>#DIV/0!</v>
      </c>
      <c r="AQ85" s="57" t="e">
        <f t="shared" si="63"/>
        <v>#DIV/0!</v>
      </c>
      <c r="AR85" s="57" t="e">
        <f t="shared" si="64"/>
        <v>#DIV/0!</v>
      </c>
      <c r="AS85" s="57" t="e">
        <f t="shared" si="65"/>
        <v>#DIV/0!</v>
      </c>
    </row>
    <row r="86" spans="1:45" ht="33" hidden="1" customHeight="1">
      <c r="A86" s="22">
        <v>0</v>
      </c>
      <c r="B86" s="12"/>
      <c r="C86" s="203"/>
      <c r="D86" s="12"/>
      <c r="E86" s="12"/>
      <c r="F86" s="12"/>
      <c r="G86" s="12"/>
      <c r="H86" s="12"/>
      <c r="I86" s="12"/>
      <c r="J86" s="12"/>
      <c r="K86" s="12"/>
      <c r="L86" s="12"/>
      <c r="M86" s="12"/>
      <c r="N86" s="12"/>
      <c r="O86" s="57"/>
      <c r="P86" s="57"/>
      <c r="Q86" s="12"/>
      <c r="R86" s="12"/>
      <c r="S86" s="12"/>
      <c r="T86" s="12"/>
      <c r="U86" s="13">
        <f t="shared" si="42"/>
        <v>0</v>
      </c>
      <c r="V86" s="13">
        <f t="shared" si="66"/>
        <v>0</v>
      </c>
      <c r="W86" s="13">
        <f t="shared" si="67"/>
        <v>0</v>
      </c>
      <c r="X86" s="13">
        <f t="shared" si="68"/>
        <v>0</v>
      </c>
      <c r="Y86" s="13">
        <f t="shared" si="69"/>
        <v>0</v>
      </c>
      <c r="Z86" s="13">
        <f t="shared" si="70"/>
        <v>0</v>
      </c>
      <c r="AA86" s="13">
        <f t="shared" si="71"/>
        <v>0</v>
      </c>
      <c r="AB86" s="13">
        <f t="shared" si="72"/>
        <v>0</v>
      </c>
      <c r="AC86" s="23">
        <f t="shared" si="73"/>
        <v>0</v>
      </c>
      <c r="AD86" s="23">
        <f t="shared" si="50"/>
        <v>0</v>
      </c>
      <c r="AE86" s="23">
        <f t="shared" si="59"/>
        <v>0</v>
      </c>
      <c r="AF86" s="23">
        <f t="shared" si="60"/>
        <v>0</v>
      </c>
      <c r="AG86" s="23">
        <f t="shared" si="61"/>
        <v>0</v>
      </c>
      <c r="AH86" s="13" t="e">
        <f t="shared" si="51"/>
        <v>#DIV/0!</v>
      </c>
      <c r="AI86" s="13" t="e">
        <f t="shared" si="52"/>
        <v>#DIV/0!</v>
      </c>
      <c r="AJ86" s="10" t="e">
        <f t="shared" si="53"/>
        <v>#DIV/0!</v>
      </c>
      <c r="AK86" s="6" t="e">
        <f t="shared" si="54"/>
        <v>#DIV/0!</v>
      </c>
      <c r="AL86" s="6" t="e">
        <f t="shared" si="55"/>
        <v>#DIV/0!</v>
      </c>
      <c r="AM86" s="6" t="e">
        <f t="shared" si="56"/>
        <v>#DIV/0!</v>
      </c>
      <c r="AN86" s="6" t="e">
        <f t="shared" si="57"/>
        <v>#DIV/0!</v>
      </c>
      <c r="AO86" s="57" t="e">
        <f t="shared" si="58"/>
        <v>#DIV/0!</v>
      </c>
      <c r="AP86" s="57" t="e">
        <f t="shared" si="62"/>
        <v>#DIV/0!</v>
      </c>
      <c r="AQ86" s="57" t="e">
        <f t="shared" si="63"/>
        <v>#DIV/0!</v>
      </c>
      <c r="AR86" s="57" t="e">
        <f t="shared" si="64"/>
        <v>#DIV/0!</v>
      </c>
      <c r="AS86" s="57" t="e">
        <f t="shared" si="65"/>
        <v>#DIV/0!</v>
      </c>
    </row>
    <row r="87" spans="1:45" ht="33" hidden="1" customHeight="1">
      <c r="A87" s="22">
        <v>0</v>
      </c>
      <c r="B87" s="12"/>
      <c r="C87" s="203"/>
      <c r="D87" s="12"/>
      <c r="E87" s="12"/>
      <c r="F87" s="12"/>
      <c r="G87" s="12"/>
      <c r="H87" s="12"/>
      <c r="I87" s="12"/>
      <c r="J87" s="12"/>
      <c r="K87" s="12"/>
      <c r="L87" s="12"/>
      <c r="M87" s="12"/>
      <c r="N87" s="12"/>
      <c r="O87" s="57"/>
      <c r="P87" s="57"/>
      <c r="Q87" s="12"/>
      <c r="R87" s="12"/>
      <c r="S87" s="12"/>
      <c r="T87" s="12"/>
      <c r="U87" s="13">
        <f t="shared" si="42"/>
        <v>0</v>
      </c>
      <c r="V87" s="13">
        <f t="shared" si="66"/>
        <v>0</v>
      </c>
      <c r="W87" s="13">
        <f t="shared" si="67"/>
        <v>0</v>
      </c>
      <c r="X87" s="13">
        <f t="shared" si="68"/>
        <v>0</v>
      </c>
      <c r="Y87" s="13">
        <f t="shared" si="69"/>
        <v>0</v>
      </c>
      <c r="Z87" s="13">
        <f t="shared" si="70"/>
        <v>0</v>
      </c>
      <c r="AA87" s="13">
        <f t="shared" si="71"/>
        <v>0</v>
      </c>
      <c r="AB87" s="13">
        <f t="shared" si="72"/>
        <v>0</v>
      </c>
      <c r="AC87" s="23">
        <f t="shared" si="73"/>
        <v>0</v>
      </c>
      <c r="AD87" s="23">
        <f t="shared" si="50"/>
        <v>0</v>
      </c>
      <c r="AE87" s="23">
        <f t="shared" si="59"/>
        <v>0</v>
      </c>
      <c r="AF87" s="23">
        <f t="shared" si="60"/>
        <v>0</v>
      </c>
      <c r="AG87" s="23">
        <f t="shared" si="61"/>
        <v>0</v>
      </c>
      <c r="AH87" s="13" t="e">
        <f t="shared" si="51"/>
        <v>#DIV/0!</v>
      </c>
      <c r="AI87" s="13" t="e">
        <f t="shared" si="52"/>
        <v>#DIV/0!</v>
      </c>
      <c r="AJ87" s="10" t="e">
        <f t="shared" si="53"/>
        <v>#DIV/0!</v>
      </c>
      <c r="AK87" s="6" t="e">
        <f t="shared" si="54"/>
        <v>#DIV/0!</v>
      </c>
      <c r="AL87" s="6" t="e">
        <f t="shared" si="55"/>
        <v>#DIV/0!</v>
      </c>
      <c r="AM87" s="6" t="e">
        <f t="shared" si="56"/>
        <v>#DIV/0!</v>
      </c>
      <c r="AN87" s="6" t="e">
        <f t="shared" si="57"/>
        <v>#DIV/0!</v>
      </c>
      <c r="AO87" s="57" t="e">
        <f t="shared" si="58"/>
        <v>#DIV/0!</v>
      </c>
      <c r="AP87" s="57" t="e">
        <f t="shared" si="62"/>
        <v>#DIV/0!</v>
      </c>
      <c r="AQ87" s="57" t="e">
        <f t="shared" si="63"/>
        <v>#DIV/0!</v>
      </c>
      <c r="AR87" s="57" t="e">
        <f t="shared" si="64"/>
        <v>#DIV/0!</v>
      </c>
      <c r="AS87" s="57" t="e">
        <f t="shared" si="65"/>
        <v>#DIV/0!</v>
      </c>
    </row>
    <row r="88" spans="1:45" ht="33" hidden="1" customHeight="1">
      <c r="A88" s="22">
        <v>0</v>
      </c>
      <c r="B88" s="12"/>
      <c r="C88" s="203"/>
      <c r="D88" s="12"/>
      <c r="E88" s="12"/>
      <c r="F88" s="12"/>
      <c r="G88" s="12"/>
      <c r="H88" s="12"/>
      <c r="I88" s="12"/>
      <c r="J88" s="12"/>
      <c r="K88" s="12"/>
      <c r="L88" s="12"/>
      <c r="M88" s="12"/>
      <c r="N88" s="12"/>
      <c r="O88" s="57"/>
      <c r="P88" s="57"/>
      <c r="Q88" s="12"/>
      <c r="R88" s="12"/>
      <c r="S88" s="12"/>
      <c r="T88" s="12"/>
      <c r="U88" s="13">
        <f t="shared" si="42"/>
        <v>0</v>
      </c>
      <c r="V88" s="13">
        <f t="shared" si="66"/>
        <v>0</v>
      </c>
      <c r="W88" s="13">
        <f t="shared" si="67"/>
        <v>0</v>
      </c>
      <c r="X88" s="13">
        <f t="shared" si="68"/>
        <v>0</v>
      </c>
      <c r="Y88" s="13">
        <f t="shared" si="69"/>
        <v>0</v>
      </c>
      <c r="Z88" s="13">
        <f t="shared" si="70"/>
        <v>0</v>
      </c>
      <c r="AA88" s="13">
        <f t="shared" si="71"/>
        <v>0</v>
      </c>
      <c r="AB88" s="13">
        <f t="shared" si="72"/>
        <v>0</v>
      </c>
      <c r="AC88" s="23">
        <f t="shared" si="73"/>
        <v>0</v>
      </c>
      <c r="AD88" s="23">
        <f t="shared" si="50"/>
        <v>0</v>
      </c>
      <c r="AE88" s="23">
        <f t="shared" si="59"/>
        <v>0</v>
      </c>
      <c r="AF88" s="23">
        <f t="shared" si="60"/>
        <v>0</v>
      </c>
      <c r="AG88" s="23">
        <f t="shared" si="61"/>
        <v>0</v>
      </c>
      <c r="AH88" s="13" t="e">
        <f t="shared" si="51"/>
        <v>#DIV/0!</v>
      </c>
      <c r="AI88" s="13" t="e">
        <f t="shared" si="52"/>
        <v>#DIV/0!</v>
      </c>
      <c r="AJ88" s="10" t="e">
        <f t="shared" si="53"/>
        <v>#DIV/0!</v>
      </c>
      <c r="AK88" s="6" t="e">
        <f t="shared" si="54"/>
        <v>#DIV/0!</v>
      </c>
      <c r="AL88" s="6" t="e">
        <f t="shared" si="55"/>
        <v>#DIV/0!</v>
      </c>
      <c r="AM88" s="6" t="e">
        <f t="shared" si="56"/>
        <v>#DIV/0!</v>
      </c>
      <c r="AN88" s="6" t="e">
        <f t="shared" si="57"/>
        <v>#DIV/0!</v>
      </c>
      <c r="AO88" s="57" t="e">
        <f t="shared" si="58"/>
        <v>#DIV/0!</v>
      </c>
      <c r="AP88" s="57" t="e">
        <f t="shared" si="62"/>
        <v>#DIV/0!</v>
      </c>
      <c r="AQ88" s="57" t="e">
        <f t="shared" si="63"/>
        <v>#DIV/0!</v>
      </c>
      <c r="AR88" s="57" t="e">
        <f t="shared" si="64"/>
        <v>#DIV/0!</v>
      </c>
      <c r="AS88" s="57" t="e">
        <f t="shared" si="65"/>
        <v>#DIV/0!</v>
      </c>
    </row>
    <row r="89" spans="1:45" ht="33" hidden="1" customHeight="1">
      <c r="A89" s="22">
        <v>0</v>
      </c>
      <c r="B89" s="12"/>
      <c r="C89" s="203"/>
      <c r="D89" s="12"/>
      <c r="E89" s="12"/>
      <c r="F89" s="12"/>
      <c r="G89" s="12"/>
      <c r="H89" s="12"/>
      <c r="I89" s="12"/>
      <c r="J89" s="12"/>
      <c r="K89" s="12"/>
      <c r="L89" s="12"/>
      <c r="M89" s="12"/>
      <c r="N89" s="12"/>
      <c r="O89" s="57"/>
      <c r="P89" s="57"/>
      <c r="Q89" s="12"/>
      <c r="R89" s="12"/>
      <c r="S89" s="12"/>
      <c r="T89" s="12"/>
      <c r="U89" s="13">
        <f t="shared" si="42"/>
        <v>0</v>
      </c>
      <c r="V89" s="13">
        <f t="shared" si="66"/>
        <v>0</v>
      </c>
      <c r="W89" s="13">
        <f t="shared" si="67"/>
        <v>0</v>
      </c>
      <c r="X89" s="13">
        <f t="shared" si="68"/>
        <v>0</v>
      </c>
      <c r="Y89" s="13">
        <f t="shared" si="69"/>
        <v>0</v>
      </c>
      <c r="Z89" s="13">
        <f t="shared" si="70"/>
        <v>0</v>
      </c>
      <c r="AA89" s="13">
        <f t="shared" si="71"/>
        <v>0</v>
      </c>
      <c r="AB89" s="13">
        <f t="shared" si="72"/>
        <v>0</v>
      </c>
      <c r="AC89" s="23">
        <f t="shared" si="73"/>
        <v>0</v>
      </c>
      <c r="AD89" s="23">
        <f t="shared" si="50"/>
        <v>0</v>
      </c>
      <c r="AE89" s="23">
        <f t="shared" si="59"/>
        <v>0</v>
      </c>
      <c r="AF89" s="23">
        <f t="shared" si="60"/>
        <v>0</v>
      </c>
      <c r="AG89" s="23">
        <f t="shared" si="61"/>
        <v>0</v>
      </c>
      <c r="AH89" s="13" t="e">
        <f t="shared" si="51"/>
        <v>#DIV/0!</v>
      </c>
      <c r="AI89" s="13" t="e">
        <f t="shared" si="52"/>
        <v>#DIV/0!</v>
      </c>
      <c r="AJ89" s="10" t="e">
        <f t="shared" si="53"/>
        <v>#DIV/0!</v>
      </c>
      <c r="AK89" s="6" t="e">
        <f t="shared" si="54"/>
        <v>#DIV/0!</v>
      </c>
      <c r="AL89" s="6" t="e">
        <f t="shared" si="55"/>
        <v>#DIV/0!</v>
      </c>
      <c r="AM89" s="6" t="e">
        <f t="shared" si="56"/>
        <v>#DIV/0!</v>
      </c>
      <c r="AN89" s="6" t="e">
        <f t="shared" si="57"/>
        <v>#DIV/0!</v>
      </c>
      <c r="AO89" s="57" t="e">
        <f t="shared" si="58"/>
        <v>#DIV/0!</v>
      </c>
      <c r="AP89" s="57" t="e">
        <f t="shared" si="62"/>
        <v>#DIV/0!</v>
      </c>
      <c r="AQ89" s="57" t="e">
        <f t="shared" si="63"/>
        <v>#DIV/0!</v>
      </c>
      <c r="AR89" s="57" t="e">
        <f t="shared" si="64"/>
        <v>#DIV/0!</v>
      </c>
      <c r="AS89" s="57" t="e">
        <f t="shared" si="65"/>
        <v>#DIV/0!</v>
      </c>
    </row>
    <row r="90" spans="1:45" ht="33" hidden="1" customHeight="1">
      <c r="A90" s="22">
        <v>0</v>
      </c>
      <c r="B90" s="12"/>
      <c r="C90" s="203"/>
      <c r="D90" s="12"/>
      <c r="E90" s="12"/>
      <c r="F90" s="12"/>
      <c r="G90" s="12"/>
      <c r="H90" s="12"/>
      <c r="I90" s="12"/>
      <c r="J90" s="12"/>
      <c r="K90" s="12"/>
      <c r="L90" s="12"/>
      <c r="M90" s="12"/>
      <c r="N90" s="12"/>
      <c r="O90" s="57"/>
      <c r="P90" s="57"/>
      <c r="Q90" s="12"/>
      <c r="R90" s="12"/>
      <c r="S90" s="12"/>
      <c r="T90" s="12"/>
      <c r="U90" s="13">
        <f t="shared" si="42"/>
        <v>0</v>
      </c>
      <c r="V90" s="13">
        <f t="shared" si="66"/>
        <v>0</v>
      </c>
      <c r="W90" s="13">
        <f t="shared" si="67"/>
        <v>0</v>
      </c>
      <c r="X90" s="13">
        <f t="shared" si="68"/>
        <v>0</v>
      </c>
      <c r="Y90" s="13">
        <f t="shared" si="69"/>
        <v>0</v>
      </c>
      <c r="Z90" s="13">
        <f t="shared" si="70"/>
        <v>0</v>
      </c>
      <c r="AA90" s="13">
        <f t="shared" si="71"/>
        <v>0</v>
      </c>
      <c r="AB90" s="13">
        <f t="shared" si="72"/>
        <v>0</v>
      </c>
      <c r="AC90" s="23">
        <f t="shared" si="73"/>
        <v>0</v>
      </c>
      <c r="AD90" s="23">
        <f t="shared" si="50"/>
        <v>0</v>
      </c>
      <c r="AE90" s="23">
        <f t="shared" si="59"/>
        <v>0</v>
      </c>
      <c r="AF90" s="23">
        <f t="shared" si="60"/>
        <v>0</v>
      </c>
      <c r="AG90" s="23">
        <f t="shared" si="61"/>
        <v>0</v>
      </c>
      <c r="AH90" s="13" t="e">
        <f t="shared" si="51"/>
        <v>#DIV/0!</v>
      </c>
      <c r="AI90" s="13" t="e">
        <f t="shared" si="52"/>
        <v>#DIV/0!</v>
      </c>
      <c r="AJ90" s="10" t="e">
        <f t="shared" si="53"/>
        <v>#DIV/0!</v>
      </c>
      <c r="AK90" s="6" t="e">
        <f t="shared" si="54"/>
        <v>#DIV/0!</v>
      </c>
      <c r="AL90" s="6" t="e">
        <f t="shared" si="55"/>
        <v>#DIV/0!</v>
      </c>
      <c r="AM90" s="6" t="e">
        <f t="shared" si="56"/>
        <v>#DIV/0!</v>
      </c>
      <c r="AN90" s="6" t="e">
        <f t="shared" si="57"/>
        <v>#DIV/0!</v>
      </c>
      <c r="AO90" s="57" t="e">
        <f t="shared" si="58"/>
        <v>#DIV/0!</v>
      </c>
      <c r="AP90" s="57" t="e">
        <f t="shared" si="62"/>
        <v>#DIV/0!</v>
      </c>
      <c r="AQ90" s="57" t="e">
        <f t="shared" si="63"/>
        <v>#DIV/0!</v>
      </c>
      <c r="AR90" s="57" t="e">
        <f t="shared" si="64"/>
        <v>#DIV/0!</v>
      </c>
      <c r="AS90" s="57" t="e">
        <f t="shared" si="65"/>
        <v>#DIV/0!</v>
      </c>
    </row>
    <row r="91" spans="1:45" ht="33" hidden="1" customHeight="1">
      <c r="A91" s="22">
        <v>0</v>
      </c>
      <c r="B91" s="12"/>
      <c r="C91" s="203"/>
      <c r="D91" s="12"/>
      <c r="E91" s="12"/>
      <c r="F91" s="12"/>
      <c r="G91" s="12"/>
      <c r="H91" s="12"/>
      <c r="I91" s="12"/>
      <c r="J91" s="12"/>
      <c r="K91" s="12"/>
      <c r="L91" s="12"/>
      <c r="M91" s="12"/>
      <c r="N91" s="12"/>
      <c r="O91" s="57"/>
      <c r="P91" s="57"/>
      <c r="Q91" s="12"/>
      <c r="R91" s="12"/>
      <c r="S91" s="12"/>
      <c r="T91" s="12"/>
      <c r="U91" s="13">
        <f t="shared" si="42"/>
        <v>0</v>
      </c>
      <c r="V91" s="13">
        <f t="shared" si="66"/>
        <v>0</v>
      </c>
      <c r="W91" s="13">
        <f t="shared" si="67"/>
        <v>0</v>
      </c>
      <c r="X91" s="13">
        <f t="shared" si="68"/>
        <v>0</v>
      </c>
      <c r="Y91" s="13">
        <f t="shared" si="69"/>
        <v>0</v>
      </c>
      <c r="Z91" s="13">
        <f t="shared" si="70"/>
        <v>0</v>
      </c>
      <c r="AA91" s="13">
        <f t="shared" si="71"/>
        <v>0</v>
      </c>
      <c r="AB91" s="13">
        <f t="shared" si="72"/>
        <v>0</v>
      </c>
      <c r="AC91" s="23">
        <f t="shared" si="73"/>
        <v>0</v>
      </c>
      <c r="AD91" s="23">
        <f t="shared" si="50"/>
        <v>0</v>
      </c>
      <c r="AE91" s="23">
        <f t="shared" si="59"/>
        <v>0</v>
      </c>
      <c r="AF91" s="23">
        <f t="shared" si="60"/>
        <v>0</v>
      </c>
      <c r="AG91" s="23">
        <f t="shared" si="61"/>
        <v>0</v>
      </c>
      <c r="AH91" s="13" t="e">
        <f t="shared" si="51"/>
        <v>#DIV/0!</v>
      </c>
      <c r="AI91" s="13" t="e">
        <f t="shared" si="52"/>
        <v>#DIV/0!</v>
      </c>
      <c r="AJ91" s="10" t="e">
        <f t="shared" si="53"/>
        <v>#DIV/0!</v>
      </c>
      <c r="AK91" s="6" t="e">
        <f t="shared" si="54"/>
        <v>#DIV/0!</v>
      </c>
      <c r="AL91" s="6" t="e">
        <f t="shared" si="55"/>
        <v>#DIV/0!</v>
      </c>
      <c r="AM91" s="6" t="e">
        <f t="shared" si="56"/>
        <v>#DIV/0!</v>
      </c>
      <c r="AN91" s="6" t="e">
        <f t="shared" si="57"/>
        <v>#DIV/0!</v>
      </c>
      <c r="AO91" s="57" t="e">
        <f t="shared" si="58"/>
        <v>#DIV/0!</v>
      </c>
      <c r="AP91" s="57" t="e">
        <f t="shared" si="62"/>
        <v>#DIV/0!</v>
      </c>
      <c r="AQ91" s="57" t="e">
        <f t="shared" si="63"/>
        <v>#DIV/0!</v>
      </c>
      <c r="AR91" s="57" t="e">
        <f t="shared" si="64"/>
        <v>#DIV/0!</v>
      </c>
      <c r="AS91" s="57" t="e">
        <f t="shared" si="65"/>
        <v>#DIV/0!</v>
      </c>
    </row>
    <row r="92" spans="1:45" ht="33" hidden="1" customHeight="1">
      <c r="A92" s="22">
        <v>0</v>
      </c>
      <c r="B92" s="12"/>
      <c r="C92" s="203"/>
      <c r="D92" s="12"/>
      <c r="E92" s="12"/>
      <c r="F92" s="12"/>
      <c r="G92" s="12"/>
      <c r="H92" s="12"/>
      <c r="I92" s="12"/>
      <c r="J92" s="12"/>
      <c r="K92" s="12"/>
      <c r="L92" s="12"/>
      <c r="M92" s="12"/>
      <c r="N92" s="12"/>
      <c r="O92" s="57"/>
      <c r="P92" s="57"/>
      <c r="Q92" s="12"/>
      <c r="R92" s="12"/>
      <c r="S92" s="12"/>
      <c r="T92" s="12"/>
      <c r="U92" s="13">
        <f t="shared" si="42"/>
        <v>0</v>
      </c>
      <c r="V92" s="13">
        <f t="shared" si="66"/>
        <v>0</v>
      </c>
      <c r="W92" s="13">
        <f t="shared" si="67"/>
        <v>0</v>
      </c>
      <c r="X92" s="13">
        <f t="shared" si="68"/>
        <v>0</v>
      </c>
      <c r="Y92" s="13">
        <f t="shared" si="69"/>
        <v>0</v>
      </c>
      <c r="Z92" s="13">
        <f t="shared" si="70"/>
        <v>0</v>
      </c>
      <c r="AA92" s="13">
        <f t="shared" si="71"/>
        <v>0</v>
      </c>
      <c r="AB92" s="13">
        <f t="shared" si="72"/>
        <v>0</v>
      </c>
      <c r="AC92" s="23">
        <f t="shared" si="73"/>
        <v>0</v>
      </c>
      <c r="AD92" s="23">
        <f t="shared" si="50"/>
        <v>0</v>
      </c>
      <c r="AE92" s="23">
        <f t="shared" si="59"/>
        <v>0</v>
      </c>
      <c r="AF92" s="23">
        <f t="shared" si="60"/>
        <v>0</v>
      </c>
      <c r="AG92" s="23">
        <f t="shared" si="61"/>
        <v>0</v>
      </c>
      <c r="AH92" s="13" t="e">
        <f t="shared" si="51"/>
        <v>#DIV/0!</v>
      </c>
      <c r="AI92" s="13" t="e">
        <f t="shared" si="52"/>
        <v>#DIV/0!</v>
      </c>
      <c r="AJ92" s="10" t="e">
        <f t="shared" si="53"/>
        <v>#DIV/0!</v>
      </c>
      <c r="AK92" s="6" t="e">
        <f t="shared" si="54"/>
        <v>#DIV/0!</v>
      </c>
      <c r="AL92" s="6" t="e">
        <f t="shared" si="55"/>
        <v>#DIV/0!</v>
      </c>
      <c r="AM92" s="6" t="e">
        <f t="shared" si="56"/>
        <v>#DIV/0!</v>
      </c>
      <c r="AN92" s="6" t="e">
        <f t="shared" si="57"/>
        <v>#DIV/0!</v>
      </c>
      <c r="AO92" s="57" t="e">
        <f t="shared" si="58"/>
        <v>#DIV/0!</v>
      </c>
      <c r="AP92" s="57" t="e">
        <f t="shared" si="62"/>
        <v>#DIV/0!</v>
      </c>
      <c r="AQ92" s="57" t="e">
        <f t="shared" si="63"/>
        <v>#DIV/0!</v>
      </c>
      <c r="AR92" s="57" t="e">
        <f t="shared" si="64"/>
        <v>#DIV/0!</v>
      </c>
      <c r="AS92" s="57" t="e">
        <f t="shared" si="65"/>
        <v>#DIV/0!</v>
      </c>
    </row>
    <row r="93" spans="1:45" ht="33" hidden="1" customHeight="1">
      <c r="A93" s="22">
        <v>0</v>
      </c>
      <c r="B93" s="12"/>
      <c r="C93" s="203"/>
      <c r="D93" s="12"/>
      <c r="E93" s="12"/>
      <c r="F93" s="12"/>
      <c r="G93" s="12"/>
      <c r="H93" s="12"/>
      <c r="I93" s="12"/>
      <c r="J93" s="12"/>
      <c r="K93" s="12"/>
      <c r="L93" s="12"/>
      <c r="M93" s="12"/>
      <c r="N93" s="12"/>
      <c r="O93" s="57"/>
      <c r="P93" s="57"/>
      <c r="Q93" s="12"/>
      <c r="R93" s="12"/>
      <c r="S93" s="12"/>
      <c r="T93" s="12"/>
      <c r="U93" s="13">
        <f t="shared" si="42"/>
        <v>0</v>
      </c>
      <c r="V93" s="13">
        <f t="shared" si="66"/>
        <v>0</v>
      </c>
      <c r="W93" s="13">
        <f t="shared" si="67"/>
        <v>0</v>
      </c>
      <c r="X93" s="13">
        <f t="shared" si="68"/>
        <v>0</v>
      </c>
      <c r="Y93" s="13">
        <f t="shared" si="69"/>
        <v>0</v>
      </c>
      <c r="Z93" s="13">
        <f t="shared" si="70"/>
        <v>0</v>
      </c>
      <c r="AA93" s="13">
        <f t="shared" si="71"/>
        <v>0</v>
      </c>
      <c r="AB93" s="13">
        <f t="shared" si="72"/>
        <v>0</v>
      </c>
      <c r="AC93" s="23">
        <f t="shared" si="73"/>
        <v>0</v>
      </c>
      <c r="AD93" s="23">
        <f t="shared" si="50"/>
        <v>0</v>
      </c>
      <c r="AE93" s="23">
        <f t="shared" si="59"/>
        <v>0</v>
      </c>
      <c r="AF93" s="23">
        <f t="shared" si="60"/>
        <v>0</v>
      </c>
      <c r="AG93" s="23">
        <f t="shared" si="61"/>
        <v>0</v>
      </c>
      <c r="AH93" s="13" t="e">
        <f t="shared" si="51"/>
        <v>#DIV/0!</v>
      </c>
      <c r="AI93" s="13" t="e">
        <f t="shared" si="52"/>
        <v>#DIV/0!</v>
      </c>
      <c r="AJ93" s="10" t="e">
        <f t="shared" si="53"/>
        <v>#DIV/0!</v>
      </c>
      <c r="AK93" s="6" t="e">
        <f t="shared" si="54"/>
        <v>#DIV/0!</v>
      </c>
      <c r="AL93" s="6" t="e">
        <f t="shared" si="55"/>
        <v>#DIV/0!</v>
      </c>
      <c r="AM93" s="6" t="e">
        <f t="shared" si="56"/>
        <v>#DIV/0!</v>
      </c>
      <c r="AN93" s="6" t="e">
        <f t="shared" si="57"/>
        <v>#DIV/0!</v>
      </c>
      <c r="AO93" s="57" t="e">
        <f t="shared" si="58"/>
        <v>#DIV/0!</v>
      </c>
      <c r="AP93" s="57" t="e">
        <f t="shared" si="62"/>
        <v>#DIV/0!</v>
      </c>
      <c r="AQ93" s="57" t="e">
        <f t="shared" si="63"/>
        <v>#DIV/0!</v>
      </c>
      <c r="AR93" s="57" t="e">
        <f t="shared" si="64"/>
        <v>#DIV/0!</v>
      </c>
      <c r="AS93" s="57" t="e">
        <f t="shared" si="65"/>
        <v>#DIV/0!</v>
      </c>
    </row>
    <row r="94" spans="1:45" ht="33" hidden="1" customHeight="1">
      <c r="A94" s="22">
        <v>0</v>
      </c>
      <c r="B94" s="12"/>
      <c r="C94" s="203"/>
      <c r="D94" s="12"/>
      <c r="E94" s="12"/>
      <c r="F94" s="12"/>
      <c r="G94" s="12"/>
      <c r="H94" s="12"/>
      <c r="I94" s="12"/>
      <c r="J94" s="12"/>
      <c r="K94" s="12"/>
      <c r="L94" s="12"/>
      <c r="M94" s="12"/>
      <c r="N94" s="12"/>
      <c r="O94" s="57"/>
      <c r="P94" s="57"/>
      <c r="Q94" s="12"/>
      <c r="R94" s="12"/>
      <c r="S94" s="12"/>
      <c r="T94" s="12"/>
      <c r="U94" s="13">
        <f t="shared" si="42"/>
        <v>0</v>
      </c>
      <c r="V94" s="13">
        <f t="shared" si="66"/>
        <v>0</v>
      </c>
      <c r="W94" s="13">
        <f t="shared" si="67"/>
        <v>0</v>
      </c>
      <c r="X94" s="13">
        <f t="shared" si="68"/>
        <v>0</v>
      </c>
      <c r="Y94" s="13">
        <f t="shared" si="69"/>
        <v>0</v>
      </c>
      <c r="Z94" s="13">
        <f t="shared" si="70"/>
        <v>0</v>
      </c>
      <c r="AA94" s="13">
        <f t="shared" si="71"/>
        <v>0</v>
      </c>
      <c r="AB94" s="13">
        <f t="shared" si="72"/>
        <v>0</v>
      </c>
      <c r="AC94" s="23">
        <f t="shared" si="73"/>
        <v>0</v>
      </c>
      <c r="AD94" s="23">
        <f t="shared" si="50"/>
        <v>0</v>
      </c>
      <c r="AE94" s="23">
        <f t="shared" si="59"/>
        <v>0</v>
      </c>
      <c r="AF94" s="23">
        <f t="shared" si="60"/>
        <v>0</v>
      </c>
      <c r="AG94" s="23">
        <f t="shared" si="61"/>
        <v>0</v>
      </c>
      <c r="AH94" s="13" t="e">
        <f t="shared" si="51"/>
        <v>#DIV/0!</v>
      </c>
      <c r="AI94" s="13" t="e">
        <f t="shared" si="52"/>
        <v>#DIV/0!</v>
      </c>
      <c r="AJ94" s="10" t="e">
        <f t="shared" si="53"/>
        <v>#DIV/0!</v>
      </c>
      <c r="AK94" s="6" t="e">
        <f t="shared" si="54"/>
        <v>#DIV/0!</v>
      </c>
      <c r="AL94" s="6" t="e">
        <f t="shared" si="55"/>
        <v>#DIV/0!</v>
      </c>
      <c r="AM94" s="6" t="e">
        <f t="shared" si="56"/>
        <v>#DIV/0!</v>
      </c>
      <c r="AN94" s="6" t="e">
        <f t="shared" si="57"/>
        <v>#DIV/0!</v>
      </c>
      <c r="AO94" s="57" t="e">
        <f t="shared" si="58"/>
        <v>#DIV/0!</v>
      </c>
      <c r="AP94" s="57" t="e">
        <f t="shared" si="62"/>
        <v>#DIV/0!</v>
      </c>
      <c r="AQ94" s="57" t="e">
        <f t="shared" si="63"/>
        <v>#DIV/0!</v>
      </c>
      <c r="AR94" s="57" t="e">
        <f t="shared" si="64"/>
        <v>#DIV/0!</v>
      </c>
      <c r="AS94" s="57" t="e">
        <f t="shared" si="65"/>
        <v>#DIV/0!</v>
      </c>
    </row>
    <row r="95" spans="1:45" ht="33" hidden="1" customHeight="1">
      <c r="A95" s="22">
        <v>0</v>
      </c>
      <c r="B95" s="12"/>
      <c r="C95" s="203"/>
      <c r="D95" s="12"/>
      <c r="E95" s="12"/>
      <c r="F95" s="12"/>
      <c r="G95" s="12"/>
      <c r="H95" s="12"/>
      <c r="I95" s="12"/>
      <c r="J95" s="12"/>
      <c r="K95" s="12"/>
      <c r="L95" s="12"/>
      <c r="M95" s="12"/>
      <c r="N95" s="12"/>
      <c r="O95" s="57"/>
      <c r="P95" s="57"/>
      <c r="Q95" s="12"/>
      <c r="R95" s="12"/>
      <c r="S95" s="12"/>
      <c r="T95" s="12"/>
      <c r="U95" s="13">
        <f t="shared" si="42"/>
        <v>0</v>
      </c>
      <c r="V95" s="13">
        <f t="shared" si="66"/>
        <v>0</v>
      </c>
      <c r="W95" s="13">
        <f t="shared" si="67"/>
        <v>0</v>
      </c>
      <c r="X95" s="13">
        <f t="shared" si="68"/>
        <v>0</v>
      </c>
      <c r="Y95" s="13">
        <f t="shared" si="69"/>
        <v>0</v>
      </c>
      <c r="Z95" s="13">
        <f t="shared" si="70"/>
        <v>0</v>
      </c>
      <c r="AA95" s="13">
        <f t="shared" si="71"/>
        <v>0</v>
      </c>
      <c r="AB95" s="13">
        <f t="shared" si="72"/>
        <v>0</v>
      </c>
      <c r="AC95" s="23">
        <f t="shared" si="73"/>
        <v>0</v>
      </c>
      <c r="AD95" s="23">
        <f t="shared" si="50"/>
        <v>0</v>
      </c>
      <c r="AE95" s="23">
        <f t="shared" si="59"/>
        <v>0</v>
      </c>
      <c r="AF95" s="23">
        <f t="shared" si="60"/>
        <v>0</v>
      </c>
      <c r="AG95" s="23">
        <f t="shared" si="61"/>
        <v>0</v>
      </c>
      <c r="AH95" s="13" t="e">
        <f t="shared" si="51"/>
        <v>#DIV/0!</v>
      </c>
      <c r="AI95" s="13" t="e">
        <f t="shared" si="52"/>
        <v>#DIV/0!</v>
      </c>
      <c r="AJ95" s="10" t="e">
        <f t="shared" si="53"/>
        <v>#DIV/0!</v>
      </c>
      <c r="AK95" s="6" t="e">
        <f t="shared" si="54"/>
        <v>#DIV/0!</v>
      </c>
      <c r="AL95" s="6" t="e">
        <f t="shared" si="55"/>
        <v>#DIV/0!</v>
      </c>
      <c r="AM95" s="6" t="e">
        <f t="shared" si="56"/>
        <v>#DIV/0!</v>
      </c>
      <c r="AN95" s="6" t="e">
        <f t="shared" si="57"/>
        <v>#DIV/0!</v>
      </c>
      <c r="AO95" s="57" t="e">
        <f t="shared" si="58"/>
        <v>#DIV/0!</v>
      </c>
      <c r="AP95" s="57" t="e">
        <f t="shared" si="62"/>
        <v>#DIV/0!</v>
      </c>
      <c r="AQ95" s="57" t="e">
        <f t="shared" si="63"/>
        <v>#DIV/0!</v>
      </c>
      <c r="AR95" s="57" t="e">
        <f t="shared" si="64"/>
        <v>#DIV/0!</v>
      </c>
      <c r="AS95" s="57" t="e">
        <f t="shared" si="65"/>
        <v>#DIV/0!</v>
      </c>
    </row>
    <row r="96" spans="1:45" ht="33" hidden="1" customHeight="1">
      <c r="A96" s="22">
        <v>0</v>
      </c>
      <c r="B96" s="12"/>
      <c r="C96" s="203"/>
      <c r="D96" s="12"/>
      <c r="E96" s="12"/>
      <c r="F96" s="12"/>
      <c r="G96" s="12"/>
      <c r="H96" s="12"/>
      <c r="I96" s="12"/>
      <c r="J96" s="12"/>
      <c r="K96" s="12"/>
      <c r="L96" s="12"/>
      <c r="M96" s="12"/>
      <c r="N96" s="12"/>
      <c r="O96" s="57"/>
      <c r="P96" s="57"/>
      <c r="Q96" s="12"/>
      <c r="R96" s="12"/>
      <c r="S96" s="12"/>
      <c r="T96" s="12"/>
      <c r="U96" s="13">
        <f t="shared" si="42"/>
        <v>0</v>
      </c>
      <c r="V96" s="13">
        <f t="shared" si="66"/>
        <v>0</v>
      </c>
      <c r="W96" s="13">
        <f t="shared" si="67"/>
        <v>0</v>
      </c>
      <c r="X96" s="13">
        <f t="shared" si="68"/>
        <v>0</v>
      </c>
      <c r="Y96" s="13">
        <f t="shared" si="69"/>
        <v>0</v>
      </c>
      <c r="Z96" s="13">
        <f t="shared" si="70"/>
        <v>0</v>
      </c>
      <c r="AA96" s="13">
        <f t="shared" si="71"/>
        <v>0</v>
      </c>
      <c r="AB96" s="13">
        <f t="shared" si="72"/>
        <v>0</v>
      </c>
      <c r="AC96" s="23">
        <f t="shared" si="73"/>
        <v>0</v>
      </c>
      <c r="AD96" s="23">
        <f t="shared" si="50"/>
        <v>0</v>
      </c>
      <c r="AE96" s="23">
        <f t="shared" si="59"/>
        <v>0</v>
      </c>
      <c r="AF96" s="23">
        <f t="shared" si="60"/>
        <v>0</v>
      </c>
      <c r="AG96" s="23">
        <f t="shared" si="61"/>
        <v>0</v>
      </c>
      <c r="AH96" s="13" t="e">
        <f t="shared" si="51"/>
        <v>#DIV/0!</v>
      </c>
      <c r="AI96" s="13" t="e">
        <f t="shared" si="52"/>
        <v>#DIV/0!</v>
      </c>
      <c r="AJ96" s="10" t="e">
        <f t="shared" si="53"/>
        <v>#DIV/0!</v>
      </c>
      <c r="AK96" s="6" t="e">
        <f t="shared" si="54"/>
        <v>#DIV/0!</v>
      </c>
      <c r="AL96" s="6" t="e">
        <f t="shared" si="55"/>
        <v>#DIV/0!</v>
      </c>
      <c r="AM96" s="6" t="e">
        <f t="shared" si="56"/>
        <v>#DIV/0!</v>
      </c>
      <c r="AN96" s="6" t="e">
        <f t="shared" si="57"/>
        <v>#DIV/0!</v>
      </c>
      <c r="AO96" s="57" t="e">
        <f t="shared" si="58"/>
        <v>#DIV/0!</v>
      </c>
      <c r="AP96" s="57" t="e">
        <f t="shared" si="62"/>
        <v>#DIV/0!</v>
      </c>
      <c r="AQ96" s="57" t="e">
        <f t="shared" si="63"/>
        <v>#DIV/0!</v>
      </c>
      <c r="AR96" s="57" t="e">
        <f t="shared" si="64"/>
        <v>#DIV/0!</v>
      </c>
      <c r="AS96" s="57" t="e">
        <f t="shared" si="65"/>
        <v>#DIV/0!</v>
      </c>
    </row>
    <row r="97" spans="1:45" ht="33" hidden="1" customHeight="1">
      <c r="A97" s="22">
        <v>0</v>
      </c>
      <c r="B97" s="12"/>
      <c r="C97" s="203"/>
      <c r="D97" s="12"/>
      <c r="E97" s="12"/>
      <c r="F97" s="12"/>
      <c r="G97" s="12"/>
      <c r="H97" s="12"/>
      <c r="I97" s="12"/>
      <c r="J97" s="12"/>
      <c r="K97" s="12"/>
      <c r="L97" s="12"/>
      <c r="M97" s="12"/>
      <c r="N97" s="12"/>
      <c r="O97" s="57"/>
      <c r="P97" s="57"/>
      <c r="Q97" s="12"/>
      <c r="R97" s="12"/>
      <c r="S97" s="12"/>
      <c r="T97" s="12"/>
      <c r="U97" s="13">
        <f t="shared" si="42"/>
        <v>0</v>
      </c>
      <c r="V97" s="13">
        <f t="shared" si="66"/>
        <v>0</v>
      </c>
      <c r="W97" s="13">
        <f t="shared" si="67"/>
        <v>0</v>
      </c>
      <c r="X97" s="13">
        <f t="shared" si="68"/>
        <v>0</v>
      </c>
      <c r="Y97" s="13">
        <f t="shared" si="69"/>
        <v>0</v>
      </c>
      <c r="Z97" s="13">
        <f t="shared" si="70"/>
        <v>0</v>
      </c>
      <c r="AA97" s="13">
        <f t="shared" si="71"/>
        <v>0</v>
      </c>
      <c r="AB97" s="13">
        <f t="shared" si="72"/>
        <v>0</v>
      </c>
      <c r="AC97" s="23">
        <f t="shared" si="73"/>
        <v>0</v>
      </c>
      <c r="AD97" s="23">
        <f t="shared" si="50"/>
        <v>0</v>
      </c>
      <c r="AE97" s="23">
        <f t="shared" si="59"/>
        <v>0</v>
      </c>
      <c r="AF97" s="23">
        <f t="shared" si="60"/>
        <v>0</v>
      </c>
      <c r="AG97" s="23">
        <f t="shared" si="61"/>
        <v>0</v>
      </c>
      <c r="AH97" s="13" t="e">
        <f t="shared" si="51"/>
        <v>#DIV/0!</v>
      </c>
      <c r="AI97" s="13" t="e">
        <f t="shared" si="52"/>
        <v>#DIV/0!</v>
      </c>
      <c r="AJ97" s="10" t="e">
        <f t="shared" si="53"/>
        <v>#DIV/0!</v>
      </c>
      <c r="AK97" s="6" t="e">
        <f t="shared" si="54"/>
        <v>#DIV/0!</v>
      </c>
      <c r="AL97" s="6" t="e">
        <f t="shared" si="55"/>
        <v>#DIV/0!</v>
      </c>
      <c r="AM97" s="6" t="e">
        <f t="shared" si="56"/>
        <v>#DIV/0!</v>
      </c>
      <c r="AN97" s="6" t="e">
        <f t="shared" si="57"/>
        <v>#DIV/0!</v>
      </c>
      <c r="AO97" s="57" t="e">
        <f t="shared" si="58"/>
        <v>#DIV/0!</v>
      </c>
      <c r="AP97" s="57" t="e">
        <f t="shared" si="62"/>
        <v>#DIV/0!</v>
      </c>
      <c r="AQ97" s="57" t="e">
        <f t="shared" si="63"/>
        <v>#DIV/0!</v>
      </c>
      <c r="AR97" s="57" t="e">
        <f t="shared" si="64"/>
        <v>#DIV/0!</v>
      </c>
      <c r="AS97" s="57" t="e">
        <f t="shared" si="65"/>
        <v>#DIV/0!</v>
      </c>
    </row>
    <row r="98" spans="1:45" ht="33" hidden="1" customHeight="1">
      <c r="A98" s="22">
        <v>0</v>
      </c>
      <c r="B98" s="12"/>
      <c r="C98" s="203"/>
      <c r="D98" s="12"/>
      <c r="E98" s="12"/>
      <c r="F98" s="12"/>
      <c r="G98" s="12"/>
      <c r="H98" s="12"/>
      <c r="I98" s="12"/>
      <c r="J98" s="12"/>
      <c r="K98" s="12"/>
      <c r="L98" s="12"/>
      <c r="M98" s="12"/>
      <c r="N98" s="12"/>
      <c r="O98" s="57"/>
      <c r="P98" s="57"/>
      <c r="Q98" s="12"/>
      <c r="R98" s="12"/>
      <c r="S98" s="12"/>
      <c r="T98" s="12"/>
      <c r="U98" s="13">
        <f t="shared" si="42"/>
        <v>0</v>
      </c>
      <c r="V98" s="13">
        <f t="shared" si="66"/>
        <v>0</v>
      </c>
      <c r="W98" s="13">
        <f t="shared" si="67"/>
        <v>0</v>
      </c>
      <c r="X98" s="13">
        <f t="shared" si="68"/>
        <v>0</v>
      </c>
      <c r="Y98" s="13">
        <f t="shared" si="69"/>
        <v>0</v>
      </c>
      <c r="Z98" s="13">
        <f t="shared" si="70"/>
        <v>0</v>
      </c>
      <c r="AA98" s="13">
        <f t="shared" si="71"/>
        <v>0</v>
      </c>
      <c r="AB98" s="13">
        <f t="shared" si="72"/>
        <v>0</v>
      </c>
      <c r="AC98" s="23">
        <f t="shared" si="73"/>
        <v>0</v>
      </c>
      <c r="AD98" s="23">
        <f t="shared" si="50"/>
        <v>0</v>
      </c>
      <c r="AE98" s="23">
        <f t="shared" si="59"/>
        <v>0</v>
      </c>
      <c r="AF98" s="23">
        <f t="shared" si="60"/>
        <v>0</v>
      </c>
      <c r="AG98" s="23">
        <f t="shared" si="61"/>
        <v>0</v>
      </c>
      <c r="AH98" s="13" t="e">
        <f t="shared" si="51"/>
        <v>#DIV/0!</v>
      </c>
      <c r="AI98" s="13" t="e">
        <f t="shared" si="52"/>
        <v>#DIV/0!</v>
      </c>
      <c r="AJ98" s="10" t="e">
        <f t="shared" si="53"/>
        <v>#DIV/0!</v>
      </c>
      <c r="AK98" s="6" t="e">
        <f t="shared" si="54"/>
        <v>#DIV/0!</v>
      </c>
      <c r="AL98" s="6" t="e">
        <f t="shared" si="55"/>
        <v>#DIV/0!</v>
      </c>
      <c r="AM98" s="6" t="e">
        <f t="shared" si="56"/>
        <v>#DIV/0!</v>
      </c>
      <c r="AN98" s="6" t="e">
        <f t="shared" si="57"/>
        <v>#DIV/0!</v>
      </c>
      <c r="AO98" s="57" t="e">
        <f t="shared" si="58"/>
        <v>#DIV/0!</v>
      </c>
      <c r="AP98" s="57" t="e">
        <f t="shared" si="62"/>
        <v>#DIV/0!</v>
      </c>
      <c r="AQ98" s="57" t="e">
        <f t="shared" si="63"/>
        <v>#DIV/0!</v>
      </c>
      <c r="AR98" s="57" t="e">
        <f t="shared" si="64"/>
        <v>#DIV/0!</v>
      </c>
      <c r="AS98" s="57" t="e">
        <f t="shared" si="65"/>
        <v>#DIV/0!</v>
      </c>
    </row>
    <row r="99" spans="1:45" ht="33" hidden="1" customHeight="1">
      <c r="A99" s="22">
        <v>0</v>
      </c>
      <c r="B99" s="12"/>
      <c r="C99" s="203"/>
      <c r="D99" s="12"/>
      <c r="E99" s="12"/>
      <c r="F99" s="12"/>
      <c r="G99" s="12"/>
      <c r="H99" s="12"/>
      <c r="I99" s="12"/>
      <c r="J99" s="12"/>
      <c r="K99" s="12"/>
      <c r="L99" s="12"/>
      <c r="M99" s="12"/>
      <c r="N99" s="12"/>
      <c r="O99" s="57"/>
      <c r="P99" s="57"/>
      <c r="Q99" s="12"/>
      <c r="R99" s="12"/>
      <c r="S99" s="12"/>
      <c r="T99" s="12"/>
      <c r="U99" s="13">
        <f t="shared" si="42"/>
        <v>0</v>
      </c>
      <c r="V99" s="13">
        <f t="shared" si="66"/>
        <v>0</v>
      </c>
      <c r="W99" s="13">
        <f t="shared" si="67"/>
        <v>0</v>
      </c>
      <c r="X99" s="13">
        <f t="shared" si="68"/>
        <v>0</v>
      </c>
      <c r="Y99" s="13">
        <f t="shared" si="69"/>
        <v>0</v>
      </c>
      <c r="Z99" s="13">
        <f t="shared" si="70"/>
        <v>0</v>
      </c>
      <c r="AA99" s="13">
        <f t="shared" si="71"/>
        <v>0</v>
      </c>
      <c r="AB99" s="13">
        <f t="shared" si="72"/>
        <v>0</v>
      </c>
      <c r="AC99" s="23">
        <f t="shared" si="73"/>
        <v>0</v>
      </c>
      <c r="AD99" s="23">
        <f t="shared" si="50"/>
        <v>0</v>
      </c>
      <c r="AE99" s="23">
        <f t="shared" si="59"/>
        <v>0</v>
      </c>
      <c r="AF99" s="23">
        <f t="shared" si="60"/>
        <v>0</v>
      </c>
      <c r="AG99" s="23">
        <f t="shared" si="61"/>
        <v>0</v>
      </c>
      <c r="AH99" s="13" t="e">
        <f t="shared" si="51"/>
        <v>#DIV/0!</v>
      </c>
      <c r="AI99" s="13" t="e">
        <f t="shared" si="52"/>
        <v>#DIV/0!</v>
      </c>
      <c r="AJ99" s="10" t="e">
        <f t="shared" si="53"/>
        <v>#DIV/0!</v>
      </c>
      <c r="AK99" s="6" t="e">
        <f t="shared" si="54"/>
        <v>#DIV/0!</v>
      </c>
      <c r="AL99" s="6" t="e">
        <f t="shared" si="55"/>
        <v>#DIV/0!</v>
      </c>
      <c r="AM99" s="6" t="e">
        <f t="shared" si="56"/>
        <v>#DIV/0!</v>
      </c>
      <c r="AN99" s="6" t="e">
        <f t="shared" si="57"/>
        <v>#DIV/0!</v>
      </c>
      <c r="AO99" s="57" t="e">
        <f t="shared" si="58"/>
        <v>#DIV/0!</v>
      </c>
      <c r="AP99" s="57" t="e">
        <f t="shared" si="62"/>
        <v>#DIV/0!</v>
      </c>
      <c r="AQ99" s="57" t="e">
        <f t="shared" si="63"/>
        <v>#DIV/0!</v>
      </c>
      <c r="AR99" s="57" t="e">
        <f t="shared" si="64"/>
        <v>#DIV/0!</v>
      </c>
      <c r="AS99" s="57" t="e">
        <f t="shared" si="65"/>
        <v>#DIV/0!</v>
      </c>
    </row>
    <row r="100" spans="1:45" ht="33" hidden="1" customHeight="1">
      <c r="A100" s="22">
        <v>0</v>
      </c>
      <c r="B100" s="12"/>
      <c r="C100" s="203"/>
      <c r="D100" s="12"/>
      <c r="E100" s="12"/>
      <c r="F100" s="12"/>
      <c r="G100" s="12"/>
      <c r="H100" s="12"/>
      <c r="I100" s="12"/>
      <c r="J100" s="12"/>
      <c r="K100" s="12"/>
      <c r="L100" s="12"/>
      <c r="M100" s="12"/>
      <c r="N100" s="12"/>
      <c r="O100" s="57"/>
      <c r="P100" s="57"/>
      <c r="Q100" s="12"/>
      <c r="R100" s="12"/>
      <c r="S100" s="12"/>
      <c r="T100" s="12"/>
      <c r="U100" s="13">
        <f t="shared" si="42"/>
        <v>0</v>
      </c>
      <c r="V100" s="13">
        <f t="shared" si="66"/>
        <v>0</v>
      </c>
      <c r="W100" s="13">
        <f t="shared" si="67"/>
        <v>0</v>
      </c>
      <c r="X100" s="13">
        <f t="shared" si="68"/>
        <v>0</v>
      </c>
      <c r="Y100" s="13">
        <f t="shared" si="69"/>
        <v>0</v>
      </c>
      <c r="Z100" s="13">
        <f t="shared" si="70"/>
        <v>0</v>
      </c>
      <c r="AA100" s="13">
        <f t="shared" si="71"/>
        <v>0</v>
      </c>
      <c r="AB100" s="13">
        <f t="shared" si="72"/>
        <v>0</v>
      </c>
      <c r="AC100" s="23">
        <f t="shared" si="73"/>
        <v>0</v>
      </c>
      <c r="AD100" s="23">
        <f t="shared" si="50"/>
        <v>0</v>
      </c>
      <c r="AE100" s="23">
        <f t="shared" si="59"/>
        <v>0</v>
      </c>
      <c r="AF100" s="23">
        <f t="shared" si="60"/>
        <v>0</v>
      </c>
      <c r="AG100" s="23">
        <f t="shared" si="61"/>
        <v>0</v>
      </c>
      <c r="AH100" s="13" t="e">
        <f t="shared" si="51"/>
        <v>#DIV/0!</v>
      </c>
      <c r="AI100" s="13" t="e">
        <f t="shared" si="52"/>
        <v>#DIV/0!</v>
      </c>
      <c r="AJ100" s="10" t="e">
        <f t="shared" si="53"/>
        <v>#DIV/0!</v>
      </c>
      <c r="AK100" s="6" t="e">
        <f t="shared" si="54"/>
        <v>#DIV/0!</v>
      </c>
      <c r="AL100" s="6" t="e">
        <f t="shared" si="55"/>
        <v>#DIV/0!</v>
      </c>
      <c r="AM100" s="6" t="e">
        <f t="shared" si="56"/>
        <v>#DIV/0!</v>
      </c>
      <c r="AN100" s="6" t="e">
        <f t="shared" si="57"/>
        <v>#DIV/0!</v>
      </c>
      <c r="AO100" s="57" t="e">
        <f t="shared" si="58"/>
        <v>#DIV/0!</v>
      </c>
      <c r="AP100" s="57" t="e">
        <f t="shared" si="62"/>
        <v>#DIV/0!</v>
      </c>
      <c r="AQ100" s="57" t="e">
        <f t="shared" si="63"/>
        <v>#DIV/0!</v>
      </c>
      <c r="AR100" s="57" t="e">
        <f t="shared" si="64"/>
        <v>#DIV/0!</v>
      </c>
      <c r="AS100" s="57" t="e">
        <f t="shared" si="65"/>
        <v>#DIV/0!</v>
      </c>
    </row>
    <row r="101" spans="1:45" ht="33" hidden="1" customHeight="1">
      <c r="A101" s="22">
        <v>0</v>
      </c>
      <c r="B101" s="12"/>
      <c r="C101" s="203"/>
      <c r="D101" s="12"/>
      <c r="E101" s="12"/>
      <c r="F101" s="12"/>
      <c r="G101" s="12"/>
      <c r="H101" s="12"/>
      <c r="I101" s="12"/>
      <c r="J101" s="12"/>
      <c r="K101" s="12"/>
      <c r="L101" s="12"/>
      <c r="M101" s="12"/>
      <c r="N101" s="12"/>
      <c r="O101" s="57"/>
      <c r="P101" s="57"/>
      <c r="Q101" s="12"/>
      <c r="R101" s="12"/>
      <c r="S101" s="12"/>
      <c r="T101" s="12"/>
      <c r="U101" s="13">
        <f t="shared" si="42"/>
        <v>0</v>
      </c>
      <c r="V101" s="13">
        <f t="shared" si="66"/>
        <v>0</v>
      </c>
      <c r="W101" s="13">
        <f t="shared" si="67"/>
        <v>0</v>
      </c>
      <c r="X101" s="13">
        <f t="shared" si="68"/>
        <v>0</v>
      </c>
      <c r="Y101" s="13">
        <f t="shared" si="69"/>
        <v>0</v>
      </c>
      <c r="Z101" s="13">
        <f t="shared" si="70"/>
        <v>0</v>
      </c>
      <c r="AA101" s="13">
        <f t="shared" si="71"/>
        <v>0</v>
      </c>
      <c r="AB101" s="13">
        <f t="shared" si="72"/>
        <v>0</v>
      </c>
      <c r="AC101" s="23">
        <f t="shared" si="73"/>
        <v>0</v>
      </c>
      <c r="AD101" s="23">
        <f t="shared" si="50"/>
        <v>0</v>
      </c>
      <c r="AE101" s="23">
        <f t="shared" si="59"/>
        <v>0</v>
      </c>
      <c r="AF101" s="23">
        <f t="shared" si="60"/>
        <v>0</v>
      </c>
      <c r="AG101" s="23">
        <f t="shared" si="61"/>
        <v>0</v>
      </c>
      <c r="AH101" s="13" t="e">
        <f t="shared" si="51"/>
        <v>#DIV/0!</v>
      </c>
      <c r="AI101" s="13" t="e">
        <f t="shared" si="52"/>
        <v>#DIV/0!</v>
      </c>
      <c r="AJ101" s="10" t="e">
        <f t="shared" si="53"/>
        <v>#DIV/0!</v>
      </c>
      <c r="AK101" s="6" t="e">
        <f t="shared" si="54"/>
        <v>#DIV/0!</v>
      </c>
      <c r="AL101" s="6" t="e">
        <f t="shared" si="55"/>
        <v>#DIV/0!</v>
      </c>
      <c r="AM101" s="6" t="e">
        <f t="shared" si="56"/>
        <v>#DIV/0!</v>
      </c>
      <c r="AN101" s="6" t="e">
        <f t="shared" si="57"/>
        <v>#DIV/0!</v>
      </c>
      <c r="AO101" s="57" t="e">
        <f t="shared" si="58"/>
        <v>#DIV/0!</v>
      </c>
      <c r="AP101" s="57" t="e">
        <f t="shared" si="62"/>
        <v>#DIV/0!</v>
      </c>
      <c r="AQ101" s="57" t="e">
        <f t="shared" si="63"/>
        <v>#DIV/0!</v>
      </c>
      <c r="AR101" s="57" t="e">
        <f t="shared" si="64"/>
        <v>#DIV/0!</v>
      </c>
      <c r="AS101" s="57" t="e">
        <f t="shared" si="65"/>
        <v>#DIV/0!</v>
      </c>
    </row>
    <row r="102" spans="1:45" ht="33" hidden="1" customHeight="1">
      <c r="A102" s="22">
        <v>0</v>
      </c>
      <c r="B102" s="12"/>
      <c r="C102" s="203"/>
      <c r="D102" s="12"/>
      <c r="E102" s="12"/>
      <c r="F102" s="12"/>
      <c r="G102" s="12"/>
      <c r="H102" s="12"/>
      <c r="I102" s="12"/>
      <c r="J102" s="12"/>
      <c r="K102" s="12"/>
      <c r="L102" s="12"/>
      <c r="M102" s="12"/>
      <c r="N102" s="12"/>
      <c r="O102" s="57"/>
      <c r="P102" s="57"/>
      <c r="Q102" s="12"/>
      <c r="R102" s="12"/>
      <c r="S102" s="12"/>
      <c r="T102" s="12"/>
      <c r="U102" s="13">
        <f t="shared" si="42"/>
        <v>0</v>
      </c>
      <c r="V102" s="13">
        <f t="shared" si="66"/>
        <v>0</v>
      </c>
      <c r="W102" s="13">
        <f t="shared" si="67"/>
        <v>0</v>
      </c>
      <c r="X102" s="13">
        <f t="shared" si="68"/>
        <v>0</v>
      </c>
      <c r="Y102" s="13">
        <f t="shared" si="69"/>
        <v>0</v>
      </c>
      <c r="Z102" s="13">
        <f t="shared" si="70"/>
        <v>0</v>
      </c>
      <c r="AA102" s="13">
        <f t="shared" si="71"/>
        <v>0</v>
      </c>
      <c r="AB102" s="13">
        <f t="shared" si="72"/>
        <v>0</v>
      </c>
      <c r="AC102" s="23">
        <f t="shared" si="73"/>
        <v>0</v>
      </c>
      <c r="AD102" s="23">
        <f t="shared" si="50"/>
        <v>0</v>
      </c>
      <c r="AE102" s="23">
        <f t="shared" si="59"/>
        <v>0</v>
      </c>
      <c r="AF102" s="23">
        <f t="shared" si="60"/>
        <v>0</v>
      </c>
      <c r="AG102" s="23">
        <f t="shared" si="61"/>
        <v>0</v>
      </c>
      <c r="AH102" s="13" t="e">
        <f t="shared" si="51"/>
        <v>#DIV/0!</v>
      </c>
      <c r="AI102" s="13" t="e">
        <f t="shared" si="52"/>
        <v>#DIV/0!</v>
      </c>
      <c r="AJ102" s="10" t="e">
        <f t="shared" si="53"/>
        <v>#DIV/0!</v>
      </c>
      <c r="AK102" s="6" t="e">
        <f t="shared" si="54"/>
        <v>#DIV/0!</v>
      </c>
      <c r="AL102" s="6" t="e">
        <f t="shared" si="55"/>
        <v>#DIV/0!</v>
      </c>
      <c r="AM102" s="6" t="e">
        <f t="shared" si="56"/>
        <v>#DIV/0!</v>
      </c>
      <c r="AN102" s="6" t="e">
        <f t="shared" si="57"/>
        <v>#DIV/0!</v>
      </c>
      <c r="AO102" s="57" t="e">
        <f t="shared" si="58"/>
        <v>#DIV/0!</v>
      </c>
      <c r="AP102" s="57" t="e">
        <f t="shared" si="62"/>
        <v>#DIV/0!</v>
      </c>
      <c r="AQ102" s="57" t="e">
        <f t="shared" si="63"/>
        <v>#DIV/0!</v>
      </c>
      <c r="AR102" s="57" t="e">
        <f t="shared" si="64"/>
        <v>#DIV/0!</v>
      </c>
      <c r="AS102" s="57" t="e">
        <f t="shared" si="65"/>
        <v>#DIV/0!</v>
      </c>
    </row>
    <row r="103" spans="1:45" ht="33" hidden="1" customHeight="1">
      <c r="A103" s="22">
        <v>0</v>
      </c>
      <c r="B103" s="12"/>
      <c r="C103" s="203"/>
      <c r="D103" s="12"/>
      <c r="E103" s="12"/>
      <c r="F103" s="12"/>
      <c r="G103" s="12"/>
      <c r="H103" s="12"/>
      <c r="I103" s="12"/>
      <c r="J103" s="12"/>
      <c r="K103" s="12"/>
      <c r="L103" s="12"/>
      <c r="M103" s="12"/>
      <c r="N103" s="12"/>
      <c r="O103" s="57"/>
      <c r="P103" s="57"/>
      <c r="Q103" s="12"/>
      <c r="R103" s="12"/>
      <c r="S103" s="12"/>
      <c r="T103" s="12"/>
      <c r="U103" s="13">
        <f t="shared" si="42"/>
        <v>0</v>
      </c>
      <c r="V103" s="13">
        <f t="shared" si="66"/>
        <v>0</v>
      </c>
      <c r="W103" s="13">
        <f t="shared" si="67"/>
        <v>0</v>
      </c>
      <c r="X103" s="13">
        <f t="shared" si="68"/>
        <v>0</v>
      </c>
      <c r="Y103" s="13">
        <f t="shared" si="69"/>
        <v>0</v>
      </c>
      <c r="Z103" s="13">
        <f t="shared" si="70"/>
        <v>0</v>
      </c>
      <c r="AA103" s="13">
        <f t="shared" si="71"/>
        <v>0</v>
      </c>
      <c r="AB103" s="13">
        <f t="shared" si="72"/>
        <v>0</v>
      </c>
      <c r="AC103" s="23">
        <f t="shared" si="73"/>
        <v>0</v>
      </c>
      <c r="AD103" s="23">
        <f t="shared" si="50"/>
        <v>0</v>
      </c>
      <c r="AE103" s="23">
        <f t="shared" si="59"/>
        <v>0</v>
      </c>
      <c r="AF103" s="23">
        <f t="shared" si="60"/>
        <v>0</v>
      </c>
      <c r="AG103" s="23">
        <f t="shared" si="61"/>
        <v>0</v>
      </c>
      <c r="AH103" s="13" t="e">
        <f t="shared" si="51"/>
        <v>#DIV/0!</v>
      </c>
      <c r="AI103" s="13" t="e">
        <f t="shared" si="52"/>
        <v>#DIV/0!</v>
      </c>
      <c r="AJ103" s="10" t="e">
        <f t="shared" si="53"/>
        <v>#DIV/0!</v>
      </c>
      <c r="AK103" s="6" t="e">
        <f t="shared" si="54"/>
        <v>#DIV/0!</v>
      </c>
      <c r="AL103" s="6" t="e">
        <f t="shared" si="55"/>
        <v>#DIV/0!</v>
      </c>
      <c r="AM103" s="6" t="e">
        <f t="shared" si="56"/>
        <v>#DIV/0!</v>
      </c>
      <c r="AN103" s="6" t="e">
        <f t="shared" si="57"/>
        <v>#DIV/0!</v>
      </c>
      <c r="AO103" s="57" t="e">
        <f t="shared" si="58"/>
        <v>#DIV/0!</v>
      </c>
      <c r="AP103" s="57" t="e">
        <f t="shared" si="62"/>
        <v>#DIV/0!</v>
      </c>
      <c r="AQ103" s="57" t="e">
        <f t="shared" si="63"/>
        <v>#DIV/0!</v>
      </c>
      <c r="AR103" s="57" t="e">
        <f t="shared" si="64"/>
        <v>#DIV/0!</v>
      </c>
      <c r="AS103" s="57" t="e">
        <f t="shared" si="65"/>
        <v>#DIV/0!</v>
      </c>
    </row>
    <row r="104" spans="1:45" ht="33" hidden="1" customHeight="1">
      <c r="A104" s="22">
        <v>0</v>
      </c>
      <c r="B104" s="12"/>
      <c r="C104" s="203"/>
      <c r="D104" s="12"/>
      <c r="E104" s="12"/>
      <c r="F104" s="12"/>
      <c r="G104" s="12"/>
      <c r="H104" s="12"/>
      <c r="I104" s="12"/>
      <c r="J104" s="12"/>
      <c r="K104" s="12"/>
      <c r="L104" s="12"/>
      <c r="M104" s="12"/>
      <c r="N104" s="12"/>
      <c r="O104" s="57"/>
      <c r="P104" s="57"/>
      <c r="Q104" s="12"/>
      <c r="R104" s="12"/>
      <c r="S104" s="12"/>
      <c r="T104" s="12"/>
      <c r="U104" s="13">
        <f t="shared" si="42"/>
        <v>0</v>
      </c>
      <c r="V104" s="13">
        <f t="shared" si="66"/>
        <v>0</v>
      </c>
      <c r="W104" s="13">
        <f t="shared" si="67"/>
        <v>0</v>
      </c>
      <c r="X104" s="13">
        <f t="shared" si="68"/>
        <v>0</v>
      </c>
      <c r="Y104" s="13">
        <f t="shared" si="69"/>
        <v>0</v>
      </c>
      <c r="Z104" s="13">
        <f t="shared" si="70"/>
        <v>0</v>
      </c>
      <c r="AA104" s="13">
        <f t="shared" si="71"/>
        <v>0</v>
      </c>
      <c r="AB104" s="13">
        <f t="shared" si="72"/>
        <v>0</v>
      </c>
      <c r="AC104" s="23">
        <f t="shared" si="73"/>
        <v>0</v>
      </c>
      <c r="AD104" s="23">
        <f t="shared" si="50"/>
        <v>0</v>
      </c>
      <c r="AE104" s="23">
        <f t="shared" si="59"/>
        <v>0</v>
      </c>
      <c r="AF104" s="23">
        <f t="shared" si="60"/>
        <v>0</v>
      </c>
      <c r="AG104" s="23">
        <f t="shared" si="61"/>
        <v>0</v>
      </c>
      <c r="AH104" s="13" t="e">
        <f t="shared" si="51"/>
        <v>#DIV/0!</v>
      </c>
      <c r="AI104" s="13" t="e">
        <f t="shared" si="52"/>
        <v>#DIV/0!</v>
      </c>
      <c r="AJ104" s="10" t="e">
        <f t="shared" si="53"/>
        <v>#DIV/0!</v>
      </c>
      <c r="AK104" s="6" t="e">
        <f t="shared" si="54"/>
        <v>#DIV/0!</v>
      </c>
      <c r="AL104" s="6" t="e">
        <f t="shared" si="55"/>
        <v>#DIV/0!</v>
      </c>
      <c r="AM104" s="6" t="e">
        <f t="shared" si="56"/>
        <v>#DIV/0!</v>
      </c>
      <c r="AN104" s="6" t="e">
        <f t="shared" si="57"/>
        <v>#DIV/0!</v>
      </c>
      <c r="AO104" s="57" t="e">
        <f t="shared" si="58"/>
        <v>#DIV/0!</v>
      </c>
      <c r="AP104" s="57" t="e">
        <f t="shared" si="62"/>
        <v>#DIV/0!</v>
      </c>
      <c r="AQ104" s="57" t="e">
        <f t="shared" si="63"/>
        <v>#DIV/0!</v>
      </c>
      <c r="AR104" s="57" t="e">
        <f t="shared" si="64"/>
        <v>#DIV/0!</v>
      </c>
      <c r="AS104" s="57" t="e">
        <f t="shared" si="65"/>
        <v>#DIV/0!</v>
      </c>
    </row>
    <row r="105" spans="1:45" ht="33" hidden="1" customHeight="1">
      <c r="A105" s="22">
        <v>0</v>
      </c>
      <c r="B105" s="12"/>
      <c r="C105" s="203"/>
      <c r="D105" s="12"/>
      <c r="E105" s="12"/>
      <c r="F105" s="12"/>
      <c r="G105" s="12"/>
      <c r="H105" s="12"/>
      <c r="I105" s="12"/>
      <c r="J105" s="12"/>
      <c r="K105" s="12"/>
      <c r="L105" s="12"/>
      <c r="M105" s="12"/>
      <c r="N105" s="12"/>
      <c r="O105" s="57"/>
      <c r="P105" s="57"/>
      <c r="Q105" s="12"/>
      <c r="R105" s="12"/>
      <c r="S105" s="12"/>
      <c r="T105" s="12"/>
      <c r="U105" s="13">
        <f t="shared" si="42"/>
        <v>0</v>
      </c>
      <c r="V105" s="13">
        <f t="shared" si="66"/>
        <v>0</v>
      </c>
      <c r="W105" s="13">
        <f t="shared" si="67"/>
        <v>0</v>
      </c>
      <c r="X105" s="13">
        <f t="shared" si="68"/>
        <v>0</v>
      </c>
      <c r="Y105" s="13">
        <f t="shared" si="69"/>
        <v>0</v>
      </c>
      <c r="Z105" s="13">
        <f t="shared" si="70"/>
        <v>0</v>
      </c>
      <c r="AA105" s="13">
        <f t="shared" si="71"/>
        <v>0</v>
      </c>
      <c r="AB105" s="13">
        <f t="shared" si="72"/>
        <v>0</v>
      </c>
      <c r="AC105" s="23">
        <f t="shared" si="73"/>
        <v>0</v>
      </c>
      <c r="AD105" s="23">
        <f t="shared" si="50"/>
        <v>0</v>
      </c>
      <c r="AE105" s="23">
        <f t="shared" si="59"/>
        <v>0</v>
      </c>
      <c r="AF105" s="23">
        <f t="shared" si="60"/>
        <v>0</v>
      </c>
      <c r="AG105" s="23">
        <f t="shared" si="61"/>
        <v>0</v>
      </c>
      <c r="AH105" s="13" t="e">
        <f t="shared" si="51"/>
        <v>#DIV/0!</v>
      </c>
      <c r="AI105" s="13" t="e">
        <f t="shared" si="52"/>
        <v>#DIV/0!</v>
      </c>
      <c r="AJ105" s="10" t="e">
        <f t="shared" si="53"/>
        <v>#DIV/0!</v>
      </c>
      <c r="AK105" s="6" t="e">
        <f t="shared" si="54"/>
        <v>#DIV/0!</v>
      </c>
      <c r="AL105" s="6" t="e">
        <f t="shared" si="55"/>
        <v>#DIV/0!</v>
      </c>
      <c r="AM105" s="6" t="e">
        <f t="shared" si="56"/>
        <v>#DIV/0!</v>
      </c>
      <c r="AN105" s="6" t="e">
        <f t="shared" si="57"/>
        <v>#DIV/0!</v>
      </c>
      <c r="AO105" s="57" t="e">
        <f t="shared" si="58"/>
        <v>#DIV/0!</v>
      </c>
      <c r="AP105" s="57" t="e">
        <f t="shared" si="62"/>
        <v>#DIV/0!</v>
      </c>
      <c r="AQ105" s="57" t="e">
        <f t="shared" si="63"/>
        <v>#DIV/0!</v>
      </c>
      <c r="AR105" s="57" t="e">
        <f t="shared" si="64"/>
        <v>#DIV/0!</v>
      </c>
      <c r="AS105" s="57" t="e">
        <f t="shared" si="65"/>
        <v>#DIV/0!</v>
      </c>
    </row>
    <row r="106" spans="1:45" ht="33" hidden="1" customHeight="1">
      <c r="A106" s="22">
        <v>0</v>
      </c>
      <c r="B106" s="12"/>
      <c r="C106" s="203"/>
      <c r="D106" s="12"/>
      <c r="E106" s="12"/>
      <c r="F106" s="12"/>
      <c r="G106" s="12"/>
      <c r="H106" s="12"/>
      <c r="I106" s="12"/>
      <c r="J106" s="12"/>
      <c r="K106" s="12"/>
      <c r="L106" s="12"/>
      <c r="M106" s="12"/>
      <c r="N106" s="12"/>
      <c r="O106" s="57"/>
      <c r="P106" s="57"/>
      <c r="Q106" s="12"/>
      <c r="R106" s="12"/>
      <c r="S106" s="12"/>
      <c r="T106" s="12"/>
      <c r="U106" s="13">
        <f t="shared" si="42"/>
        <v>0</v>
      </c>
      <c r="V106" s="13">
        <f t="shared" si="66"/>
        <v>0</v>
      </c>
      <c r="W106" s="13">
        <f t="shared" si="67"/>
        <v>0</v>
      </c>
      <c r="X106" s="13">
        <f t="shared" si="68"/>
        <v>0</v>
      </c>
      <c r="Y106" s="13">
        <f t="shared" si="69"/>
        <v>0</v>
      </c>
      <c r="Z106" s="13">
        <f t="shared" si="70"/>
        <v>0</v>
      </c>
      <c r="AA106" s="13">
        <f t="shared" si="71"/>
        <v>0</v>
      </c>
      <c r="AB106" s="13">
        <f t="shared" si="72"/>
        <v>0</v>
      </c>
      <c r="AC106" s="23">
        <f t="shared" si="73"/>
        <v>0</v>
      </c>
      <c r="AD106" s="23">
        <f t="shared" si="50"/>
        <v>0</v>
      </c>
      <c r="AE106" s="23">
        <f t="shared" si="59"/>
        <v>0</v>
      </c>
      <c r="AF106" s="23">
        <f t="shared" si="60"/>
        <v>0</v>
      </c>
      <c r="AG106" s="23">
        <f t="shared" si="61"/>
        <v>0</v>
      </c>
      <c r="AH106" s="13" t="e">
        <f t="shared" si="51"/>
        <v>#DIV/0!</v>
      </c>
      <c r="AI106" s="13" t="e">
        <f t="shared" si="52"/>
        <v>#DIV/0!</v>
      </c>
      <c r="AJ106" s="10" t="e">
        <f t="shared" si="53"/>
        <v>#DIV/0!</v>
      </c>
      <c r="AK106" s="6" t="e">
        <f t="shared" si="54"/>
        <v>#DIV/0!</v>
      </c>
      <c r="AL106" s="6" t="e">
        <f t="shared" si="55"/>
        <v>#DIV/0!</v>
      </c>
      <c r="AM106" s="6" t="e">
        <f t="shared" si="56"/>
        <v>#DIV/0!</v>
      </c>
      <c r="AN106" s="6" t="e">
        <f t="shared" si="57"/>
        <v>#DIV/0!</v>
      </c>
      <c r="AO106" s="57" t="e">
        <f t="shared" si="58"/>
        <v>#DIV/0!</v>
      </c>
      <c r="AP106" s="57" t="e">
        <f t="shared" si="62"/>
        <v>#DIV/0!</v>
      </c>
      <c r="AQ106" s="57" t="e">
        <f t="shared" si="63"/>
        <v>#DIV/0!</v>
      </c>
      <c r="AR106" s="57" t="e">
        <f t="shared" si="64"/>
        <v>#DIV/0!</v>
      </c>
      <c r="AS106" s="57" t="e">
        <f t="shared" si="65"/>
        <v>#DIV/0!</v>
      </c>
    </row>
    <row r="107" spans="1:45" ht="33" hidden="1" customHeight="1">
      <c r="A107" s="22">
        <v>0</v>
      </c>
      <c r="B107" s="12"/>
      <c r="C107" s="203"/>
      <c r="D107" s="12"/>
      <c r="E107" s="12"/>
      <c r="F107" s="12"/>
      <c r="G107" s="12"/>
      <c r="H107" s="12"/>
      <c r="I107" s="12"/>
      <c r="J107" s="12"/>
      <c r="K107" s="12"/>
      <c r="L107" s="12"/>
      <c r="M107" s="12"/>
      <c r="N107" s="12"/>
      <c r="O107" s="57"/>
      <c r="P107" s="57"/>
      <c r="Q107" s="12"/>
      <c r="R107" s="12"/>
      <c r="S107" s="12"/>
      <c r="T107" s="12"/>
      <c r="U107" s="13">
        <f t="shared" si="42"/>
        <v>0</v>
      </c>
      <c r="V107" s="13">
        <f t="shared" si="66"/>
        <v>0</v>
      </c>
      <c r="W107" s="13">
        <f t="shared" si="67"/>
        <v>0</v>
      </c>
      <c r="X107" s="13">
        <f t="shared" si="68"/>
        <v>0</v>
      </c>
      <c r="Y107" s="13">
        <f t="shared" si="69"/>
        <v>0</v>
      </c>
      <c r="Z107" s="13">
        <f t="shared" si="70"/>
        <v>0</v>
      </c>
      <c r="AA107" s="13">
        <f t="shared" si="71"/>
        <v>0</v>
      </c>
      <c r="AB107" s="13">
        <f t="shared" si="72"/>
        <v>0</v>
      </c>
      <c r="AC107" s="23">
        <f t="shared" si="73"/>
        <v>0</v>
      </c>
      <c r="AD107" s="23">
        <f t="shared" si="50"/>
        <v>0</v>
      </c>
      <c r="AE107" s="23">
        <f t="shared" si="59"/>
        <v>0</v>
      </c>
      <c r="AF107" s="23">
        <f t="shared" si="60"/>
        <v>0</v>
      </c>
      <c r="AG107" s="23">
        <f t="shared" si="61"/>
        <v>0</v>
      </c>
      <c r="AH107" s="13" t="e">
        <f t="shared" si="51"/>
        <v>#DIV/0!</v>
      </c>
      <c r="AI107" s="13" t="e">
        <f t="shared" si="52"/>
        <v>#DIV/0!</v>
      </c>
      <c r="AJ107" s="10" t="e">
        <f t="shared" si="53"/>
        <v>#DIV/0!</v>
      </c>
      <c r="AK107" s="6" t="e">
        <f t="shared" si="54"/>
        <v>#DIV/0!</v>
      </c>
      <c r="AL107" s="6" t="e">
        <f t="shared" si="55"/>
        <v>#DIV/0!</v>
      </c>
      <c r="AM107" s="6" t="e">
        <f t="shared" si="56"/>
        <v>#DIV/0!</v>
      </c>
      <c r="AN107" s="6" t="e">
        <f t="shared" si="57"/>
        <v>#DIV/0!</v>
      </c>
      <c r="AO107" s="57" t="e">
        <f t="shared" si="58"/>
        <v>#DIV/0!</v>
      </c>
      <c r="AP107" s="57" t="e">
        <f t="shared" si="62"/>
        <v>#DIV/0!</v>
      </c>
      <c r="AQ107" s="57" t="e">
        <f t="shared" si="63"/>
        <v>#DIV/0!</v>
      </c>
      <c r="AR107" s="57" t="e">
        <f t="shared" si="64"/>
        <v>#DIV/0!</v>
      </c>
      <c r="AS107" s="57" t="e">
        <f t="shared" si="65"/>
        <v>#DIV/0!</v>
      </c>
    </row>
    <row r="108" spans="1:45" ht="33" hidden="1" customHeight="1">
      <c r="A108" s="22">
        <v>0</v>
      </c>
      <c r="B108" s="12"/>
      <c r="C108" s="203"/>
      <c r="D108" s="12"/>
      <c r="E108" s="12"/>
      <c r="F108" s="12"/>
      <c r="G108" s="12"/>
      <c r="H108" s="12"/>
      <c r="I108" s="12"/>
      <c r="J108" s="12"/>
      <c r="K108" s="12"/>
      <c r="L108" s="12"/>
      <c r="M108" s="12"/>
      <c r="N108" s="12"/>
      <c r="O108" s="57"/>
      <c r="P108" s="57"/>
      <c r="Q108" s="12"/>
      <c r="R108" s="12"/>
      <c r="S108" s="12"/>
      <c r="T108" s="12"/>
      <c r="U108" s="13">
        <f t="shared" si="42"/>
        <v>0</v>
      </c>
      <c r="V108" s="13">
        <f t="shared" si="66"/>
        <v>0</v>
      </c>
      <c r="W108" s="13">
        <f t="shared" si="67"/>
        <v>0</v>
      </c>
      <c r="X108" s="13">
        <f t="shared" si="68"/>
        <v>0</v>
      </c>
      <c r="Y108" s="13">
        <f t="shared" si="69"/>
        <v>0</v>
      </c>
      <c r="Z108" s="13">
        <f t="shared" si="70"/>
        <v>0</v>
      </c>
      <c r="AA108" s="13">
        <f t="shared" si="71"/>
        <v>0</v>
      </c>
      <c r="AB108" s="13">
        <f t="shared" si="72"/>
        <v>0</v>
      </c>
      <c r="AC108" s="23">
        <f t="shared" si="73"/>
        <v>0</v>
      </c>
      <c r="AD108" s="23">
        <f t="shared" si="50"/>
        <v>0</v>
      </c>
      <c r="AE108" s="23">
        <f t="shared" si="59"/>
        <v>0</v>
      </c>
      <c r="AF108" s="23">
        <f t="shared" si="60"/>
        <v>0</v>
      </c>
      <c r="AG108" s="23">
        <f t="shared" si="61"/>
        <v>0</v>
      </c>
      <c r="AH108" s="13" t="e">
        <f t="shared" si="51"/>
        <v>#DIV/0!</v>
      </c>
      <c r="AI108" s="13" t="e">
        <f t="shared" si="52"/>
        <v>#DIV/0!</v>
      </c>
      <c r="AJ108" s="10" t="e">
        <f t="shared" si="53"/>
        <v>#DIV/0!</v>
      </c>
      <c r="AK108" s="6" t="e">
        <f t="shared" si="54"/>
        <v>#DIV/0!</v>
      </c>
      <c r="AL108" s="6" t="e">
        <f t="shared" si="55"/>
        <v>#DIV/0!</v>
      </c>
      <c r="AM108" s="6" t="e">
        <f t="shared" si="56"/>
        <v>#DIV/0!</v>
      </c>
      <c r="AN108" s="6" t="e">
        <f t="shared" si="57"/>
        <v>#DIV/0!</v>
      </c>
      <c r="AO108" s="57" t="e">
        <f t="shared" si="58"/>
        <v>#DIV/0!</v>
      </c>
      <c r="AP108" s="57" t="e">
        <f t="shared" si="62"/>
        <v>#DIV/0!</v>
      </c>
      <c r="AQ108" s="57" t="e">
        <f t="shared" si="63"/>
        <v>#DIV/0!</v>
      </c>
      <c r="AR108" s="57" t="e">
        <f t="shared" si="64"/>
        <v>#DIV/0!</v>
      </c>
      <c r="AS108" s="57" t="e">
        <f t="shared" si="65"/>
        <v>#DIV/0!</v>
      </c>
    </row>
    <row r="109" spans="1:45" ht="33" hidden="1" customHeight="1">
      <c r="A109" s="22">
        <v>0</v>
      </c>
      <c r="B109" s="12"/>
      <c r="C109" s="203"/>
      <c r="D109" s="12"/>
      <c r="E109" s="12"/>
      <c r="F109" s="12"/>
      <c r="G109" s="12"/>
      <c r="H109" s="12"/>
      <c r="I109" s="12"/>
      <c r="J109" s="12"/>
      <c r="K109" s="12"/>
      <c r="L109" s="12"/>
      <c r="M109" s="12"/>
      <c r="N109" s="12"/>
      <c r="O109" s="57"/>
      <c r="P109" s="57"/>
      <c r="Q109" s="12"/>
      <c r="R109" s="12"/>
      <c r="S109" s="12"/>
      <c r="T109" s="12"/>
      <c r="U109" s="13">
        <f t="shared" si="42"/>
        <v>0</v>
      </c>
      <c r="V109" s="13">
        <f t="shared" si="66"/>
        <v>0</v>
      </c>
      <c r="W109" s="13">
        <f t="shared" si="67"/>
        <v>0</v>
      </c>
      <c r="X109" s="13">
        <f t="shared" si="68"/>
        <v>0</v>
      </c>
      <c r="Y109" s="13">
        <f t="shared" si="69"/>
        <v>0</v>
      </c>
      <c r="Z109" s="13">
        <f t="shared" si="70"/>
        <v>0</v>
      </c>
      <c r="AA109" s="13">
        <f t="shared" si="71"/>
        <v>0</v>
      </c>
      <c r="AB109" s="13">
        <f t="shared" si="72"/>
        <v>0</v>
      </c>
      <c r="AC109" s="23">
        <f t="shared" si="73"/>
        <v>0</v>
      </c>
      <c r="AD109" s="23">
        <f t="shared" si="50"/>
        <v>0</v>
      </c>
      <c r="AE109" s="23">
        <f t="shared" si="59"/>
        <v>0</v>
      </c>
      <c r="AF109" s="23">
        <f t="shared" si="60"/>
        <v>0</v>
      </c>
      <c r="AG109" s="23">
        <f t="shared" si="61"/>
        <v>0</v>
      </c>
      <c r="AH109" s="13" t="e">
        <f t="shared" si="51"/>
        <v>#DIV/0!</v>
      </c>
      <c r="AI109" s="13" t="e">
        <f t="shared" si="52"/>
        <v>#DIV/0!</v>
      </c>
      <c r="AJ109" s="10" t="e">
        <f t="shared" si="53"/>
        <v>#DIV/0!</v>
      </c>
      <c r="AK109" s="6" t="e">
        <f t="shared" si="54"/>
        <v>#DIV/0!</v>
      </c>
      <c r="AL109" s="6" t="e">
        <f t="shared" si="55"/>
        <v>#DIV/0!</v>
      </c>
      <c r="AM109" s="6" t="e">
        <f t="shared" si="56"/>
        <v>#DIV/0!</v>
      </c>
      <c r="AN109" s="6" t="e">
        <f t="shared" si="57"/>
        <v>#DIV/0!</v>
      </c>
      <c r="AO109" s="57" t="e">
        <f t="shared" si="58"/>
        <v>#DIV/0!</v>
      </c>
      <c r="AP109" s="57" t="e">
        <f t="shared" si="62"/>
        <v>#DIV/0!</v>
      </c>
      <c r="AQ109" s="57" t="e">
        <f t="shared" si="63"/>
        <v>#DIV/0!</v>
      </c>
      <c r="AR109" s="57" t="e">
        <f t="shared" si="64"/>
        <v>#DIV/0!</v>
      </c>
      <c r="AS109" s="57" t="e">
        <f t="shared" si="65"/>
        <v>#DIV/0!</v>
      </c>
    </row>
    <row r="110" spans="1:45" ht="33" hidden="1" customHeight="1">
      <c r="A110" s="22">
        <v>0</v>
      </c>
      <c r="B110" s="12"/>
      <c r="C110" s="203"/>
      <c r="D110" s="12"/>
      <c r="E110" s="12"/>
      <c r="F110" s="12"/>
      <c r="G110" s="12"/>
      <c r="H110" s="12"/>
      <c r="I110" s="12"/>
      <c r="J110" s="12"/>
      <c r="K110" s="12"/>
      <c r="L110" s="12"/>
      <c r="M110" s="12"/>
      <c r="N110" s="12"/>
      <c r="O110" s="57"/>
      <c r="P110" s="57"/>
      <c r="Q110" s="12"/>
      <c r="R110" s="12"/>
      <c r="S110" s="12"/>
      <c r="T110" s="12"/>
      <c r="U110" s="13">
        <f t="shared" si="42"/>
        <v>0</v>
      </c>
      <c r="V110" s="13">
        <f t="shared" si="66"/>
        <v>0</v>
      </c>
      <c r="W110" s="13">
        <f t="shared" si="67"/>
        <v>0</v>
      </c>
      <c r="X110" s="13">
        <f t="shared" si="68"/>
        <v>0</v>
      </c>
      <c r="Y110" s="13">
        <f t="shared" si="69"/>
        <v>0</v>
      </c>
      <c r="Z110" s="13">
        <f t="shared" si="70"/>
        <v>0</v>
      </c>
      <c r="AA110" s="13">
        <f t="shared" si="71"/>
        <v>0</v>
      </c>
      <c r="AB110" s="13">
        <f t="shared" si="72"/>
        <v>0</v>
      </c>
      <c r="AC110" s="23">
        <f t="shared" si="73"/>
        <v>0</v>
      </c>
      <c r="AD110" s="23">
        <f t="shared" ref="AD110:AD139" si="74">IF($D$12="CO9",D110,0)+IF($E$12="CO9",E110,0)+IF($F$12="CO9",F110,0)+IF($G$12="CO9",G110,0)+IF($H$12="CO9",H110,0)+IF($I$12="CO9",I110,0)+IF($J$12="CO9",J110,0)+IF($K$12="CO9",K110,0)+IF($L$12="CO9",L110,0)+IF($M$12="CO9",M110,0)+IF($N$12="CO9",N110,0)+IF($O$12="CO9",O110,0)+IF($P$12="CO9",P110,0)+IF($Q$12="CO9",Q110,0)+IF($R$12="CO9",R110,0)+IF($S$12="CO9",S110,0)+IF($T$12="CO9",T110,0)</f>
        <v>0</v>
      </c>
      <c r="AE110" s="23">
        <f t="shared" si="59"/>
        <v>0</v>
      </c>
      <c r="AF110" s="23">
        <f t="shared" si="60"/>
        <v>0</v>
      </c>
      <c r="AG110" s="23">
        <f t="shared" si="61"/>
        <v>0</v>
      </c>
      <c r="AH110" s="13" t="e">
        <f t="shared" ref="AH110:AH139" si="75">ROUND(V110/(IF($D$12="CO1",$D$13,0)+IF($E$12="CO1",$E$13,0)+IF($F$12="CO1",$F$13,0)+IF($G$12="CO1",$G$13,0)+IF($H$12="CO1",$H$13,0)+IF($I$12="CO1",$I$13,0)+IF($J$12="CO1",$J$13,0)+IF($K$12="CO1",$K$13,0)+IF($L$12="CO1",$L$13,0)+IF($M$12="CO1",$M$13,0)+IF($N$12="CO1",$N$13,0)+IF($O$12="CO1",$O$13,0)+IF($P$12="CO1",$P$13,0)+IF($Q$12="CO1",$Q$13,0)+IF($R$12="CO1",$R$13,0)+IF($S$12="CO1",$S$13,0)+IF($T$12="CO1",$T$13,0))*100,2)</f>
        <v>#DIV/0!</v>
      </c>
      <c r="AI110" s="13" t="e">
        <f t="shared" ref="AI110:AI139" si="76">ROUND(W110/(IF($D$12="CO2",$D$13,0)+IF($E$12="CO2",$E$13,0)+IF($F$12="CO2",$F$13,0)+IF($G$12="CO2",$G$13,0)+IF($H$12="CO2",$H$13,0)+IF($I$12="CO2",$I$13,0)+IF($J$12="CO2",$J$13,0)+IF($K$12="CO2",$K$13,0)+IF($L$12="CO2",$L$13,0)+IF($M$12="CO2",$M$13,0)+IF($N$12="CO2",$N$13,0)+IF($O$12="CO2",$O$13,0)+IF($P$12="CO2",$P$13,0)+IF($Q$12="CO2",$Q$13,0)+IF($R$12="CO2",$R$13,0)+IF($S$12="CO2",$S$13,0)+IF($T$12="CO2",$T$13,0))*100,2)</f>
        <v>#DIV/0!</v>
      </c>
      <c r="AJ110" s="10" t="e">
        <f t="shared" ref="AJ110:AJ139" si="77">ROUND(X110/(IF($D$12="CO3",$D$13,0)+IF($E$12="CO3",$E$13,0)+IF($F$12="CO3",$F$13,0)+IF($G$12="CO3",$G$13,0)+IF($H$12="CO3",$H$13,0)+IF($I$12="CO3",$I$13,0)+IF($J$12="CO3",$J$13,0)+IF($K$12="CO3",$K$13,0)+IF($L$12="CO3",$L$13,0)+IF($M$12="CO3",$M$13,0)+IF($N$12="CO3",$N$13,0)+IF($O$12="CO3",$O$13,0)+IF($P$12="CO3",$P$13,0)+IF($Q$12="CO3",$Q$13,0)+IF($R$12="CO3",$R$13,0)+IF($S$12="CO3",$S$13,0)+IF($T$12="CO3",$T$13,0))*100,2)</f>
        <v>#DIV/0!</v>
      </c>
      <c r="AK110" s="6" t="e">
        <f t="shared" ref="AK110:AK139" si="78">ROUND(Y110/(IF($D$12="CO4",$D$13,0)+IF($E$12="CO4",$E$13,0)+IF($F$12="CO4",$F$13,0)+IF($G$12="CO4",$G$13,0)+IF($H$12="CO4",$H$13,0)+IF($I$12="CO4",$I$13,0)+IF($J$12="CO4",$J$13,0)+IF($K$12="CO4",$K$13,0)+IF($L$12="CO4",$L$13,0)+IF($M$12="CO4",$M$13,0)+IF($N$12="CO4",$N$13,0)+IF($O$12="CO4",$O$13,0)+IF($P$12="CO4",$P$13,0)+IF($Q$12="CO4",$Q$13,0)+IF($R$12="CO4",$R$13,0)+IF($S$12="CO4",$S$13,0)+IF($T$12="CO4",$T$13,0))*100,2)</f>
        <v>#DIV/0!</v>
      </c>
      <c r="AL110" s="6" t="e">
        <f t="shared" ref="AL110:AL139" si="79">ROUND(Z110/(IF($D$12="CO5",$D$13,0)+IF($E$12="CO5",$E$13,0)+IF($F$12="CO5",$F$13,0)+IF($G$12="CO5",$G$13,0)+IF($H$12="CO5",$H$13,0)+IF($I$12="CO5",$I$13,0)+IF($J$12="CO5",$J$13,0)+IF($K$12="CO5",$K$13,0)+IF($L$12="CO5",$L$13,0)+IF($M$12="CO5",$M$13,0)+IF($N$12="CO5",$N$13,0)+IF($O$12="CO5",$O$13,0)+IF($P$12="CO5",$P$13,0)+IF($Q$12="CO5",$Q$13,0)+IF($R$12="CO5",$R$13,0)+IF($S$12="CO5",$S$13,0)+IF($T$12="CO5",$T$13,0))*100,2)</f>
        <v>#DIV/0!</v>
      </c>
      <c r="AM110" s="6" t="e">
        <f t="shared" ref="AM110:AM139" si="80">ROUND(AA110/(IF($D$12="CO6",$D$13,0)+IF($E$12="CO6",$E$13,0)+IF($F$12="CO6",$F$13,0)+IF($G$12="CO6",$G$13,0)+IF($H$12="CO6",$H$13,0)+IF($I$12="CO6",$I$13,0)+IF($J$12="CO6",$J$13,0)+IF($K$12="CO6",$K$13,0)+IF($L$12="CO6",$L$13,0)+IF($M$12="CO6",$M$13,0)+IF($N$12="CO6",$N$13,0)+IF($O$12="CO6",$O$13,0)+IF($P$12="CO6",$P$13,0)+IF($Q$12="CO6",$Q$13,0)+IF($R$12="CO6",$R$13,0)+IF($S$12="CO6",$S$13,0)+IF($T$12="CO6",$T$13,0))*100,2)</f>
        <v>#DIV/0!</v>
      </c>
      <c r="AN110" s="6" t="e">
        <f t="shared" ref="AN110:AN139" si="81">ROUND(AB110/(IF($D$12="CO7",$D$13,0)+IF($E$12="CO7",$E$13,0)+IF($F$12="CO7",$F$13,0)+IF($G$12="CO7",$G$13,0)+IF($H$12="CO7",$H$13,0)+IF($I$12="CO7",$I$13,0)+IF($J$12="CO7",$J$13,0)+IF($K$12="CO7",$K$13,0)+IF($L$12="CO7",$L$13,0)+IF($M$12="CO7",$M$13,0)+IF($N$12="CO7",$N$13,0)+IF($O$12="CO7",$O$13,0)+IF($P$12="CO7",$P$13,0)+IF($Q$12="CO7",$Q$13,0)+IF($R$12="CO7",$R$13,0)+IF($S$12="CO7",$S$13,0)+IF($T$12="CO7",$T$13,0))*100,2)</f>
        <v>#DIV/0!</v>
      </c>
      <c r="AO110" s="57" t="e">
        <f t="shared" ref="AO110:AO139" si="82">ROUND(AC110/(IF($D$12="CO8",$D$13,0)+IF($E$12="CO8",$E$13,0)+IF($F$12="CO8",$F$13,0)+IF($G$12="CO8",$G$13,0)+IF($H$12="CO8",$H$13,0)+IF($I$12="CO8",$I$13,0)+IF($J$12="CO8",$J$13,0)+IF($K$12="CO8",$K$13,0)+IF($L$12="CO8",$L$13,0)+IF($M$12="CO8",$M$13,0)+IF($N$12="CO8",$N$13,0)+IF($O$12="CO8",$O$13,0)+IF($P$12="CO8",$P$13,0)+IF($Q$12="CO8",$Q$13,0)+IF($R$12="CO8",$R$13,0)+IF($S$12="CO8",$S$13,0)+IF($T$12="CO8",$T$13,0))*100,2)</f>
        <v>#DIV/0!</v>
      </c>
      <c r="AP110" s="57" t="e">
        <f t="shared" si="62"/>
        <v>#DIV/0!</v>
      </c>
      <c r="AQ110" s="57" t="e">
        <f t="shared" si="63"/>
        <v>#DIV/0!</v>
      </c>
      <c r="AR110" s="57" t="e">
        <f t="shared" si="64"/>
        <v>#DIV/0!</v>
      </c>
      <c r="AS110" s="57" t="e">
        <f t="shared" si="65"/>
        <v>#DIV/0!</v>
      </c>
    </row>
    <row r="111" spans="1:45" ht="33" hidden="1" customHeight="1">
      <c r="A111" s="22">
        <v>0</v>
      </c>
      <c r="B111" s="12"/>
      <c r="C111" s="203"/>
      <c r="D111" s="12"/>
      <c r="E111" s="12"/>
      <c r="F111" s="12"/>
      <c r="G111" s="12"/>
      <c r="H111" s="12"/>
      <c r="I111" s="12"/>
      <c r="J111" s="12"/>
      <c r="K111" s="12"/>
      <c r="L111" s="12"/>
      <c r="M111" s="12"/>
      <c r="N111" s="12"/>
      <c r="O111" s="57"/>
      <c r="P111" s="57"/>
      <c r="Q111" s="12"/>
      <c r="R111" s="12"/>
      <c r="S111" s="12"/>
      <c r="T111" s="12"/>
      <c r="U111" s="13">
        <f t="shared" si="42"/>
        <v>0</v>
      </c>
      <c r="V111" s="13">
        <f t="shared" si="66"/>
        <v>0</v>
      </c>
      <c r="W111" s="13">
        <f t="shared" si="67"/>
        <v>0</v>
      </c>
      <c r="X111" s="13">
        <f t="shared" si="68"/>
        <v>0</v>
      </c>
      <c r="Y111" s="13">
        <f t="shared" si="69"/>
        <v>0</v>
      </c>
      <c r="Z111" s="13">
        <f t="shared" si="70"/>
        <v>0</v>
      </c>
      <c r="AA111" s="13">
        <f t="shared" si="71"/>
        <v>0</v>
      </c>
      <c r="AB111" s="13">
        <f t="shared" si="72"/>
        <v>0</v>
      </c>
      <c r="AC111" s="23">
        <f t="shared" si="73"/>
        <v>0</v>
      </c>
      <c r="AD111" s="23">
        <f t="shared" si="74"/>
        <v>0</v>
      </c>
      <c r="AE111" s="23">
        <f t="shared" si="59"/>
        <v>0</v>
      </c>
      <c r="AF111" s="23">
        <f t="shared" si="60"/>
        <v>0</v>
      </c>
      <c r="AG111" s="23">
        <f t="shared" si="61"/>
        <v>0</v>
      </c>
      <c r="AH111" s="13" t="e">
        <f t="shared" si="75"/>
        <v>#DIV/0!</v>
      </c>
      <c r="AI111" s="13" t="e">
        <f t="shared" si="76"/>
        <v>#DIV/0!</v>
      </c>
      <c r="AJ111" s="10" t="e">
        <f t="shared" si="77"/>
        <v>#DIV/0!</v>
      </c>
      <c r="AK111" s="6" t="e">
        <f t="shared" si="78"/>
        <v>#DIV/0!</v>
      </c>
      <c r="AL111" s="6" t="e">
        <f t="shared" si="79"/>
        <v>#DIV/0!</v>
      </c>
      <c r="AM111" s="6" t="e">
        <f t="shared" si="80"/>
        <v>#DIV/0!</v>
      </c>
      <c r="AN111" s="6" t="e">
        <f t="shared" si="81"/>
        <v>#DIV/0!</v>
      </c>
      <c r="AO111" s="57" t="e">
        <f t="shared" si="82"/>
        <v>#DIV/0!</v>
      </c>
      <c r="AP111" s="57" t="e">
        <f t="shared" si="62"/>
        <v>#DIV/0!</v>
      </c>
      <c r="AQ111" s="57" t="e">
        <f t="shared" si="63"/>
        <v>#DIV/0!</v>
      </c>
      <c r="AR111" s="57" t="e">
        <f t="shared" si="64"/>
        <v>#DIV/0!</v>
      </c>
      <c r="AS111" s="57" t="e">
        <f t="shared" si="65"/>
        <v>#DIV/0!</v>
      </c>
    </row>
    <row r="112" spans="1:45" ht="33" hidden="1" customHeight="1">
      <c r="A112" s="22">
        <v>0</v>
      </c>
      <c r="B112" s="12"/>
      <c r="C112" s="203"/>
      <c r="D112" s="12"/>
      <c r="E112" s="12"/>
      <c r="F112" s="12"/>
      <c r="G112" s="12"/>
      <c r="H112" s="12"/>
      <c r="I112" s="12"/>
      <c r="J112" s="12"/>
      <c r="K112" s="12"/>
      <c r="L112" s="12"/>
      <c r="M112" s="12"/>
      <c r="N112" s="12"/>
      <c r="O112" s="57"/>
      <c r="P112" s="57"/>
      <c r="Q112" s="12"/>
      <c r="R112" s="12"/>
      <c r="S112" s="12"/>
      <c r="T112" s="12"/>
      <c r="U112" s="13">
        <f t="shared" si="42"/>
        <v>0</v>
      </c>
      <c r="V112" s="13">
        <f t="shared" si="66"/>
        <v>0</v>
      </c>
      <c r="W112" s="13">
        <f t="shared" si="67"/>
        <v>0</v>
      </c>
      <c r="X112" s="13">
        <f t="shared" si="68"/>
        <v>0</v>
      </c>
      <c r="Y112" s="13">
        <f t="shared" si="69"/>
        <v>0</v>
      </c>
      <c r="Z112" s="13">
        <f t="shared" si="70"/>
        <v>0</v>
      </c>
      <c r="AA112" s="13">
        <f t="shared" si="71"/>
        <v>0</v>
      </c>
      <c r="AB112" s="13">
        <f t="shared" si="72"/>
        <v>0</v>
      </c>
      <c r="AC112" s="23">
        <f t="shared" si="73"/>
        <v>0</v>
      </c>
      <c r="AD112" s="23">
        <f t="shared" si="74"/>
        <v>0</v>
      </c>
      <c r="AE112" s="23">
        <f t="shared" si="59"/>
        <v>0</v>
      </c>
      <c r="AF112" s="23">
        <f t="shared" si="60"/>
        <v>0</v>
      </c>
      <c r="AG112" s="23">
        <f t="shared" si="61"/>
        <v>0</v>
      </c>
      <c r="AH112" s="13" t="e">
        <f t="shared" si="75"/>
        <v>#DIV/0!</v>
      </c>
      <c r="AI112" s="13" t="e">
        <f t="shared" si="76"/>
        <v>#DIV/0!</v>
      </c>
      <c r="AJ112" s="10" t="e">
        <f t="shared" si="77"/>
        <v>#DIV/0!</v>
      </c>
      <c r="AK112" s="6" t="e">
        <f t="shared" si="78"/>
        <v>#DIV/0!</v>
      </c>
      <c r="AL112" s="6" t="e">
        <f t="shared" si="79"/>
        <v>#DIV/0!</v>
      </c>
      <c r="AM112" s="6" t="e">
        <f t="shared" si="80"/>
        <v>#DIV/0!</v>
      </c>
      <c r="AN112" s="6" t="e">
        <f t="shared" si="81"/>
        <v>#DIV/0!</v>
      </c>
      <c r="AO112" s="57" t="e">
        <f t="shared" si="82"/>
        <v>#DIV/0!</v>
      </c>
      <c r="AP112" s="57" t="e">
        <f t="shared" si="62"/>
        <v>#DIV/0!</v>
      </c>
      <c r="AQ112" s="57" t="e">
        <f t="shared" si="63"/>
        <v>#DIV/0!</v>
      </c>
      <c r="AR112" s="57" t="e">
        <f t="shared" si="64"/>
        <v>#DIV/0!</v>
      </c>
      <c r="AS112" s="57" t="e">
        <f t="shared" si="65"/>
        <v>#DIV/0!</v>
      </c>
    </row>
    <row r="113" spans="1:45" ht="33" hidden="1" customHeight="1">
      <c r="A113" s="22">
        <v>0</v>
      </c>
      <c r="B113" s="12"/>
      <c r="C113" s="203"/>
      <c r="D113" s="12"/>
      <c r="E113" s="12"/>
      <c r="F113" s="12"/>
      <c r="G113" s="12"/>
      <c r="H113" s="12"/>
      <c r="I113" s="12"/>
      <c r="J113" s="12"/>
      <c r="K113" s="12"/>
      <c r="L113" s="12"/>
      <c r="M113" s="12"/>
      <c r="N113" s="12"/>
      <c r="O113" s="57"/>
      <c r="P113" s="57"/>
      <c r="Q113" s="12"/>
      <c r="R113" s="12"/>
      <c r="S113" s="12"/>
      <c r="T113" s="12"/>
      <c r="U113" s="13">
        <f t="shared" si="42"/>
        <v>0</v>
      </c>
      <c r="V113" s="13">
        <f t="shared" si="66"/>
        <v>0</v>
      </c>
      <c r="W113" s="13">
        <f t="shared" si="67"/>
        <v>0</v>
      </c>
      <c r="X113" s="13">
        <f t="shared" si="68"/>
        <v>0</v>
      </c>
      <c r="Y113" s="13">
        <f t="shared" si="69"/>
        <v>0</v>
      </c>
      <c r="Z113" s="13">
        <f t="shared" si="70"/>
        <v>0</v>
      </c>
      <c r="AA113" s="13">
        <f t="shared" si="71"/>
        <v>0</v>
      </c>
      <c r="AB113" s="13">
        <f t="shared" si="72"/>
        <v>0</v>
      </c>
      <c r="AC113" s="23">
        <f t="shared" si="73"/>
        <v>0</v>
      </c>
      <c r="AD113" s="23">
        <f t="shared" si="74"/>
        <v>0</v>
      </c>
      <c r="AE113" s="23">
        <f t="shared" si="59"/>
        <v>0</v>
      </c>
      <c r="AF113" s="23">
        <f t="shared" si="60"/>
        <v>0</v>
      </c>
      <c r="AG113" s="23">
        <f t="shared" si="61"/>
        <v>0</v>
      </c>
      <c r="AH113" s="13" t="e">
        <f t="shared" si="75"/>
        <v>#DIV/0!</v>
      </c>
      <c r="AI113" s="13" t="e">
        <f t="shared" si="76"/>
        <v>#DIV/0!</v>
      </c>
      <c r="AJ113" s="10" t="e">
        <f t="shared" si="77"/>
        <v>#DIV/0!</v>
      </c>
      <c r="AK113" s="6" t="e">
        <f t="shared" si="78"/>
        <v>#DIV/0!</v>
      </c>
      <c r="AL113" s="6" t="e">
        <f t="shared" si="79"/>
        <v>#DIV/0!</v>
      </c>
      <c r="AM113" s="6" t="e">
        <f t="shared" si="80"/>
        <v>#DIV/0!</v>
      </c>
      <c r="AN113" s="6" t="e">
        <f t="shared" si="81"/>
        <v>#DIV/0!</v>
      </c>
      <c r="AO113" s="57" t="e">
        <f t="shared" si="82"/>
        <v>#DIV/0!</v>
      </c>
      <c r="AP113" s="57" t="e">
        <f t="shared" si="62"/>
        <v>#DIV/0!</v>
      </c>
      <c r="AQ113" s="57" t="e">
        <f t="shared" si="63"/>
        <v>#DIV/0!</v>
      </c>
      <c r="AR113" s="57" t="e">
        <f t="shared" si="64"/>
        <v>#DIV/0!</v>
      </c>
      <c r="AS113" s="57" t="e">
        <f t="shared" si="65"/>
        <v>#DIV/0!</v>
      </c>
    </row>
    <row r="114" spans="1:45" ht="33" hidden="1" customHeight="1">
      <c r="A114" s="22">
        <v>0</v>
      </c>
      <c r="B114" s="12"/>
      <c r="C114" s="203"/>
      <c r="D114" s="12"/>
      <c r="E114" s="12"/>
      <c r="F114" s="12"/>
      <c r="G114" s="12"/>
      <c r="H114" s="12"/>
      <c r="I114" s="12"/>
      <c r="J114" s="12"/>
      <c r="K114" s="12"/>
      <c r="L114" s="12"/>
      <c r="M114" s="12"/>
      <c r="N114" s="12"/>
      <c r="O114" s="57"/>
      <c r="P114" s="57"/>
      <c r="Q114" s="12"/>
      <c r="R114" s="12"/>
      <c r="S114" s="12"/>
      <c r="T114" s="12"/>
      <c r="U114" s="13">
        <f t="shared" si="42"/>
        <v>0</v>
      </c>
      <c r="V114" s="13">
        <f t="shared" si="66"/>
        <v>0</v>
      </c>
      <c r="W114" s="13">
        <f t="shared" si="67"/>
        <v>0</v>
      </c>
      <c r="X114" s="13">
        <f t="shared" si="68"/>
        <v>0</v>
      </c>
      <c r="Y114" s="13">
        <f t="shared" si="69"/>
        <v>0</v>
      </c>
      <c r="Z114" s="13">
        <f t="shared" si="70"/>
        <v>0</v>
      </c>
      <c r="AA114" s="13">
        <f t="shared" si="71"/>
        <v>0</v>
      </c>
      <c r="AB114" s="13">
        <f t="shared" si="72"/>
        <v>0</v>
      </c>
      <c r="AC114" s="23">
        <f t="shared" si="73"/>
        <v>0</v>
      </c>
      <c r="AD114" s="23">
        <f t="shared" si="74"/>
        <v>0</v>
      </c>
      <c r="AE114" s="23">
        <f t="shared" si="59"/>
        <v>0</v>
      </c>
      <c r="AF114" s="23">
        <f t="shared" si="60"/>
        <v>0</v>
      </c>
      <c r="AG114" s="23">
        <f t="shared" si="61"/>
        <v>0</v>
      </c>
      <c r="AH114" s="13" t="e">
        <f t="shared" si="75"/>
        <v>#DIV/0!</v>
      </c>
      <c r="AI114" s="13" t="e">
        <f t="shared" si="76"/>
        <v>#DIV/0!</v>
      </c>
      <c r="AJ114" s="10" t="e">
        <f t="shared" si="77"/>
        <v>#DIV/0!</v>
      </c>
      <c r="AK114" s="6" t="e">
        <f t="shared" si="78"/>
        <v>#DIV/0!</v>
      </c>
      <c r="AL114" s="6" t="e">
        <f t="shared" si="79"/>
        <v>#DIV/0!</v>
      </c>
      <c r="AM114" s="6" t="e">
        <f t="shared" si="80"/>
        <v>#DIV/0!</v>
      </c>
      <c r="AN114" s="6" t="e">
        <f t="shared" si="81"/>
        <v>#DIV/0!</v>
      </c>
      <c r="AO114" s="57" t="e">
        <f t="shared" si="82"/>
        <v>#DIV/0!</v>
      </c>
      <c r="AP114" s="57" t="e">
        <f t="shared" si="62"/>
        <v>#DIV/0!</v>
      </c>
      <c r="AQ114" s="57" t="e">
        <f t="shared" si="63"/>
        <v>#DIV/0!</v>
      </c>
      <c r="AR114" s="57" t="e">
        <f t="shared" si="64"/>
        <v>#DIV/0!</v>
      </c>
      <c r="AS114" s="57" t="e">
        <f t="shared" si="65"/>
        <v>#DIV/0!</v>
      </c>
    </row>
    <row r="115" spans="1:45" ht="33" hidden="1" customHeight="1">
      <c r="A115" s="22">
        <v>0</v>
      </c>
      <c r="B115" s="12"/>
      <c r="C115" s="203"/>
      <c r="D115" s="12"/>
      <c r="E115" s="12"/>
      <c r="F115" s="12"/>
      <c r="G115" s="12"/>
      <c r="H115" s="12"/>
      <c r="I115" s="12"/>
      <c r="J115" s="12"/>
      <c r="K115" s="12"/>
      <c r="L115" s="12"/>
      <c r="M115" s="12"/>
      <c r="N115" s="12"/>
      <c r="O115" s="57"/>
      <c r="P115" s="57"/>
      <c r="Q115" s="12"/>
      <c r="R115" s="12"/>
      <c r="S115" s="12"/>
      <c r="T115" s="12"/>
      <c r="U115" s="13">
        <f t="shared" si="42"/>
        <v>0</v>
      </c>
      <c r="V115" s="13">
        <f t="shared" si="66"/>
        <v>0</v>
      </c>
      <c r="W115" s="13">
        <f t="shared" si="67"/>
        <v>0</v>
      </c>
      <c r="X115" s="13">
        <f t="shared" si="68"/>
        <v>0</v>
      </c>
      <c r="Y115" s="13">
        <f t="shared" si="69"/>
        <v>0</v>
      </c>
      <c r="Z115" s="13">
        <f t="shared" si="70"/>
        <v>0</v>
      </c>
      <c r="AA115" s="13">
        <f t="shared" si="71"/>
        <v>0</v>
      </c>
      <c r="AB115" s="13">
        <f t="shared" si="72"/>
        <v>0</v>
      </c>
      <c r="AC115" s="23">
        <f t="shared" si="73"/>
        <v>0</v>
      </c>
      <c r="AD115" s="23">
        <f t="shared" si="74"/>
        <v>0</v>
      </c>
      <c r="AE115" s="23">
        <f t="shared" si="59"/>
        <v>0</v>
      </c>
      <c r="AF115" s="23">
        <f t="shared" si="60"/>
        <v>0</v>
      </c>
      <c r="AG115" s="23">
        <f t="shared" si="61"/>
        <v>0</v>
      </c>
      <c r="AH115" s="13" t="e">
        <f t="shared" si="75"/>
        <v>#DIV/0!</v>
      </c>
      <c r="AI115" s="13" t="e">
        <f t="shared" si="76"/>
        <v>#DIV/0!</v>
      </c>
      <c r="AJ115" s="10" t="e">
        <f t="shared" si="77"/>
        <v>#DIV/0!</v>
      </c>
      <c r="AK115" s="6" t="e">
        <f t="shared" si="78"/>
        <v>#DIV/0!</v>
      </c>
      <c r="AL115" s="6" t="e">
        <f t="shared" si="79"/>
        <v>#DIV/0!</v>
      </c>
      <c r="AM115" s="6" t="e">
        <f t="shared" si="80"/>
        <v>#DIV/0!</v>
      </c>
      <c r="AN115" s="6" t="e">
        <f t="shared" si="81"/>
        <v>#DIV/0!</v>
      </c>
      <c r="AO115" s="57" t="e">
        <f t="shared" si="82"/>
        <v>#DIV/0!</v>
      </c>
      <c r="AP115" s="57" t="e">
        <f t="shared" si="62"/>
        <v>#DIV/0!</v>
      </c>
      <c r="AQ115" s="57" t="e">
        <f t="shared" si="63"/>
        <v>#DIV/0!</v>
      </c>
      <c r="AR115" s="57" t="e">
        <f t="shared" si="64"/>
        <v>#DIV/0!</v>
      </c>
      <c r="AS115" s="57" t="e">
        <f t="shared" si="65"/>
        <v>#DIV/0!</v>
      </c>
    </row>
    <row r="116" spans="1:45" ht="33" hidden="1" customHeight="1">
      <c r="A116" s="22">
        <v>0</v>
      </c>
      <c r="B116" s="12"/>
      <c r="C116" s="203"/>
      <c r="D116" s="12"/>
      <c r="E116" s="12"/>
      <c r="F116" s="12"/>
      <c r="G116" s="12"/>
      <c r="H116" s="12"/>
      <c r="I116" s="12"/>
      <c r="J116" s="12"/>
      <c r="K116" s="12"/>
      <c r="L116" s="12"/>
      <c r="M116" s="12"/>
      <c r="N116" s="12"/>
      <c r="O116" s="57"/>
      <c r="P116" s="57"/>
      <c r="Q116" s="12"/>
      <c r="R116" s="12"/>
      <c r="S116" s="12"/>
      <c r="T116" s="12"/>
      <c r="U116" s="13">
        <f t="shared" si="42"/>
        <v>0</v>
      </c>
      <c r="V116" s="13">
        <f t="shared" si="66"/>
        <v>0</v>
      </c>
      <c r="W116" s="13">
        <f t="shared" si="67"/>
        <v>0</v>
      </c>
      <c r="X116" s="13">
        <f t="shared" si="68"/>
        <v>0</v>
      </c>
      <c r="Y116" s="13">
        <f t="shared" si="69"/>
        <v>0</v>
      </c>
      <c r="Z116" s="13">
        <f t="shared" si="70"/>
        <v>0</v>
      </c>
      <c r="AA116" s="13">
        <f t="shared" si="71"/>
        <v>0</v>
      </c>
      <c r="AB116" s="13">
        <f t="shared" si="72"/>
        <v>0</v>
      </c>
      <c r="AC116" s="23">
        <f t="shared" si="73"/>
        <v>0</v>
      </c>
      <c r="AD116" s="23">
        <f t="shared" si="74"/>
        <v>0</v>
      </c>
      <c r="AE116" s="23">
        <f t="shared" si="59"/>
        <v>0</v>
      </c>
      <c r="AF116" s="23">
        <f t="shared" si="60"/>
        <v>0</v>
      </c>
      <c r="AG116" s="23">
        <f t="shared" si="61"/>
        <v>0</v>
      </c>
      <c r="AH116" s="13" t="e">
        <f t="shared" si="75"/>
        <v>#DIV/0!</v>
      </c>
      <c r="AI116" s="13" t="e">
        <f t="shared" si="76"/>
        <v>#DIV/0!</v>
      </c>
      <c r="AJ116" s="10" t="e">
        <f t="shared" si="77"/>
        <v>#DIV/0!</v>
      </c>
      <c r="AK116" s="6" t="e">
        <f t="shared" si="78"/>
        <v>#DIV/0!</v>
      </c>
      <c r="AL116" s="6" t="e">
        <f t="shared" si="79"/>
        <v>#DIV/0!</v>
      </c>
      <c r="AM116" s="6" t="e">
        <f t="shared" si="80"/>
        <v>#DIV/0!</v>
      </c>
      <c r="AN116" s="6" t="e">
        <f t="shared" si="81"/>
        <v>#DIV/0!</v>
      </c>
      <c r="AO116" s="57" t="e">
        <f t="shared" si="82"/>
        <v>#DIV/0!</v>
      </c>
      <c r="AP116" s="57" t="e">
        <f t="shared" si="62"/>
        <v>#DIV/0!</v>
      </c>
      <c r="AQ116" s="57" t="e">
        <f t="shared" si="63"/>
        <v>#DIV/0!</v>
      </c>
      <c r="AR116" s="57" t="e">
        <f t="shared" si="64"/>
        <v>#DIV/0!</v>
      </c>
      <c r="AS116" s="57" t="e">
        <f t="shared" si="65"/>
        <v>#DIV/0!</v>
      </c>
    </row>
    <row r="117" spans="1:45" ht="33" hidden="1" customHeight="1">
      <c r="A117" s="22">
        <v>0</v>
      </c>
      <c r="B117" s="12"/>
      <c r="C117" s="203"/>
      <c r="D117" s="12"/>
      <c r="E117" s="12"/>
      <c r="F117" s="12"/>
      <c r="G117" s="12"/>
      <c r="H117" s="12"/>
      <c r="I117" s="12"/>
      <c r="J117" s="12"/>
      <c r="K117" s="12"/>
      <c r="L117" s="12"/>
      <c r="M117" s="12"/>
      <c r="N117" s="12"/>
      <c r="O117" s="57"/>
      <c r="P117" s="57"/>
      <c r="Q117" s="12"/>
      <c r="R117" s="12"/>
      <c r="S117" s="12"/>
      <c r="T117" s="12"/>
      <c r="U117" s="13">
        <f t="shared" si="42"/>
        <v>0</v>
      </c>
      <c r="V117" s="13">
        <f t="shared" si="66"/>
        <v>0</v>
      </c>
      <c r="W117" s="13">
        <f t="shared" si="67"/>
        <v>0</v>
      </c>
      <c r="X117" s="13">
        <f t="shared" si="68"/>
        <v>0</v>
      </c>
      <c r="Y117" s="13">
        <f t="shared" si="69"/>
        <v>0</v>
      </c>
      <c r="Z117" s="13">
        <f t="shared" si="70"/>
        <v>0</v>
      </c>
      <c r="AA117" s="13">
        <f t="shared" si="71"/>
        <v>0</v>
      </c>
      <c r="AB117" s="13">
        <f t="shared" si="72"/>
        <v>0</v>
      </c>
      <c r="AC117" s="23">
        <f t="shared" si="73"/>
        <v>0</v>
      </c>
      <c r="AD117" s="23">
        <f t="shared" si="74"/>
        <v>0</v>
      </c>
      <c r="AE117" s="23">
        <f t="shared" si="59"/>
        <v>0</v>
      </c>
      <c r="AF117" s="23">
        <f t="shared" si="60"/>
        <v>0</v>
      </c>
      <c r="AG117" s="23">
        <f t="shared" si="61"/>
        <v>0</v>
      </c>
      <c r="AH117" s="13" t="e">
        <f t="shared" si="75"/>
        <v>#DIV/0!</v>
      </c>
      <c r="AI117" s="13" t="e">
        <f t="shared" si="76"/>
        <v>#DIV/0!</v>
      </c>
      <c r="AJ117" s="10" t="e">
        <f t="shared" si="77"/>
        <v>#DIV/0!</v>
      </c>
      <c r="AK117" s="6" t="e">
        <f t="shared" si="78"/>
        <v>#DIV/0!</v>
      </c>
      <c r="AL117" s="6" t="e">
        <f t="shared" si="79"/>
        <v>#DIV/0!</v>
      </c>
      <c r="AM117" s="6" t="e">
        <f t="shared" si="80"/>
        <v>#DIV/0!</v>
      </c>
      <c r="AN117" s="6" t="e">
        <f t="shared" si="81"/>
        <v>#DIV/0!</v>
      </c>
      <c r="AO117" s="57" t="e">
        <f t="shared" si="82"/>
        <v>#DIV/0!</v>
      </c>
      <c r="AP117" s="57" t="e">
        <f t="shared" si="62"/>
        <v>#DIV/0!</v>
      </c>
      <c r="AQ117" s="57" t="e">
        <f t="shared" si="63"/>
        <v>#DIV/0!</v>
      </c>
      <c r="AR117" s="57" t="e">
        <f t="shared" si="64"/>
        <v>#DIV/0!</v>
      </c>
      <c r="AS117" s="57" t="e">
        <f t="shared" si="65"/>
        <v>#DIV/0!</v>
      </c>
    </row>
    <row r="118" spans="1:45" ht="33" hidden="1" customHeight="1">
      <c r="A118" s="22">
        <v>0</v>
      </c>
      <c r="B118" s="12"/>
      <c r="C118" s="203"/>
      <c r="D118" s="12"/>
      <c r="E118" s="12"/>
      <c r="F118" s="12"/>
      <c r="G118" s="12"/>
      <c r="H118" s="12"/>
      <c r="I118" s="12"/>
      <c r="J118" s="12"/>
      <c r="K118" s="12"/>
      <c r="L118" s="12"/>
      <c r="M118" s="12"/>
      <c r="N118" s="12"/>
      <c r="O118" s="57"/>
      <c r="P118" s="57"/>
      <c r="Q118" s="12"/>
      <c r="R118" s="12"/>
      <c r="S118" s="12"/>
      <c r="T118" s="12"/>
      <c r="U118" s="13">
        <f t="shared" si="42"/>
        <v>0</v>
      </c>
      <c r="V118" s="13">
        <f t="shared" si="66"/>
        <v>0</v>
      </c>
      <c r="W118" s="13">
        <f t="shared" si="67"/>
        <v>0</v>
      </c>
      <c r="X118" s="13">
        <f t="shared" si="68"/>
        <v>0</v>
      </c>
      <c r="Y118" s="13">
        <f t="shared" si="69"/>
        <v>0</v>
      </c>
      <c r="Z118" s="13">
        <f t="shared" si="70"/>
        <v>0</v>
      </c>
      <c r="AA118" s="13">
        <f t="shared" si="71"/>
        <v>0</v>
      </c>
      <c r="AB118" s="13">
        <f t="shared" si="72"/>
        <v>0</v>
      </c>
      <c r="AC118" s="23">
        <f t="shared" si="73"/>
        <v>0</v>
      </c>
      <c r="AD118" s="23">
        <f t="shared" si="74"/>
        <v>0</v>
      </c>
      <c r="AE118" s="23">
        <f t="shared" si="59"/>
        <v>0</v>
      </c>
      <c r="AF118" s="23">
        <f t="shared" si="60"/>
        <v>0</v>
      </c>
      <c r="AG118" s="23">
        <f t="shared" si="61"/>
        <v>0</v>
      </c>
      <c r="AH118" s="13" t="e">
        <f t="shared" si="75"/>
        <v>#DIV/0!</v>
      </c>
      <c r="AI118" s="13" t="e">
        <f t="shared" si="76"/>
        <v>#DIV/0!</v>
      </c>
      <c r="AJ118" s="10" t="e">
        <f t="shared" si="77"/>
        <v>#DIV/0!</v>
      </c>
      <c r="AK118" s="6" t="e">
        <f t="shared" si="78"/>
        <v>#DIV/0!</v>
      </c>
      <c r="AL118" s="6" t="e">
        <f t="shared" si="79"/>
        <v>#DIV/0!</v>
      </c>
      <c r="AM118" s="6" t="e">
        <f t="shared" si="80"/>
        <v>#DIV/0!</v>
      </c>
      <c r="AN118" s="6" t="e">
        <f t="shared" si="81"/>
        <v>#DIV/0!</v>
      </c>
      <c r="AO118" s="57" t="e">
        <f t="shared" si="82"/>
        <v>#DIV/0!</v>
      </c>
      <c r="AP118" s="57" t="e">
        <f t="shared" si="62"/>
        <v>#DIV/0!</v>
      </c>
      <c r="AQ118" s="57" t="e">
        <f t="shared" si="63"/>
        <v>#DIV/0!</v>
      </c>
      <c r="AR118" s="57" t="e">
        <f t="shared" si="64"/>
        <v>#DIV/0!</v>
      </c>
      <c r="AS118" s="57" t="e">
        <f t="shared" si="65"/>
        <v>#DIV/0!</v>
      </c>
    </row>
    <row r="119" spans="1:45" ht="33" hidden="1" customHeight="1">
      <c r="A119" s="22">
        <v>0</v>
      </c>
      <c r="B119" s="12"/>
      <c r="C119" s="203"/>
      <c r="D119" s="12"/>
      <c r="E119" s="12"/>
      <c r="F119" s="12"/>
      <c r="G119" s="12"/>
      <c r="H119" s="12"/>
      <c r="I119" s="12"/>
      <c r="J119" s="12"/>
      <c r="K119" s="12"/>
      <c r="L119" s="12"/>
      <c r="M119" s="12"/>
      <c r="N119" s="12"/>
      <c r="O119" s="57"/>
      <c r="P119" s="57"/>
      <c r="Q119" s="12"/>
      <c r="R119" s="12"/>
      <c r="S119" s="12"/>
      <c r="T119" s="12"/>
      <c r="U119" s="13">
        <f t="shared" si="42"/>
        <v>0</v>
      </c>
      <c r="V119" s="13">
        <f t="shared" si="66"/>
        <v>0</v>
      </c>
      <c r="W119" s="13">
        <f t="shared" si="67"/>
        <v>0</v>
      </c>
      <c r="X119" s="13">
        <f t="shared" si="68"/>
        <v>0</v>
      </c>
      <c r="Y119" s="13">
        <f t="shared" si="69"/>
        <v>0</v>
      </c>
      <c r="Z119" s="13">
        <f t="shared" si="70"/>
        <v>0</v>
      </c>
      <c r="AA119" s="13">
        <f t="shared" si="71"/>
        <v>0</v>
      </c>
      <c r="AB119" s="13">
        <f t="shared" si="72"/>
        <v>0</v>
      </c>
      <c r="AC119" s="23">
        <f t="shared" si="73"/>
        <v>0</v>
      </c>
      <c r="AD119" s="23">
        <f t="shared" si="74"/>
        <v>0</v>
      </c>
      <c r="AE119" s="23">
        <f t="shared" si="59"/>
        <v>0</v>
      </c>
      <c r="AF119" s="23">
        <f t="shared" si="60"/>
        <v>0</v>
      </c>
      <c r="AG119" s="23">
        <f t="shared" si="61"/>
        <v>0</v>
      </c>
      <c r="AH119" s="13" t="e">
        <f t="shared" si="75"/>
        <v>#DIV/0!</v>
      </c>
      <c r="AI119" s="13" t="e">
        <f t="shared" si="76"/>
        <v>#DIV/0!</v>
      </c>
      <c r="AJ119" s="10" t="e">
        <f t="shared" si="77"/>
        <v>#DIV/0!</v>
      </c>
      <c r="AK119" s="6" t="e">
        <f t="shared" si="78"/>
        <v>#DIV/0!</v>
      </c>
      <c r="AL119" s="6" t="e">
        <f t="shared" si="79"/>
        <v>#DIV/0!</v>
      </c>
      <c r="AM119" s="6" t="e">
        <f t="shared" si="80"/>
        <v>#DIV/0!</v>
      </c>
      <c r="AN119" s="6" t="e">
        <f t="shared" si="81"/>
        <v>#DIV/0!</v>
      </c>
      <c r="AO119" s="57" t="e">
        <f t="shared" si="82"/>
        <v>#DIV/0!</v>
      </c>
      <c r="AP119" s="57" t="e">
        <f t="shared" si="62"/>
        <v>#DIV/0!</v>
      </c>
      <c r="AQ119" s="57" t="e">
        <f t="shared" si="63"/>
        <v>#DIV/0!</v>
      </c>
      <c r="AR119" s="57" t="e">
        <f t="shared" si="64"/>
        <v>#DIV/0!</v>
      </c>
      <c r="AS119" s="57" t="e">
        <f t="shared" si="65"/>
        <v>#DIV/0!</v>
      </c>
    </row>
    <row r="120" spans="1:45" ht="33" hidden="1" customHeight="1">
      <c r="A120" s="22">
        <v>0</v>
      </c>
      <c r="B120" s="12"/>
      <c r="C120" s="203"/>
      <c r="D120" s="12"/>
      <c r="E120" s="12"/>
      <c r="F120" s="12"/>
      <c r="G120" s="12"/>
      <c r="H120" s="12"/>
      <c r="I120" s="12"/>
      <c r="J120" s="12"/>
      <c r="K120" s="12"/>
      <c r="L120" s="12"/>
      <c r="M120" s="12"/>
      <c r="N120" s="12"/>
      <c r="O120" s="57"/>
      <c r="P120" s="57"/>
      <c r="Q120" s="12"/>
      <c r="R120" s="12"/>
      <c r="S120" s="12"/>
      <c r="T120" s="12"/>
      <c r="U120" s="13">
        <f t="shared" si="42"/>
        <v>0</v>
      </c>
      <c r="V120" s="13">
        <f t="shared" si="66"/>
        <v>0</v>
      </c>
      <c r="W120" s="13">
        <f t="shared" si="67"/>
        <v>0</v>
      </c>
      <c r="X120" s="13">
        <f t="shared" si="68"/>
        <v>0</v>
      </c>
      <c r="Y120" s="13">
        <f t="shared" si="69"/>
        <v>0</v>
      </c>
      <c r="Z120" s="13">
        <f t="shared" si="70"/>
        <v>0</v>
      </c>
      <c r="AA120" s="13">
        <f t="shared" si="71"/>
        <v>0</v>
      </c>
      <c r="AB120" s="13">
        <f t="shared" si="72"/>
        <v>0</v>
      </c>
      <c r="AC120" s="23">
        <f t="shared" si="73"/>
        <v>0</v>
      </c>
      <c r="AD120" s="23">
        <f t="shared" si="74"/>
        <v>0</v>
      </c>
      <c r="AE120" s="23">
        <f t="shared" si="59"/>
        <v>0</v>
      </c>
      <c r="AF120" s="23">
        <f t="shared" si="60"/>
        <v>0</v>
      </c>
      <c r="AG120" s="23">
        <f t="shared" si="61"/>
        <v>0</v>
      </c>
      <c r="AH120" s="13" t="e">
        <f t="shared" si="75"/>
        <v>#DIV/0!</v>
      </c>
      <c r="AI120" s="13" t="e">
        <f t="shared" si="76"/>
        <v>#DIV/0!</v>
      </c>
      <c r="AJ120" s="10" t="e">
        <f t="shared" si="77"/>
        <v>#DIV/0!</v>
      </c>
      <c r="AK120" s="6" t="e">
        <f t="shared" si="78"/>
        <v>#DIV/0!</v>
      </c>
      <c r="AL120" s="6" t="e">
        <f t="shared" si="79"/>
        <v>#DIV/0!</v>
      </c>
      <c r="AM120" s="6" t="e">
        <f t="shared" si="80"/>
        <v>#DIV/0!</v>
      </c>
      <c r="AN120" s="6" t="e">
        <f t="shared" si="81"/>
        <v>#DIV/0!</v>
      </c>
      <c r="AO120" s="57" t="e">
        <f t="shared" si="82"/>
        <v>#DIV/0!</v>
      </c>
      <c r="AP120" s="57" t="e">
        <f t="shared" si="62"/>
        <v>#DIV/0!</v>
      </c>
      <c r="AQ120" s="57" t="e">
        <f t="shared" si="63"/>
        <v>#DIV/0!</v>
      </c>
      <c r="AR120" s="57" t="e">
        <f t="shared" si="64"/>
        <v>#DIV/0!</v>
      </c>
      <c r="AS120" s="57" t="e">
        <f t="shared" si="65"/>
        <v>#DIV/0!</v>
      </c>
    </row>
    <row r="121" spans="1:45" ht="33" hidden="1" customHeight="1">
      <c r="A121" s="22">
        <v>0</v>
      </c>
      <c r="B121" s="12"/>
      <c r="C121" s="203"/>
      <c r="D121" s="12"/>
      <c r="E121" s="12"/>
      <c r="F121" s="12"/>
      <c r="G121" s="12"/>
      <c r="H121" s="12"/>
      <c r="I121" s="12"/>
      <c r="J121" s="12"/>
      <c r="K121" s="12"/>
      <c r="L121" s="12"/>
      <c r="M121" s="12"/>
      <c r="N121" s="12"/>
      <c r="O121" s="57"/>
      <c r="P121" s="57"/>
      <c r="Q121" s="12"/>
      <c r="R121" s="12"/>
      <c r="S121" s="12"/>
      <c r="T121" s="12"/>
      <c r="U121" s="13">
        <f t="shared" si="42"/>
        <v>0</v>
      </c>
      <c r="V121" s="13">
        <f t="shared" si="66"/>
        <v>0</v>
      </c>
      <c r="W121" s="13">
        <f t="shared" si="67"/>
        <v>0</v>
      </c>
      <c r="X121" s="13">
        <f t="shared" si="68"/>
        <v>0</v>
      </c>
      <c r="Y121" s="13">
        <f t="shared" si="69"/>
        <v>0</v>
      </c>
      <c r="Z121" s="13">
        <f t="shared" si="70"/>
        <v>0</v>
      </c>
      <c r="AA121" s="13">
        <f t="shared" si="71"/>
        <v>0</v>
      </c>
      <c r="AB121" s="13">
        <f t="shared" si="72"/>
        <v>0</v>
      </c>
      <c r="AC121" s="23">
        <f t="shared" si="73"/>
        <v>0</v>
      </c>
      <c r="AD121" s="23">
        <f t="shared" si="74"/>
        <v>0</v>
      </c>
      <c r="AE121" s="23">
        <f t="shared" si="59"/>
        <v>0</v>
      </c>
      <c r="AF121" s="23">
        <f t="shared" si="60"/>
        <v>0</v>
      </c>
      <c r="AG121" s="23">
        <f t="shared" si="61"/>
        <v>0</v>
      </c>
      <c r="AH121" s="13" t="e">
        <f t="shared" si="75"/>
        <v>#DIV/0!</v>
      </c>
      <c r="AI121" s="13" t="e">
        <f t="shared" si="76"/>
        <v>#DIV/0!</v>
      </c>
      <c r="AJ121" s="10" t="e">
        <f t="shared" si="77"/>
        <v>#DIV/0!</v>
      </c>
      <c r="AK121" s="6" t="e">
        <f t="shared" si="78"/>
        <v>#DIV/0!</v>
      </c>
      <c r="AL121" s="6" t="e">
        <f t="shared" si="79"/>
        <v>#DIV/0!</v>
      </c>
      <c r="AM121" s="6" t="e">
        <f t="shared" si="80"/>
        <v>#DIV/0!</v>
      </c>
      <c r="AN121" s="6" t="e">
        <f t="shared" si="81"/>
        <v>#DIV/0!</v>
      </c>
      <c r="AO121" s="57" t="e">
        <f t="shared" si="82"/>
        <v>#DIV/0!</v>
      </c>
      <c r="AP121" s="57" t="e">
        <f t="shared" si="62"/>
        <v>#DIV/0!</v>
      </c>
      <c r="AQ121" s="57" t="e">
        <f t="shared" si="63"/>
        <v>#DIV/0!</v>
      </c>
      <c r="AR121" s="57" t="e">
        <f t="shared" si="64"/>
        <v>#DIV/0!</v>
      </c>
      <c r="AS121" s="57" t="e">
        <f t="shared" si="65"/>
        <v>#DIV/0!</v>
      </c>
    </row>
    <row r="122" spans="1:45" ht="33" hidden="1" customHeight="1">
      <c r="A122" s="22">
        <v>0</v>
      </c>
      <c r="B122" s="12"/>
      <c r="C122" s="203"/>
      <c r="D122" s="12"/>
      <c r="E122" s="12"/>
      <c r="F122" s="12"/>
      <c r="G122" s="12"/>
      <c r="H122" s="12"/>
      <c r="I122" s="12"/>
      <c r="J122" s="12"/>
      <c r="K122" s="12"/>
      <c r="L122" s="12"/>
      <c r="M122" s="12"/>
      <c r="N122" s="12"/>
      <c r="O122" s="57"/>
      <c r="P122" s="57"/>
      <c r="Q122" s="12"/>
      <c r="R122" s="12"/>
      <c r="S122" s="12"/>
      <c r="T122" s="12"/>
      <c r="U122" s="13">
        <f t="shared" si="42"/>
        <v>0</v>
      </c>
      <c r="V122" s="13">
        <f t="shared" si="66"/>
        <v>0</v>
      </c>
      <c r="W122" s="13">
        <f t="shared" si="67"/>
        <v>0</v>
      </c>
      <c r="X122" s="13">
        <f t="shared" si="68"/>
        <v>0</v>
      </c>
      <c r="Y122" s="13">
        <f t="shared" si="69"/>
        <v>0</v>
      </c>
      <c r="Z122" s="13">
        <f t="shared" si="70"/>
        <v>0</v>
      </c>
      <c r="AA122" s="13">
        <f t="shared" si="71"/>
        <v>0</v>
      </c>
      <c r="AB122" s="13">
        <f t="shared" si="72"/>
        <v>0</v>
      </c>
      <c r="AC122" s="23">
        <f t="shared" si="73"/>
        <v>0</v>
      </c>
      <c r="AD122" s="23">
        <f t="shared" si="74"/>
        <v>0</v>
      </c>
      <c r="AE122" s="23">
        <f t="shared" si="59"/>
        <v>0</v>
      </c>
      <c r="AF122" s="23">
        <f t="shared" si="60"/>
        <v>0</v>
      </c>
      <c r="AG122" s="23">
        <f t="shared" si="61"/>
        <v>0</v>
      </c>
      <c r="AH122" s="13" t="e">
        <f t="shared" si="75"/>
        <v>#DIV/0!</v>
      </c>
      <c r="AI122" s="13" t="e">
        <f t="shared" si="76"/>
        <v>#DIV/0!</v>
      </c>
      <c r="AJ122" s="10" t="e">
        <f t="shared" si="77"/>
        <v>#DIV/0!</v>
      </c>
      <c r="AK122" s="6" t="e">
        <f t="shared" si="78"/>
        <v>#DIV/0!</v>
      </c>
      <c r="AL122" s="6" t="e">
        <f t="shared" si="79"/>
        <v>#DIV/0!</v>
      </c>
      <c r="AM122" s="6" t="e">
        <f t="shared" si="80"/>
        <v>#DIV/0!</v>
      </c>
      <c r="AN122" s="6" t="e">
        <f t="shared" si="81"/>
        <v>#DIV/0!</v>
      </c>
      <c r="AO122" s="57" t="e">
        <f t="shared" si="82"/>
        <v>#DIV/0!</v>
      </c>
      <c r="AP122" s="57" t="e">
        <f t="shared" si="62"/>
        <v>#DIV/0!</v>
      </c>
      <c r="AQ122" s="57" t="e">
        <f t="shared" si="63"/>
        <v>#DIV/0!</v>
      </c>
      <c r="AR122" s="57" t="e">
        <f t="shared" si="64"/>
        <v>#DIV/0!</v>
      </c>
      <c r="AS122" s="57" t="e">
        <f t="shared" si="65"/>
        <v>#DIV/0!</v>
      </c>
    </row>
    <row r="123" spans="1:45" ht="33" hidden="1" customHeight="1">
      <c r="A123" s="22">
        <v>0</v>
      </c>
      <c r="B123" s="12"/>
      <c r="C123" s="203"/>
      <c r="D123" s="12"/>
      <c r="E123" s="12"/>
      <c r="F123" s="12"/>
      <c r="G123" s="12"/>
      <c r="H123" s="12"/>
      <c r="I123" s="12"/>
      <c r="J123" s="12"/>
      <c r="K123" s="12"/>
      <c r="L123" s="12"/>
      <c r="M123" s="12"/>
      <c r="N123" s="12"/>
      <c r="O123" s="57"/>
      <c r="P123" s="57"/>
      <c r="Q123" s="12"/>
      <c r="R123" s="12"/>
      <c r="S123" s="12"/>
      <c r="T123" s="12"/>
      <c r="U123" s="13">
        <f t="shared" si="42"/>
        <v>0</v>
      </c>
      <c r="V123" s="13">
        <f t="shared" si="66"/>
        <v>0</v>
      </c>
      <c r="W123" s="13">
        <f t="shared" si="67"/>
        <v>0</v>
      </c>
      <c r="X123" s="13">
        <f t="shared" si="68"/>
        <v>0</v>
      </c>
      <c r="Y123" s="13">
        <f t="shared" si="69"/>
        <v>0</v>
      </c>
      <c r="Z123" s="13">
        <f t="shared" si="70"/>
        <v>0</v>
      </c>
      <c r="AA123" s="13">
        <f t="shared" si="71"/>
        <v>0</v>
      </c>
      <c r="AB123" s="13">
        <f t="shared" si="72"/>
        <v>0</v>
      </c>
      <c r="AC123" s="23">
        <f t="shared" si="73"/>
        <v>0</v>
      </c>
      <c r="AD123" s="23">
        <f t="shared" si="74"/>
        <v>0</v>
      </c>
      <c r="AE123" s="23">
        <f t="shared" si="59"/>
        <v>0</v>
      </c>
      <c r="AF123" s="23">
        <f t="shared" si="60"/>
        <v>0</v>
      </c>
      <c r="AG123" s="23">
        <f t="shared" si="61"/>
        <v>0</v>
      </c>
      <c r="AH123" s="13" t="e">
        <f t="shared" si="75"/>
        <v>#DIV/0!</v>
      </c>
      <c r="AI123" s="13" t="e">
        <f t="shared" si="76"/>
        <v>#DIV/0!</v>
      </c>
      <c r="AJ123" s="10" t="e">
        <f t="shared" si="77"/>
        <v>#DIV/0!</v>
      </c>
      <c r="AK123" s="6" t="e">
        <f t="shared" si="78"/>
        <v>#DIV/0!</v>
      </c>
      <c r="AL123" s="6" t="e">
        <f t="shared" si="79"/>
        <v>#DIV/0!</v>
      </c>
      <c r="AM123" s="6" t="e">
        <f t="shared" si="80"/>
        <v>#DIV/0!</v>
      </c>
      <c r="AN123" s="6" t="e">
        <f t="shared" si="81"/>
        <v>#DIV/0!</v>
      </c>
      <c r="AO123" s="57" t="e">
        <f t="shared" si="82"/>
        <v>#DIV/0!</v>
      </c>
      <c r="AP123" s="57" t="e">
        <f t="shared" si="62"/>
        <v>#DIV/0!</v>
      </c>
      <c r="AQ123" s="57" t="e">
        <f t="shared" si="63"/>
        <v>#DIV/0!</v>
      </c>
      <c r="AR123" s="57" t="e">
        <f t="shared" si="64"/>
        <v>#DIV/0!</v>
      </c>
      <c r="AS123" s="57" t="e">
        <f t="shared" si="65"/>
        <v>#DIV/0!</v>
      </c>
    </row>
    <row r="124" spans="1:45" ht="33" hidden="1" customHeight="1">
      <c r="A124" s="12">
        <v>0</v>
      </c>
      <c r="B124" s="12"/>
      <c r="C124" s="203"/>
      <c r="D124" s="12"/>
      <c r="E124" s="12"/>
      <c r="F124" s="12"/>
      <c r="G124" s="12"/>
      <c r="H124" s="12"/>
      <c r="I124" s="12"/>
      <c r="J124" s="12"/>
      <c r="K124" s="12"/>
      <c r="L124" s="12"/>
      <c r="M124" s="12"/>
      <c r="N124" s="12"/>
      <c r="O124" s="57"/>
      <c r="P124" s="57"/>
      <c r="Q124" s="12"/>
      <c r="R124" s="12"/>
      <c r="S124" s="12"/>
      <c r="T124" s="12"/>
      <c r="U124" s="13">
        <f t="shared" si="42"/>
        <v>0</v>
      </c>
      <c r="V124" s="13">
        <f t="shared" si="66"/>
        <v>0</v>
      </c>
      <c r="W124" s="13">
        <f t="shared" si="67"/>
        <v>0</v>
      </c>
      <c r="X124" s="13">
        <f t="shared" si="68"/>
        <v>0</v>
      </c>
      <c r="Y124" s="13">
        <f t="shared" si="69"/>
        <v>0</v>
      </c>
      <c r="Z124" s="13">
        <f t="shared" si="70"/>
        <v>0</v>
      </c>
      <c r="AA124" s="13">
        <f t="shared" si="71"/>
        <v>0</v>
      </c>
      <c r="AB124" s="13">
        <f t="shared" si="72"/>
        <v>0</v>
      </c>
      <c r="AC124" s="23">
        <f t="shared" si="73"/>
        <v>0</v>
      </c>
      <c r="AD124" s="23">
        <f t="shared" si="74"/>
        <v>0</v>
      </c>
      <c r="AE124" s="23">
        <f t="shared" si="59"/>
        <v>0</v>
      </c>
      <c r="AF124" s="23">
        <f t="shared" si="60"/>
        <v>0</v>
      </c>
      <c r="AG124" s="23">
        <f t="shared" si="61"/>
        <v>0</v>
      </c>
      <c r="AH124" s="13" t="e">
        <f t="shared" si="75"/>
        <v>#DIV/0!</v>
      </c>
      <c r="AI124" s="13" t="e">
        <f t="shared" si="76"/>
        <v>#DIV/0!</v>
      </c>
      <c r="AJ124" s="10" t="e">
        <f t="shared" si="77"/>
        <v>#DIV/0!</v>
      </c>
      <c r="AK124" s="6" t="e">
        <f t="shared" si="78"/>
        <v>#DIV/0!</v>
      </c>
      <c r="AL124" s="6" t="e">
        <f t="shared" si="79"/>
        <v>#DIV/0!</v>
      </c>
      <c r="AM124" s="6" t="e">
        <f t="shared" si="80"/>
        <v>#DIV/0!</v>
      </c>
      <c r="AN124" s="6" t="e">
        <f t="shared" si="81"/>
        <v>#DIV/0!</v>
      </c>
      <c r="AO124" s="57" t="e">
        <f t="shared" si="82"/>
        <v>#DIV/0!</v>
      </c>
      <c r="AP124" s="57" t="e">
        <f t="shared" si="62"/>
        <v>#DIV/0!</v>
      </c>
      <c r="AQ124" s="57" t="e">
        <f t="shared" si="63"/>
        <v>#DIV/0!</v>
      </c>
      <c r="AR124" s="57" t="e">
        <f t="shared" si="64"/>
        <v>#DIV/0!</v>
      </c>
      <c r="AS124" s="57" t="e">
        <f t="shared" si="65"/>
        <v>#DIV/0!</v>
      </c>
    </row>
    <row r="125" spans="1:45" ht="33" hidden="1" customHeight="1">
      <c r="A125" s="22">
        <v>0</v>
      </c>
      <c r="B125" s="12"/>
      <c r="C125" s="203"/>
      <c r="D125" s="12"/>
      <c r="E125" s="12"/>
      <c r="F125" s="12"/>
      <c r="G125" s="12"/>
      <c r="H125" s="12"/>
      <c r="I125" s="12"/>
      <c r="J125" s="12"/>
      <c r="K125" s="12"/>
      <c r="L125" s="12"/>
      <c r="M125" s="12"/>
      <c r="N125" s="12"/>
      <c r="O125" s="57"/>
      <c r="P125" s="57"/>
      <c r="Q125" s="12"/>
      <c r="R125" s="12"/>
      <c r="S125" s="12"/>
      <c r="T125" s="12"/>
      <c r="U125" s="13">
        <f t="shared" si="42"/>
        <v>0</v>
      </c>
      <c r="V125" s="13">
        <f t="shared" si="66"/>
        <v>0</v>
      </c>
      <c r="W125" s="13">
        <f t="shared" si="67"/>
        <v>0</v>
      </c>
      <c r="X125" s="13">
        <f t="shared" si="68"/>
        <v>0</v>
      </c>
      <c r="Y125" s="13">
        <f t="shared" si="69"/>
        <v>0</v>
      </c>
      <c r="Z125" s="13">
        <f t="shared" si="70"/>
        <v>0</v>
      </c>
      <c r="AA125" s="13">
        <f t="shared" si="71"/>
        <v>0</v>
      </c>
      <c r="AB125" s="13">
        <f t="shared" si="72"/>
        <v>0</v>
      </c>
      <c r="AC125" s="23">
        <f t="shared" si="73"/>
        <v>0</v>
      </c>
      <c r="AD125" s="23">
        <f t="shared" si="74"/>
        <v>0</v>
      </c>
      <c r="AE125" s="23">
        <f t="shared" si="59"/>
        <v>0</v>
      </c>
      <c r="AF125" s="23">
        <f t="shared" si="60"/>
        <v>0</v>
      </c>
      <c r="AG125" s="23">
        <f t="shared" si="61"/>
        <v>0</v>
      </c>
      <c r="AH125" s="13" t="e">
        <f t="shared" si="75"/>
        <v>#DIV/0!</v>
      </c>
      <c r="AI125" s="13" t="e">
        <f t="shared" si="76"/>
        <v>#DIV/0!</v>
      </c>
      <c r="AJ125" s="10" t="e">
        <f t="shared" si="77"/>
        <v>#DIV/0!</v>
      </c>
      <c r="AK125" s="6" t="e">
        <f t="shared" si="78"/>
        <v>#DIV/0!</v>
      </c>
      <c r="AL125" s="6" t="e">
        <f t="shared" si="79"/>
        <v>#DIV/0!</v>
      </c>
      <c r="AM125" s="6" t="e">
        <f t="shared" si="80"/>
        <v>#DIV/0!</v>
      </c>
      <c r="AN125" s="6" t="e">
        <f t="shared" si="81"/>
        <v>#DIV/0!</v>
      </c>
      <c r="AO125" s="57" t="e">
        <f t="shared" si="82"/>
        <v>#DIV/0!</v>
      </c>
      <c r="AP125" s="57" t="e">
        <f t="shared" si="62"/>
        <v>#DIV/0!</v>
      </c>
      <c r="AQ125" s="57" t="e">
        <f t="shared" si="63"/>
        <v>#DIV/0!</v>
      </c>
      <c r="AR125" s="57" t="e">
        <f t="shared" si="64"/>
        <v>#DIV/0!</v>
      </c>
      <c r="AS125" s="57" t="e">
        <f t="shared" si="65"/>
        <v>#DIV/0!</v>
      </c>
    </row>
    <row r="126" spans="1:45" ht="33" hidden="1" customHeight="1">
      <c r="A126" s="12">
        <v>0</v>
      </c>
      <c r="B126" s="12"/>
      <c r="C126" s="203"/>
      <c r="D126" s="12"/>
      <c r="E126" s="12"/>
      <c r="F126" s="12"/>
      <c r="G126" s="12"/>
      <c r="H126" s="12"/>
      <c r="I126" s="12"/>
      <c r="J126" s="12"/>
      <c r="K126" s="12"/>
      <c r="L126" s="12"/>
      <c r="M126" s="12"/>
      <c r="N126" s="12"/>
      <c r="O126" s="57"/>
      <c r="P126" s="57"/>
      <c r="Q126" s="12"/>
      <c r="R126" s="12"/>
      <c r="S126" s="12"/>
      <c r="T126" s="12"/>
      <c r="U126" s="13">
        <f t="shared" si="42"/>
        <v>0</v>
      </c>
      <c r="V126" s="13">
        <f t="shared" si="66"/>
        <v>0</v>
      </c>
      <c r="W126" s="13">
        <f t="shared" si="67"/>
        <v>0</v>
      </c>
      <c r="X126" s="13">
        <f t="shared" si="68"/>
        <v>0</v>
      </c>
      <c r="Y126" s="13">
        <f t="shared" si="69"/>
        <v>0</v>
      </c>
      <c r="Z126" s="13">
        <f t="shared" si="70"/>
        <v>0</v>
      </c>
      <c r="AA126" s="13">
        <f t="shared" si="71"/>
        <v>0</v>
      </c>
      <c r="AB126" s="13">
        <f t="shared" si="72"/>
        <v>0</v>
      </c>
      <c r="AC126" s="23">
        <f t="shared" si="73"/>
        <v>0</v>
      </c>
      <c r="AD126" s="23">
        <f t="shared" si="74"/>
        <v>0</v>
      </c>
      <c r="AE126" s="23">
        <f t="shared" si="59"/>
        <v>0</v>
      </c>
      <c r="AF126" s="23">
        <f t="shared" si="60"/>
        <v>0</v>
      </c>
      <c r="AG126" s="23">
        <f t="shared" si="61"/>
        <v>0</v>
      </c>
      <c r="AH126" s="13" t="e">
        <f t="shared" si="75"/>
        <v>#DIV/0!</v>
      </c>
      <c r="AI126" s="13" t="e">
        <f t="shared" si="76"/>
        <v>#DIV/0!</v>
      </c>
      <c r="AJ126" s="10" t="e">
        <f t="shared" si="77"/>
        <v>#DIV/0!</v>
      </c>
      <c r="AK126" s="6" t="e">
        <f t="shared" si="78"/>
        <v>#DIV/0!</v>
      </c>
      <c r="AL126" s="6" t="e">
        <f t="shared" si="79"/>
        <v>#DIV/0!</v>
      </c>
      <c r="AM126" s="6" t="e">
        <f t="shared" si="80"/>
        <v>#DIV/0!</v>
      </c>
      <c r="AN126" s="6" t="e">
        <f t="shared" si="81"/>
        <v>#DIV/0!</v>
      </c>
      <c r="AO126" s="57" t="e">
        <f t="shared" si="82"/>
        <v>#DIV/0!</v>
      </c>
      <c r="AP126" s="57" t="e">
        <f t="shared" si="62"/>
        <v>#DIV/0!</v>
      </c>
      <c r="AQ126" s="57" t="e">
        <f t="shared" si="63"/>
        <v>#DIV/0!</v>
      </c>
      <c r="AR126" s="57" t="e">
        <f t="shared" si="64"/>
        <v>#DIV/0!</v>
      </c>
      <c r="AS126" s="57" t="e">
        <f t="shared" si="65"/>
        <v>#DIV/0!</v>
      </c>
    </row>
    <row r="127" spans="1:45" ht="33" hidden="1" customHeight="1">
      <c r="A127" s="12">
        <v>0</v>
      </c>
      <c r="B127" s="9"/>
      <c r="C127" s="204"/>
      <c r="D127" s="12"/>
      <c r="E127" s="12"/>
      <c r="F127" s="12"/>
      <c r="G127" s="12"/>
      <c r="H127" s="12"/>
      <c r="I127" s="12"/>
      <c r="J127" s="12"/>
      <c r="K127" s="12"/>
      <c r="L127" s="12"/>
      <c r="M127" s="12"/>
      <c r="N127" s="12"/>
      <c r="O127" s="12"/>
      <c r="P127" s="12"/>
      <c r="Q127" s="12"/>
      <c r="R127" s="12"/>
      <c r="S127" s="12"/>
      <c r="T127" s="12"/>
      <c r="U127" s="13">
        <f t="shared" si="42"/>
        <v>0</v>
      </c>
      <c r="V127" s="13">
        <f t="shared" si="66"/>
        <v>0</v>
      </c>
      <c r="W127" s="13">
        <f t="shared" si="67"/>
        <v>0</v>
      </c>
      <c r="X127" s="13">
        <f t="shared" si="68"/>
        <v>0</v>
      </c>
      <c r="Y127" s="13">
        <f t="shared" si="69"/>
        <v>0</v>
      </c>
      <c r="Z127" s="13">
        <f t="shared" si="70"/>
        <v>0</v>
      </c>
      <c r="AA127" s="13">
        <f t="shared" si="71"/>
        <v>0</v>
      </c>
      <c r="AB127" s="13">
        <f t="shared" si="72"/>
        <v>0</v>
      </c>
      <c r="AC127" s="23">
        <f t="shared" si="73"/>
        <v>0</v>
      </c>
      <c r="AD127" s="23">
        <f t="shared" si="74"/>
        <v>0</v>
      </c>
      <c r="AE127" s="23">
        <f t="shared" si="59"/>
        <v>0</v>
      </c>
      <c r="AF127" s="23">
        <f t="shared" si="60"/>
        <v>0</v>
      </c>
      <c r="AG127" s="23">
        <f t="shared" si="61"/>
        <v>0</v>
      </c>
      <c r="AH127" s="13" t="e">
        <f t="shared" si="75"/>
        <v>#DIV/0!</v>
      </c>
      <c r="AI127" s="13" t="e">
        <f t="shared" si="76"/>
        <v>#DIV/0!</v>
      </c>
      <c r="AJ127" s="10" t="e">
        <f t="shared" si="77"/>
        <v>#DIV/0!</v>
      </c>
      <c r="AK127" s="6" t="e">
        <f t="shared" si="78"/>
        <v>#DIV/0!</v>
      </c>
      <c r="AL127" s="6" t="e">
        <f t="shared" si="79"/>
        <v>#DIV/0!</v>
      </c>
      <c r="AM127" s="6" t="e">
        <f t="shared" si="80"/>
        <v>#DIV/0!</v>
      </c>
      <c r="AN127" s="6" t="e">
        <f t="shared" si="81"/>
        <v>#DIV/0!</v>
      </c>
      <c r="AO127" s="57" t="e">
        <f t="shared" si="82"/>
        <v>#DIV/0!</v>
      </c>
      <c r="AP127" s="57" t="e">
        <f t="shared" si="62"/>
        <v>#DIV/0!</v>
      </c>
      <c r="AQ127" s="57" t="e">
        <f t="shared" si="63"/>
        <v>#DIV/0!</v>
      </c>
      <c r="AR127" s="57" t="e">
        <f t="shared" si="64"/>
        <v>#DIV/0!</v>
      </c>
      <c r="AS127" s="57" t="e">
        <f t="shared" si="65"/>
        <v>#DIV/0!</v>
      </c>
    </row>
    <row r="128" spans="1:45" ht="33" hidden="1" customHeight="1">
      <c r="A128" s="12">
        <v>0</v>
      </c>
      <c r="B128" s="9"/>
      <c r="C128" s="204"/>
      <c r="D128" s="12"/>
      <c r="E128" s="12"/>
      <c r="F128" s="12"/>
      <c r="G128" s="12"/>
      <c r="H128" s="12"/>
      <c r="I128" s="12"/>
      <c r="J128" s="12"/>
      <c r="K128" s="12"/>
      <c r="L128" s="12"/>
      <c r="M128" s="12"/>
      <c r="N128" s="12"/>
      <c r="O128" s="12"/>
      <c r="P128" s="12"/>
      <c r="Q128" s="12"/>
      <c r="R128" s="12"/>
      <c r="S128" s="12"/>
      <c r="T128" s="12"/>
      <c r="U128" s="13">
        <f t="shared" si="42"/>
        <v>0</v>
      </c>
      <c r="V128" s="13">
        <f t="shared" si="66"/>
        <v>0</v>
      </c>
      <c r="W128" s="13">
        <f t="shared" si="67"/>
        <v>0</v>
      </c>
      <c r="X128" s="13">
        <f t="shared" si="68"/>
        <v>0</v>
      </c>
      <c r="Y128" s="13">
        <f t="shared" si="69"/>
        <v>0</v>
      </c>
      <c r="Z128" s="13">
        <f t="shared" si="70"/>
        <v>0</v>
      </c>
      <c r="AA128" s="13">
        <f t="shared" si="71"/>
        <v>0</v>
      </c>
      <c r="AB128" s="13">
        <f t="shared" si="72"/>
        <v>0</v>
      </c>
      <c r="AC128" s="23">
        <f t="shared" si="73"/>
        <v>0</v>
      </c>
      <c r="AD128" s="23">
        <f t="shared" si="74"/>
        <v>0</v>
      </c>
      <c r="AE128" s="23">
        <f t="shared" si="59"/>
        <v>0</v>
      </c>
      <c r="AF128" s="23">
        <f t="shared" si="60"/>
        <v>0</v>
      </c>
      <c r="AG128" s="23">
        <f t="shared" si="61"/>
        <v>0</v>
      </c>
      <c r="AH128" s="13" t="e">
        <f t="shared" si="75"/>
        <v>#DIV/0!</v>
      </c>
      <c r="AI128" s="13" t="e">
        <f t="shared" si="76"/>
        <v>#DIV/0!</v>
      </c>
      <c r="AJ128" s="10" t="e">
        <f t="shared" si="77"/>
        <v>#DIV/0!</v>
      </c>
      <c r="AK128" s="6" t="e">
        <f t="shared" si="78"/>
        <v>#DIV/0!</v>
      </c>
      <c r="AL128" s="6" t="e">
        <f t="shared" si="79"/>
        <v>#DIV/0!</v>
      </c>
      <c r="AM128" s="6" t="e">
        <f t="shared" si="80"/>
        <v>#DIV/0!</v>
      </c>
      <c r="AN128" s="6" t="e">
        <f t="shared" si="81"/>
        <v>#DIV/0!</v>
      </c>
      <c r="AO128" s="57" t="e">
        <f t="shared" si="82"/>
        <v>#DIV/0!</v>
      </c>
      <c r="AP128" s="57" t="e">
        <f t="shared" si="62"/>
        <v>#DIV/0!</v>
      </c>
      <c r="AQ128" s="57" t="e">
        <f t="shared" si="63"/>
        <v>#DIV/0!</v>
      </c>
      <c r="AR128" s="57" t="e">
        <f t="shared" si="64"/>
        <v>#DIV/0!</v>
      </c>
      <c r="AS128" s="57" t="e">
        <f t="shared" si="65"/>
        <v>#DIV/0!</v>
      </c>
    </row>
    <row r="129" spans="1:45" ht="33" hidden="1" customHeight="1">
      <c r="A129" s="12">
        <v>0</v>
      </c>
      <c r="B129" s="12"/>
      <c r="C129" s="203"/>
      <c r="D129" s="12"/>
      <c r="E129" s="12"/>
      <c r="F129" s="12"/>
      <c r="G129" s="12"/>
      <c r="H129" s="12"/>
      <c r="I129" s="12"/>
      <c r="J129" s="12"/>
      <c r="K129" s="12"/>
      <c r="L129" s="12"/>
      <c r="M129" s="12"/>
      <c r="N129" s="12"/>
      <c r="O129" s="12"/>
      <c r="P129" s="12"/>
      <c r="Q129" s="12"/>
      <c r="R129" s="12"/>
      <c r="S129" s="12"/>
      <c r="T129" s="12"/>
      <c r="U129" s="13">
        <f t="shared" si="42"/>
        <v>0</v>
      </c>
      <c r="V129" s="13">
        <f t="shared" si="66"/>
        <v>0</v>
      </c>
      <c r="W129" s="13">
        <f t="shared" si="67"/>
        <v>0</v>
      </c>
      <c r="X129" s="13">
        <f t="shared" si="68"/>
        <v>0</v>
      </c>
      <c r="Y129" s="13">
        <f t="shared" si="69"/>
        <v>0</v>
      </c>
      <c r="Z129" s="13">
        <f t="shared" si="70"/>
        <v>0</v>
      </c>
      <c r="AA129" s="13">
        <f t="shared" si="71"/>
        <v>0</v>
      </c>
      <c r="AB129" s="13">
        <f t="shared" si="72"/>
        <v>0</v>
      </c>
      <c r="AC129" s="23">
        <f t="shared" si="73"/>
        <v>0</v>
      </c>
      <c r="AD129" s="23">
        <f t="shared" si="74"/>
        <v>0</v>
      </c>
      <c r="AE129" s="23">
        <f t="shared" si="59"/>
        <v>0</v>
      </c>
      <c r="AF129" s="23">
        <f t="shared" si="60"/>
        <v>0</v>
      </c>
      <c r="AG129" s="23">
        <f t="shared" si="61"/>
        <v>0</v>
      </c>
      <c r="AH129" s="13" t="e">
        <f t="shared" si="75"/>
        <v>#DIV/0!</v>
      </c>
      <c r="AI129" s="13" t="e">
        <f t="shared" si="76"/>
        <v>#DIV/0!</v>
      </c>
      <c r="AJ129" s="10" t="e">
        <f t="shared" si="77"/>
        <v>#DIV/0!</v>
      </c>
      <c r="AK129" s="6" t="e">
        <f t="shared" si="78"/>
        <v>#DIV/0!</v>
      </c>
      <c r="AL129" s="6" t="e">
        <f t="shared" si="79"/>
        <v>#DIV/0!</v>
      </c>
      <c r="AM129" s="6" t="e">
        <f t="shared" si="80"/>
        <v>#DIV/0!</v>
      </c>
      <c r="AN129" s="6" t="e">
        <f t="shared" si="81"/>
        <v>#DIV/0!</v>
      </c>
      <c r="AO129" s="57" t="e">
        <f t="shared" si="82"/>
        <v>#DIV/0!</v>
      </c>
      <c r="AP129" s="57" t="e">
        <f t="shared" si="62"/>
        <v>#DIV/0!</v>
      </c>
      <c r="AQ129" s="57" t="e">
        <f t="shared" si="63"/>
        <v>#DIV/0!</v>
      </c>
      <c r="AR129" s="57" t="e">
        <f t="shared" si="64"/>
        <v>#DIV/0!</v>
      </c>
      <c r="AS129" s="57" t="e">
        <f t="shared" si="65"/>
        <v>#DIV/0!</v>
      </c>
    </row>
    <row r="130" spans="1:45" ht="33" hidden="1" customHeight="1">
      <c r="A130" s="12">
        <v>0</v>
      </c>
      <c r="B130" s="12"/>
      <c r="C130" s="203"/>
      <c r="D130" s="12"/>
      <c r="E130" s="12"/>
      <c r="F130" s="12"/>
      <c r="G130" s="12"/>
      <c r="H130" s="12"/>
      <c r="I130" s="12"/>
      <c r="J130" s="12"/>
      <c r="K130" s="12"/>
      <c r="L130" s="12"/>
      <c r="M130" s="12"/>
      <c r="N130" s="12"/>
      <c r="O130" s="12"/>
      <c r="P130" s="12"/>
      <c r="Q130" s="12"/>
      <c r="R130" s="12"/>
      <c r="S130" s="12"/>
      <c r="T130" s="12"/>
      <c r="U130" s="13">
        <f t="shared" si="42"/>
        <v>0</v>
      </c>
      <c r="V130" s="13">
        <f t="shared" si="66"/>
        <v>0</v>
      </c>
      <c r="W130" s="13">
        <f t="shared" si="67"/>
        <v>0</v>
      </c>
      <c r="X130" s="13">
        <f t="shared" si="68"/>
        <v>0</v>
      </c>
      <c r="Y130" s="13">
        <f t="shared" si="69"/>
        <v>0</v>
      </c>
      <c r="Z130" s="13">
        <f t="shared" si="70"/>
        <v>0</v>
      </c>
      <c r="AA130" s="13">
        <f t="shared" si="71"/>
        <v>0</v>
      </c>
      <c r="AB130" s="13">
        <f t="shared" si="72"/>
        <v>0</v>
      </c>
      <c r="AC130" s="23">
        <f t="shared" si="73"/>
        <v>0</v>
      </c>
      <c r="AD130" s="23">
        <f t="shared" si="74"/>
        <v>0</v>
      </c>
      <c r="AE130" s="23">
        <f t="shared" si="59"/>
        <v>0</v>
      </c>
      <c r="AF130" s="23">
        <f t="shared" si="60"/>
        <v>0</v>
      </c>
      <c r="AG130" s="23">
        <f t="shared" si="61"/>
        <v>0</v>
      </c>
      <c r="AH130" s="13" t="e">
        <f t="shared" si="75"/>
        <v>#DIV/0!</v>
      </c>
      <c r="AI130" s="13" t="e">
        <f t="shared" si="76"/>
        <v>#DIV/0!</v>
      </c>
      <c r="AJ130" s="10" t="e">
        <f t="shared" si="77"/>
        <v>#DIV/0!</v>
      </c>
      <c r="AK130" s="6" t="e">
        <f t="shared" si="78"/>
        <v>#DIV/0!</v>
      </c>
      <c r="AL130" s="6" t="e">
        <f t="shared" si="79"/>
        <v>#DIV/0!</v>
      </c>
      <c r="AM130" s="6" t="e">
        <f t="shared" si="80"/>
        <v>#DIV/0!</v>
      </c>
      <c r="AN130" s="6" t="e">
        <f t="shared" si="81"/>
        <v>#DIV/0!</v>
      </c>
      <c r="AO130" s="57" t="e">
        <f t="shared" si="82"/>
        <v>#DIV/0!</v>
      </c>
      <c r="AP130" s="57" t="e">
        <f t="shared" si="62"/>
        <v>#DIV/0!</v>
      </c>
      <c r="AQ130" s="57" t="e">
        <f t="shared" si="63"/>
        <v>#DIV/0!</v>
      </c>
      <c r="AR130" s="57" t="e">
        <f t="shared" si="64"/>
        <v>#DIV/0!</v>
      </c>
      <c r="AS130" s="57" t="e">
        <f t="shared" si="65"/>
        <v>#DIV/0!</v>
      </c>
    </row>
    <row r="131" spans="1:45" ht="33" hidden="1" customHeight="1">
      <c r="A131" s="12">
        <v>0</v>
      </c>
      <c r="B131" s="12"/>
      <c r="C131" s="203"/>
      <c r="D131" s="12"/>
      <c r="E131" s="12"/>
      <c r="F131" s="12"/>
      <c r="G131" s="12"/>
      <c r="H131" s="12"/>
      <c r="I131" s="12"/>
      <c r="J131" s="12"/>
      <c r="K131" s="12"/>
      <c r="L131" s="12"/>
      <c r="M131" s="12"/>
      <c r="N131" s="12"/>
      <c r="O131" s="12"/>
      <c r="P131" s="12"/>
      <c r="Q131" s="12"/>
      <c r="R131" s="12"/>
      <c r="S131" s="12"/>
      <c r="T131" s="12"/>
      <c r="U131" s="13">
        <f t="shared" si="42"/>
        <v>0</v>
      </c>
      <c r="V131" s="13">
        <f t="shared" si="66"/>
        <v>0</v>
      </c>
      <c r="W131" s="13">
        <f t="shared" si="67"/>
        <v>0</v>
      </c>
      <c r="X131" s="13">
        <f t="shared" si="68"/>
        <v>0</v>
      </c>
      <c r="Y131" s="13">
        <f t="shared" si="69"/>
        <v>0</v>
      </c>
      <c r="Z131" s="13">
        <f t="shared" si="70"/>
        <v>0</v>
      </c>
      <c r="AA131" s="13">
        <f t="shared" si="71"/>
        <v>0</v>
      </c>
      <c r="AB131" s="13">
        <f t="shared" si="72"/>
        <v>0</v>
      </c>
      <c r="AC131" s="23">
        <f t="shared" si="73"/>
        <v>0</v>
      </c>
      <c r="AD131" s="23">
        <f t="shared" si="74"/>
        <v>0</v>
      </c>
      <c r="AE131" s="23">
        <f t="shared" si="59"/>
        <v>0</v>
      </c>
      <c r="AF131" s="23">
        <f t="shared" si="60"/>
        <v>0</v>
      </c>
      <c r="AG131" s="23">
        <f t="shared" si="61"/>
        <v>0</v>
      </c>
      <c r="AH131" s="13" t="e">
        <f t="shared" si="75"/>
        <v>#DIV/0!</v>
      </c>
      <c r="AI131" s="13" t="e">
        <f t="shared" si="76"/>
        <v>#DIV/0!</v>
      </c>
      <c r="AJ131" s="10" t="e">
        <f t="shared" si="77"/>
        <v>#DIV/0!</v>
      </c>
      <c r="AK131" s="6" t="e">
        <f t="shared" si="78"/>
        <v>#DIV/0!</v>
      </c>
      <c r="AL131" s="6" t="e">
        <f t="shared" si="79"/>
        <v>#DIV/0!</v>
      </c>
      <c r="AM131" s="6" t="e">
        <f t="shared" si="80"/>
        <v>#DIV/0!</v>
      </c>
      <c r="AN131" s="6" t="e">
        <f t="shared" si="81"/>
        <v>#DIV/0!</v>
      </c>
      <c r="AO131" s="57" t="e">
        <f t="shared" si="82"/>
        <v>#DIV/0!</v>
      </c>
      <c r="AP131" s="57" t="e">
        <f t="shared" si="62"/>
        <v>#DIV/0!</v>
      </c>
      <c r="AQ131" s="57" t="e">
        <f t="shared" si="63"/>
        <v>#DIV/0!</v>
      </c>
      <c r="AR131" s="57" t="e">
        <f t="shared" si="64"/>
        <v>#DIV/0!</v>
      </c>
      <c r="AS131" s="57" t="e">
        <f t="shared" si="65"/>
        <v>#DIV/0!</v>
      </c>
    </row>
    <row r="132" spans="1:45" ht="33" hidden="1" customHeight="1">
      <c r="A132" s="12">
        <v>0</v>
      </c>
      <c r="B132" s="12"/>
      <c r="C132" s="203"/>
      <c r="D132" s="12"/>
      <c r="E132" s="12"/>
      <c r="F132" s="12"/>
      <c r="G132" s="12"/>
      <c r="H132" s="12"/>
      <c r="I132" s="12"/>
      <c r="J132" s="12"/>
      <c r="K132" s="12"/>
      <c r="L132" s="12"/>
      <c r="M132" s="12"/>
      <c r="N132" s="12"/>
      <c r="O132" s="12"/>
      <c r="P132" s="12"/>
      <c r="Q132" s="12"/>
      <c r="R132" s="12"/>
      <c r="S132" s="12"/>
      <c r="T132" s="12"/>
      <c r="U132" s="13">
        <f t="shared" si="42"/>
        <v>0</v>
      </c>
      <c r="V132" s="13">
        <f t="shared" si="66"/>
        <v>0</v>
      </c>
      <c r="W132" s="13">
        <f t="shared" si="67"/>
        <v>0</v>
      </c>
      <c r="X132" s="13">
        <f t="shared" si="68"/>
        <v>0</v>
      </c>
      <c r="Y132" s="13">
        <f t="shared" si="69"/>
        <v>0</v>
      </c>
      <c r="Z132" s="13">
        <f t="shared" si="70"/>
        <v>0</v>
      </c>
      <c r="AA132" s="13">
        <f t="shared" si="71"/>
        <v>0</v>
      </c>
      <c r="AB132" s="13">
        <f t="shared" si="72"/>
        <v>0</v>
      </c>
      <c r="AC132" s="23">
        <f t="shared" si="73"/>
        <v>0</v>
      </c>
      <c r="AD132" s="23">
        <f t="shared" si="74"/>
        <v>0</v>
      </c>
      <c r="AE132" s="23">
        <f t="shared" si="59"/>
        <v>0</v>
      </c>
      <c r="AF132" s="23">
        <f t="shared" si="60"/>
        <v>0</v>
      </c>
      <c r="AG132" s="23">
        <f t="shared" si="61"/>
        <v>0</v>
      </c>
      <c r="AH132" s="13" t="e">
        <f t="shared" si="75"/>
        <v>#DIV/0!</v>
      </c>
      <c r="AI132" s="13" t="e">
        <f t="shared" si="76"/>
        <v>#DIV/0!</v>
      </c>
      <c r="AJ132" s="10" t="e">
        <f t="shared" si="77"/>
        <v>#DIV/0!</v>
      </c>
      <c r="AK132" s="6" t="e">
        <f t="shared" si="78"/>
        <v>#DIV/0!</v>
      </c>
      <c r="AL132" s="6" t="e">
        <f t="shared" si="79"/>
        <v>#DIV/0!</v>
      </c>
      <c r="AM132" s="6" t="e">
        <f t="shared" si="80"/>
        <v>#DIV/0!</v>
      </c>
      <c r="AN132" s="6" t="e">
        <f t="shared" si="81"/>
        <v>#DIV/0!</v>
      </c>
      <c r="AO132" s="57" t="e">
        <f t="shared" si="82"/>
        <v>#DIV/0!</v>
      </c>
      <c r="AP132" s="57" t="e">
        <f t="shared" si="62"/>
        <v>#DIV/0!</v>
      </c>
      <c r="AQ132" s="57" t="e">
        <f t="shared" si="63"/>
        <v>#DIV/0!</v>
      </c>
      <c r="AR132" s="57" t="e">
        <f t="shared" si="64"/>
        <v>#DIV/0!</v>
      </c>
      <c r="AS132" s="57" t="e">
        <f t="shared" si="65"/>
        <v>#DIV/0!</v>
      </c>
    </row>
    <row r="133" spans="1:45" ht="33" hidden="1" customHeight="1">
      <c r="A133" s="12">
        <v>0</v>
      </c>
      <c r="B133" s="12"/>
      <c r="C133" s="203"/>
      <c r="D133" s="12"/>
      <c r="E133" s="12"/>
      <c r="F133" s="12"/>
      <c r="G133" s="12"/>
      <c r="H133" s="12"/>
      <c r="I133" s="12"/>
      <c r="J133" s="12"/>
      <c r="K133" s="12"/>
      <c r="L133" s="12"/>
      <c r="M133" s="12"/>
      <c r="N133" s="12"/>
      <c r="O133" s="12"/>
      <c r="P133" s="12"/>
      <c r="Q133" s="12"/>
      <c r="R133" s="12"/>
      <c r="S133" s="12"/>
      <c r="T133" s="12"/>
      <c r="U133" s="13">
        <f t="shared" si="42"/>
        <v>0</v>
      </c>
      <c r="V133" s="13">
        <f t="shared" si="66"/>
        <v>0</v>
      </c>
      <c r="W133" s="13">
        <f t="shared" si="67"/>
        <v>0</v>
      </c>
      <c r="X133" s="13">
        <f t="shared" si="68"/>
        <v>0</v>
      </c>
      <c r="Y133" s="13">
        <f t="shared" si="69"/>
        <v>0</v>
      </c>
      <c r="Z133" s="13">
        <f t="shared" si="70"/>
        <v>0</v>
      </c>
      <c r="AA133" s="13">
        <f t="shared" si="71"/>
        <v>0</v>
      </c>
      <c r="AB133" s="13">
        <f t="shared" si="72"/>
        <v>0</v>
      </c>
      <c r="AC133" s="23">
        <f t="shared" si="73"/>
        <v>0</v>
      </c>
      <c r="AD133" s="23">
        <f t="shared" si="74"/>
        <v>0</v>
      </c>
      <c r="AE133" s="23">
        <f t="shared" si="59"/>
        <v>0</v>
      </c>
      <c r="AF133" s="23">
        <f t="shared" si="60"/>
        <v>0</v>
      </c>
      <c r="AG133" s="23">
        <f t="shared" si="61"/>
        <v>0</v>
      </c>
      <c r="AH133" s="13" t="e">
        <f t="shared" si="75"/>
        <v>#DIV/0!</v>
      </c>
      <c r="AI133" s="13" t="e">
        <f t="shared" si="76"/>
        <v>#DIV/0!</v>
      </c>
      <c r="AJ133" s="10" t="e">
        <f t="shared" si="77"/>
        <v>#DIV/0!</v>
      </c>
      <c r="AK133" s="6" t="e">
        <f t="shared" si="78"/>
        <v>#DIV/0!</v>
      </c>
      <c r="AL133" s="6" t="e">
        <f t="shared" si="79"/>
        <v>#DIV/0!</v>
      </c>
      <c r="AM133" s="6" t="e">
        <f t="shared" si="80"/>
        <v>#DIV/0!</v>
      </c>
      <c r="AN133" s="6" t="e">
        <f t="shared" si="81"/>
        <v>#DIV/0!</v>
      </c>
      <c r="AO133" s="57" t="e">
        <f t="shared" si="82"/>
        <v>#DIV/0!</v>
      </c>
      <c r="AP133" s="57" t="e">
        <f t="shared" si="62"/>
        <v>#DIV/0!</v>
      </c>
      <c r="AQ133" s="57" t="e">
        <f t="shared" si="63"/>
        <v>#DIV/0!</v>
      </c>
      <c r="AR133" s="57" t="e">
        <f t="shared" si="64"/>
        <v>#DIV/0!</v>
      </c>
      <c r="AS133" s="57" t="e">
        <f t="shared" si="65"/>
        <v>#DIV/0!</v>
      </c>
    </row>
    <row r="134" spans="1:45" ht="33" hidden="1" customHeight="1">
      <c r="A134" s="12">
        <v>0</v>
      </c>
      <c r="B134" s="12"/>
      <c r="C134" s="203"/>
      <c r="D134" s="12"/>
      <c r="E134" s="12"/>
      <c r="F134" s="12"/>
      <c r="G134" s="12"/>
      <c r="H134" s="12"/>
      <c r="I134" s="12"/>
      <c r="J134" s="12"/>
      <c r="K134" s="12"/>
      <c r="L134" s="12"/>
      <c r="M134" s="12"/>
      <c r="N134" s="12"/>
      <c r="O134" s="12"/>
      <c r="P134" s="12"/>
      <c r="Q134" s="12"/>
      <c r="R134" s="12"/>
      <c r="S134" s="12"/>
      <c r="T134" s="12"/>
      <c r="U134" s="13">
        <f t="shared" si="42"/>
        <v>0</v>
      </c>
      <c r="V134" s="13">
        <f t="shared" si="66"/>
        <v>0</v>
      </c>
      <c r="W134" s="13">
        <f t="shared" si="67"/>
        <v>0</v>
      </c>
      <c r="X134" s="13">
        <f t="shared" si="68"/>
        <v>0</v>
      </c>
      <c r="Y134" s="13">
        <f t="shared" si="69"/>
        <v>0</v>
      </c>
      <c r="Z134" s="13">
        <f t="shared" si="70"/>
        <v>0</v>
      </c>
      <c r="AA134" s="13">
        <f t="shared" si="71"/>
        <v>0</v>
      </c>
      <c r="AB134" s="13">
        <f t="shared" si="72"/>
        <v>0</v>
      </c>
      <c r="AC134" s="23">
        <f t="shared" si="73"/>
        <v>0</v>
      </c>
      <c r="AD134" s="23">
        <f t="shared" si="74"/>
        <v>0</v>
      </c>
      <c r="AE134" s="23">
        <f t="shared" si="59"/>
        <v>0</v>
      </c>
      <c r="AF134" s="23">
        <f t="shared" si="60"/>
        <v>0</v>
      </c>
      <c r="AG134" s="23">
        <f t="shared" si="61"/>
        <v>0</v>
      </c>
      <c r="AH134" s="13" t="e">
        <f t="shared" si="75"/>
        <v>#DIV/0!</v>
      </c>
      <c r="AI134" s="13" t="e">
        <f t="shared" si="76"/>
        <v>#DIV/0!</v>
      </c>
      <c r="AJ134" s="10" t="e">
        <f t="shared" si="77"/>
        <v>#DIV/0!</v>
      </c>
      <c r="AK134" s="6" t="e">
        <f t="shared" si="78"/>
        <v>#DIV/0!</v>
      </c>
      <c r="AL134" s="6" t="e">
        <f t="shared" si="79"/>
        <v>#DIV/0!</v>
      </c>
      <c r="AM134" s="6" t="e">
        <f t="shared" si="80"/>
        <v>#DIV/0!</v>
      </c>
      <c r="AN134" s="6" t="e">
        <f t="shared" si="81"/>
        <v>#DIV/0!</v>
      </c>
      <c r="AO134" s="57" t="e">
        <f t="shared" si="82"/>
        <v>#DIV/0!</v>
      </c>
      <c r="AP134" s="57" t="e">
        <f t="shared" si="62"/>
        <v>#DIV/0!</v>
      </c>
      <c r="AQ134" s="57" t="e">
        <f t="shared" si="63"/>
        <v>#DIV/0!</v>
      </c>
      <c r="AR134" s="57" t="e">
        <f t="shared" si="64"/>
        <v>#DIV/0!</v>
      </c>
      <c r="AS134" s="57" t="e">
        <f t="shared" si="65"/>
        <v>#DIV/0!</v>
      </c>
    </row>
    <row r="135" spans="1:45" ht="33" hidden="1" customHeight="1">
      <c r="A135" s="12">
        <v>0</v>
      </c>
      <c r="B135" s="12"/>
      <c r="C135" s="203"/>
      <c r="D135" s="12"/>
      <c r="E135" s="12"/>
      <c r="F135" s="12"/>
      <c r="G135" s="12"/>
      <c r="H135" s="12"/>
      <c r="I135" s="12"/>
      <c r="J135" s="12"/>
      <c r="K135" s="12"/>
      <c r="L135" s="12"/>
      <c r="M135" s="12"/>
      <c r="N135" s="12"/>
      <c r="O135" s="12"/>
      <c r="P135" s="12"/>
      <c r="Q135" s="12"/>
      <c r="R135" s="12"/>
      <c r="S135" s="12"/>
      <c r="T135" s="12"/>
      <c r="U135" s="13">
        <f t="shared" si="42"/>
        <v>0</v>
      </c>
      <c r="V135" s="13">
        <f t="shared" si="66"/>
        <v>0</v>
      </c>
      <c r="W135" s="13">
        <f t="shared" si="67"/>
        <v>0</v>
      </c>
      <c r="X135" s="13">
        <f t="shared" si="68"/>
        <v>0</v>
      </c>
      <c r="Y135" s="13">
        <f t="shared" si="69"/>
        <v>0</v>
      </c>
      <c r="Z135" s="13">
        <f t="shared" si="70"/>
        <v>0</v>
      </c>
      <c r="AA135" s="13">
        <f t="shared" si="71"/>
        <v>0</v>
      </c>
      <c r="AB135" s="13">
        <f t="shared" si="72"/>
        <v>0</v>
      </c>
      <c r="AC135" s="23">
        <f t="shared" si="73"/>
        <v>0</v>
      </c>
      <c r="AD135" s="23">
        <f t="shared" si="74"/>
        <v>0</v>
      </c>
      <c r="AE135" s="23">
        <f t="shared" si="59"/>
        <v>0</v>
      </c>
      <c r="AF135" s="23">
        <f t="shared" si="60"/>
        <v>0</v>
      </c>
      <c r="AG135" s="23">
        <f t="shared" si="61"/>
        <v>0</v>
      </c>
      <c r="AH135" s="13" t="e">
        <f t="shared" si="75"/>
        <v>#DIV/0!</v>
      </c>
      <c r="AI135" s="13" t="e">
        <f t="shared" si="76"/>
        <v>#DIV/0!</v>
      </c>
      <c r="AJ135" s="10" t="e">
        <f t="shared" si="77"/>
        <v>#DIV/0!</v>
      </c>
      <c r="AK135" s="6" t="e">
        <f t="shared" si="78"/>
        <v>#DIV/0!</v>
      </c>
      <c r="AL135" s="6" t="e">
        <f t="shared" si="79"/>
        <v>#DIV/0!</v>
      </c>
      <c r="AM135" s="6" t="e">
        <f t="shared" si="80"/>
        <v>#DIV/0!</v>
      </c>
      <c r="AN135" s="6" t="e">
        <f t="shared" si="81"/>
        <v>#DIV/0!</v>
      </c>
      <c r="AO135" s="57" t="e">
        <f t="shared" si="82"/>
        <v>#DIV/0!</v>
      </c>
      <c r="AP135" s="57" t="e">
        <f t="shared" si="62"/>
        <v>#DIV/0!</v>
      </c>
      <c r="AQ135" s="57" t="e">
        <f t="shared" si="63"/>
        <v>#DIV/0!</v>
      </c>
      <c r="AR135" s="57" t="e">
        <f t="shared" si="64"/>
        <v>#DIV/0!</v>
      </c>
      <c r="AS135" s="57" t="e">
        <f t="shared" si="65"/>
        <v>#DIV/0!</v>
      </c>
    </row>
    <row r="136" spans="1:45" ht="33" hidden="1" customHeight="1">
      <c r="A136" s="12">
        <v>0</v>
      </c>
      <c r="B136" s="12"/>
      <c r="C136" s="203"/>
      <c r="D136" s="12"/>
      <c r="E136" s="12"/>
      <c r="F136" s="12"/>
      <c r="G136" s="12"/>
      <c r="H136" s="12"/>
      <c r="I136" s="12"/>
      <c r="J136" s="12"/>
      <c r="K136" s="12"/>
      <c r="L136" s="12"/>
      <c r="M136" s="12"/>
      <c r="N136" s="12"/>
      <c r="O136" s="12"/>
      <c r="P136" s="12"/>
      <c r="Q136" s="12"/>
      <c r="R136" s="12"/>
      <c r="S136" s="12"/>
      <c r="T136" s="12"/>
      <c r="U136" s="13">
        <f t="shared" si="42"/>
        <v>0</v>
      </c>
      <c r="V136" s="13">
        <f t="shared" si="66"/>
        <v>0</v>
      </c>
      <c r="W136" s="13">
        <f t="shared" si="67"/>
        <v>0</v>
      </c>
      <c r="X136" s="13">
        <f t="shared" si="68"/>
        <v>0</v>
      </c>
      <c r="Y136" s="13">
        <f t="shared" si="69"/>
        <v>0</v>
      </c>
      <c r="Z136" s="13">
        <f t="shared" si="70"/>
        <v>0</v>
      </c>
      <c r="AA136" s="13">
        <f t="shared" si="71"/>
        <v>0</v>
      </c>
      <c r="AB136" s="13">
        <f t="shared" si="72"/>
        <v>0</v>
      </c>
      <c r="AC136" s="23">
        <f t="shared" si="73"/>
        <v>0</v>
      </c>
      <c r="AD136" s="23">
        <f t="shared" si="74"/>
        <v>0</v>
      </c>
      <c r="AE136" s="23">
        <f t="shared" si="59"/>
        <v>0</v>
      </c>
      <c r="AF136" s="23">
        <f t="shared" si="60"/>
        <v>0</v>
      </c>
      <c r="AG136" s="23">
        <f t="shared" si="61"/>
        <v>0</v>
      </c>
      <c r="AH136" s="13" t="e">
        <f t="shared" si="75"/>
        <v>#DIV/0!</v>
      </c>
      <c r="AI136" s="13" t="e">
        <f t="shared" si="76"/>
        <v>#DIV/0!</v>
      </c>
      <c r="AJ136" s="10" t="e">
        <f t="shared" si="77"/>
        <v>#DIV/0!</v>
      </c>
      <c r="AK136" s="6" t="e">
        <f t="shared" si="78"/>
        <v>#DIV/0!</v>
      </c>
      <c r="AL136" s="6" t="e">
        <f t="shared" si="79"/>
        <v>#DIV/0!</v>
      </c>
      <c r="AM136" s="6" t="e">
        <f t="shared" si="80"/>
        <v>#DIV/0!</v>
      </c>
      <c r="AN136" s="6" t="e">
        <f t="shared" si="81"/>
        <v>#DIV/0!</v>
      </c>
      <c r="AO136" s="57" t="e">
        <f t="shared" si="82"/>
        <v>#DIV/0!</v>
      </c>
      <c r="AP136" s="57" t="e">
        <f t="shared" si="62"/>
        <v>#DIV/0!</v>
      </c>
      <c r="AQ136" s="57" t="e">
        <f t="shared" si="63"/>
        <v>#DIV/0!</v>
      </c>
      <c r="AR136" s="57" t="e">
        <f t="shared" si="64"/>
        <v>#DIV/0!</v>
      </c>
      <c r="AS136" s="57" t="e">
        <f t="shared" si="65"/>
        <v>#DIV/0!</v>
      </c>
    </row>
    <row r="137" spans="1:45" ht="33" hidden="1" customHeight="1">
      <c r="A137" s="12">
        <v>0</v>
      </c>
      <c r="B137" s="12"/>
      <c r="C137" s="203"/>
      <c r="D137" s="12"/>
      <c r="E137" s="12"/>
      <c r="F137" s="12"/>
      <c r="G137" s="12"/>
      <c r="H137" s="12"/>
      <c r="I137" s="12"/>
      <c r="J137" s="12"/>
      <c r="K137" s="12"/>
      <c r="L137" s="12"/>
      <c r="M137" s="12"/>
      <c r="N137" s="12"/>
      <c r="O137" s="12"/>
      <c r="P137" s="12"/>
      <c r="Q137" s="12"/>
      <c r="R137" s="12"/>
      <c r="S137" s="12"/>
      <c r="T137" s="12"/>
      <c r="U137" s="13">
        <f t="shared" si="42"/>
        <v>0</v>
      </c>
      <c r="V137" s="13">
        <f t="shared" si="66"/>
        <v>0</v>
      </c>
      <c r="W137" s="13">
        <f t="shared" si="67"/>
        <v>0</v>
      </c>
      <c r="X137" s="13">
        <f t="shared" si="68"/>
        <v>0</v>
      </c>
      <c r="Y137" s="13">
        <f t="shared" si="69"/>
        <v>0</v>
      </c>
      <c r="Z137" s="13">
        <f t="shared" si="70"/>
        <v>0</v>
      </c>
      <c r="AA137" s="13">
        <f t="shared" si="71"/>
        <v>0</v>
      </c>
      <c r="AB137" s="13">
        <f t="shared" si="72"/>
        <v>0</v>
      </c>
      <c r="AC137" s="23">
        <f t="shared" si="73"/>
        <v>0</v>
      </c>
      <c r="AD137" s="23">
        <f t="shared" si="74"/>
        <v>0</v>
      </c>
      <c r="AE137" s="23">
        <f t="shared" si="59"/>
        <v>0</v>
      </c>
      <c r="AF137" s="23">
        <f t="shared" si="60"/>
        <v>0</v>
      </c>
      <c r="AG137" s="23">
        <f t="shared" si="61"/>
        <v>0</v>
      </c>
      <c r="AH137" s="13" t="e">
        <f t="shared" si="75"/>
        <v>#DIV/0!</v>
      </c>
      <c r="AI137" s="13" t="e">
        <f t="shared" si="76"/>
        <v>#DIV/0!</v>
      </c>
      <c r="AJ137" s="10" t="e">
        <f t="shared" si="77"/>
        <v>#DIV/0!</v>
      </c>
      <c r="AK137" s="6" t="e">
        <f t="shared" si="78"/>
        <v>#DIV/0!</v>
      </c>
      <c r="AL137" s="6" t="e">
        <f t="shared" si="79"/>
        <v>#DIV/0!</v>
      </c>
      <c r="AM137" s="6" t="e">
        <f t="shared" si="80"/>
        <v>#DIV/0!</v>
      </c>
      <c r="AN137" s="6" t="e">
        <f t="shared" si="81"/>
        <v>#DIV/0!</v>
      </c>
      <c r="AO137" s="57" t="e">
        <f t="shared" si="82"/>
        <v>#DIV/0!</v>
      </c>
      <c r="AP137" s="57" t="e">
        <f t="shared" si="62"/>
        <v>#DIV/0!</v>
      </c>
      <c r="AQ137" s="57" t="e">
        <f t="shared" si="63"/>
        <v>#DIV/0!</v>
      </c>
      <c r="AR137" s="57" t="e">
        <f t="shared" si="64"/>
        <v>#DIV/0!</v>
      </c>
      <c r="AS137" s="57" t="e">
        <f t="shared" si="65"/>
        <v>#DIV/0!</v>
      </c>
    </row>
    <row r="138" spans="1:45" ht="33" hidden="1" customHeight="1">
      <c r="A138" s="12">
        <v>0</v>
      </c>
      <c r="B138" s="12"/>
      <c r="C138" s="203"/>
      <c r="D138" s="12"/>
      <c r="E138" s="12"/>
      <c r="F138" s="12"/>
      <c r="G138" s="12"/>
      <c r="H138" s="12"/>
      <c r="I138" s="12"/>
      <c r="J138" s="12"/>
      <c r="K138" s="12"/>
      <c r="L138" s="12"/>
      <c r="M138" s="12"/>
      <c r="N138" s="12"/>
      <c r="O138" s="12"/>
      <c r="P138" s="12"/>
      <c r="Q138" s="12"/>
      <c r="R138" s="12"/>
      <c r="S138" s="12"/>
      <c r="T138" s="12"/>
      <c r="U138" s="13">
        <f t="shared" si="42"/>
        <v>0</v>
      </c>
      <c r="V138" s="13">
        <f t="shared" si="66"/>
        <v>0</v>
      </c>
      <c r="W138" s="13">
        <f t="shared" si="67"/>
        <v>0</v>
      </c>
      <c r="X138" s="13">
        <f t="shared" si="68"/>
        <v>0</v>
      </c>
      <c r="Y138" s="13">
        <f t="shared" si="69"/>
        <v>0</v>
      </c>
      <c r="Z138" s="13">
        <f t="shared" si="70"/>
        <v>0</v>
      </c>
      <c r="AA138" s="13">
        <f t="shared" si="71"/>
        <v>0</v>
      </c>
      <c r="AB138" s="13">
        <f t="shared" si="72"/>
        <v>0</v>
      </c>
      <c r="AC138" s="23">
        <f t="shared" si="73"/>
        <v>0</v>
      </c>
      <c r="AD138" s="23">
        <f t="shared" si="74"/>
        <v>0</v>
      </c>
      <c r="AE138" s="23">
        <f t="shared" si="59"/>
        <v>0</v>
      </c>
      <c r="AF138" s="23">
        <f t="shared" si="60"/>
        <v>0</v>
      </c>
      <c r="AG138" s="23">
        <f t="shared" si="61"/>
        <v>0</v>
      </c>
      <c r="AH138" s="13" t="e">
        <f t="shared" si="75"/>
        <v>#DIV/0!</v>
      </c>
      <c r="AI138" s="13" t="e">
        <f t="shared" si="76"/>
        <v>#DIV/0!</v>
      </c>
      <c r="AJ138" s="10" t="e">
        <f t="shared" si="77"/>
        <v>#DIV/0!</v>
      </c>
      <c r="AK138" s="6" t="e">
        <f t="shared" si="78"/>
        <v>#DIV/0!</v>
      </c>
      <c r="AL138" s="6" t="e">
        <f t="shared" si="79"/>
        <v>#DIV/0!</v>
      </c>
      <c r="AM138" s="6" t="e">
        <f t="shared" si="80"/>
        <v>#DIV/0!</v>
      </c>
      <c r="AN138" s="6" t="e">
        <f t="shared" si="81"/>
        <v>#DIV/0!</v>
      </c>
      <c r="AO138" s="57" t="e">
        <f t="shared" si="82"/>
        <v>#DIV/0!</v>
      </c>
      <c r="AP138" s="57" t="e">
        <f t="shared" si="62"/>
        <v>#DIV/0!</v>
      </c>
      <c r="AQ138" s="57" t="e">
        <f t="shared" si="63"/>
        <v>#DIV/0!</v>
      </c>
      <c r="AR138" s="57" t="e">
        <f t="shared" si="64"/>
        <v>#DIV/0!</v>
      </c>
      <c r="AS138" s="57" t="e">
        <f t="shared" si="65"/>
        <v>#DIV/0!</v>
      </c>
    </row>
    <row r="139" spans="1:45" ht="33" hidden="1" customHeight="1">
      <c r="A139" s="90">
        <v>0</v>
      </c>
      <c r="B139" s="90"/>
      <c r="C139" s="205"/>
      <c r="D139" s="90"/>
      <c r="E139" s="90"/>
      <c r="F139" s="90"/>
      <c r="G139" s="90"/>
      <c r="H139" s="90"/>
      <c r="I139" s="90"/>
      <c r="J139" s="90"/>
      <c r="K139" s="90"/>
      <c r="L139" s="90"/>
      <c r="M139" s="90"/>
      <c r="N139" s="90"/>
      <c r="O139" s="90"/>
      <c r="P139" s="90"/>
      <c r="Q139" s="90"/>
      <c r="R139" s="90"/>
      <c r="S139" s="90"/>
      <c r="T139" s="90"/>
      <c r="U139" s="91">
        <f>SUM(D139:T139)</f>
        <v>0</v>
      </c>
      <c r="V139" s="91">
        <f t="shared" si="66"/>
        <v>0</v>
      </c>
      <c r="W139" s="91">
        <f t="shared" si="67"/>
        <v>0</v>
      </c>
      <c r="X139" s="91">
        <f t="shared" si="68"/>
        <v>0</v>
      </c>
      <c r="Y139" s="91">
        <f t="shared" si="69"/>
        <v>0</v>
      </c>
      <c r="Z139" s="91">
        <f t="shared" si="70"/>
        <v>0</v>
      </c>
      <c r="AA139" s="91">
        <f t="shared" si="71"/>
        <v>0</v>
      </c>
      <c r="AB139" s="91">
        <f t="shared" si="72"/>
        <v>0</v>
      </c>
      <c r="AC139" s="92">
        <f t="shared" si="73"/>
        <v>0</v>
      </c>
      <c r="AD139" s="92">
        <f t="shared" si="74"/>
        <v>0</v>
      </c>
      <c r="AE139" s="92">
        <f t="shared" si="59"/>
        <v>0</v>
      </c>
      <c r="AF139" s="92">
        <f t="shared" si="60"/>
        <v>0</v>
      </c>
      <c r="AG139" s="92">
        <f t="shared" si="61"/>
        <v>0</v>
      </c>
      <c r="AH139" s="91" t="e">
        <f t="shared" si="75"/>
        <v>#DIV/0!</v>
      </c>
      <c r="AI139" s="91" t="e">
        <f t="shared" si="76"/>
        <v>#DIV/0!</v>
      </c>
      <c r="AJ139" s="11" t="e">
        <f t="shared" si="77"/>
        <v>#DIV/0!</v>
      </c>
      <c r="AK139" s="7" t="e">
        <f t="shared" si="78"/>
        <v>#DIV/0!</v>
      </c>
      <c r="AL139" s="7" t="e">
        <f t="shared" si="79"/>
        <v>#DIV/0!</v>
      </c>
      <c r="AM139" s="7" t="e">
        <f t="shared" si="80"/>
        <v>#DIV/0!</v>
      </c>
      <c r="AN139" s="7" t="e">
        <f t="shared" si="81"/>
        <v>#DIV/0!</v>
      </c>
      <c r="AO139" s="93" t="e">
        <f t="shared" si="82"/>
        <v>#DIV/0!</v>
      </c>
      <c r="AP139" s="93" t="e">
        <f t="shared" si="62"/>
        <v>#DIV/0!</v>
      </c>
      <c r="AQ139" s="93" t="e">
        <f t="shared" si="63"/>
        <v>#DIV/0!</v>
      </c>
      <c r="AR139" s="93" t="e">
        <f t="shared" si="64"/>
        <v>#DIV/0!</v>
      </c>
      <c r="AS139" s="93" t="e">
        <f t="shared" si="65"/>
        <v>#DIV/0!</v>
      </c>
    </row>
    <row r="140" spans="1:45" ht="19.2" customHeight="1">
      <c r="A140" s="151" t="s">
        <v>50</v>
      </c>
      <c r="B140" s="151"/>
      <c r="C140" s="151"/>
      <c r="D140" s="151"/>
      <c r="E140" s="151"/>
      <c r="F140" s="151"/>
      <c r="G140" s="151"/>
      <c r="H140" s="151"/>
      <c r="I140" s="151"/>
      <c r="J140" s="151"/>
      <c r="K140" s="151"/>
      <c r="L140" s="151"/>
      <c r="M140" s="151"/>
      <c r="N140" s="151"/>
      <c r="O140" s="151"/>
      <c r="P140" s="151"/>
      <c r="Q140" s="151"/>
      <c r="R140" s="151"/>
      <c r="S140" s="151"/>
      <c r="T140" s="151"/>
      <c r="U140" s="151"/>
      <c r="V140" s="151"/>
      <c r="W140" s="151"/>
      <c r="X140" s="151"/>
      <c r="Y140" s="151"/>
      <c r="Z140" s="151"/>
      <c r="AA140" s="151"/>
      <c r="AB140" s="151"/>
      <c r="AC140" s="151"/>
      <c r="AD140" s="151"/>
      <c r="AE140" s="151"/>
      <c r="AF140" s="151"/>
      <c r="AG140" s="151"/>
      <c r="AH140" s="87" t="e">
        <f>ROUND(SUM(AH14:AH139)/INPUT!$B$8,2)</f>
        <v>#DIV/0!</v>
      </c>
      <c r="AI140" s="87" t="e">
        <f>ROUND(SUM(AI14:AI139)/INPUT!$B$8,2)</f>
        <v>#DIV/0!</v>
      </c>
      <c r="AJ140" s="87" t="e">
        <f>ROUND(SUM(AJ14:AJ139)/INPUT!$B$8,2)</f>
        <v>#DIV/0!</v>
      </c>
      <c r="AK140" s="87" t="e">
        <f>ROUND(SUM(AK14:AK139)/INPUT!$B$8,2)</f>
        <v>#DIV/0!</v>
      </c>
      <c r="AL140" s="87" t="e">
        <f>ROUND(SUM(AL14:AL139)/INPUT!$B$8,2)</f>
        <v>#DIV/0!</v>
      </c>
      <c r="AM140" s="87" t="e">
        <f>ROUND(SUM(AM14:AM139)/INPUT!$B$8,2)</f>
        <v>#DIV/0!</v>
      </c>
      <c r="AN140" s="87" t="e">
        <f>ROUND(SUM(AN14:AN139)/INPUT!$B$8,2)</f>
        <v>#DIV/0!</v>
      </c>
      <c r="AO140" s="87" t="e">
        <f>ROUND(SUM(AO14:AO139)/INPUT!$B$8,2)</f>
        <v>#DIV/0!</v>
      </c>
      <c r="AP140" s="87" t="e">
        <f>ROUND(SUM(AP14:AP139)/INPUT!$B$8,2)</f>
        <v>#DIV/0!</v>
      </c>
      <c r="AQ140" s="87" t="e">
        <f>ROUND(SUM(AQ14:AQ139)/INPUT!$B$8,2)</f>
        <v>#DIV/0!</v>
      </c>
      <c r="AR140" s="87" t="e">
        <f>ROUND(SUM(AR14:AR139)/INPUT!$B$8,2)</f>
        <v>#DIV/0!</v>
      </c>
      <c r="AS140" s="87" t="e">
        <f>ROUND(SUM(AS14:AS139)/INPUT!$B$8,2)</f>
        <v>#DIV/0!</v>
      </c>
    </row>
    <row r="141" spans="1:45" ht="21.9" customHeight="1">
      <c r="A141" s="151" t="s">
        <v>105</v>
      </c>
      <c r="B141" s="151"/>
      <c r="C141" s="151"/>
      <c r="D141" s="151"/>
      <c r="E141" s="151"/>
      <c r="F141" s="151"/>
      <c r="G141" s="151"/>
      <c r="H141" s="151"/>
      <c r="I141" s="151"/>
      <c r="J141" s="151"/>
      <c r="K141" s="151"/>
      <c r="L141" s="151"/>
      <c r="M141" s="151"/>
      <c r="N141" s="151"/>
      <c r="O141" s="151"/>
      <c r="P141" s="151"/>
      <c r="Q141" s="151"/>
      <c r="R141" s="151"/>
      <c r="S141" s="151"/>
      <c r="T141" s="151"/>
      <c r="U141" s="151"/>
      <c r="V141" s="151"/>
      <c r="W141" s="151"/>
      <c r="X141" s="151"/>
      <c r="Y141" s="151"/>
      <c r="Z141" s="151"/>
      <c r="AA141" s="151"/>
      <c r="AB141" s="151"/>
      <c r="AC141" s="151"/>
      <c r="AD141" s="151"/>
      <c r="AE141" s="151"/>
      <c r="AF141" s="151"/>
      <c r="AG141" s="151"/>
      <c r="AH141" s="87">
        <f>INPUT!E12</f>
        <v>50</v>
      </c>
      <c r="AI141" s="87">
        <f>INPUT!E13</f>
        <v>50</v>
      </c>
      <c r="AJ141" s="87">
        <f>INPUT!E14</f>
        <v>50</v>
      </c>
      <c r="AK141" s="87">
        <f>INPUT!E15</f>
        <v>50</v>
      </c>
      <c r="AL141" s="87" t="str">
        <f>INPUT!E16</f>
        <v>_</v>
      </c>
      <c r="AM141" s="87" t="str">
        <f>INPUT!E17</f>
        <v>_</v>
      </c>
      <c r="AN141" s="87" t="str">
        <f>INPUT!E18</f>
        <v>_</v>
      </c>
      <c r="AO141" s="87" t="str">
        <f>INPUT!E19</f>
        <v>_</v>
      </c>
      <c r="AP141" s="88" t="str">
        <f>INPUT!E20</f>
        <v>_</v>
      </c>
      <c r="AQ141" s="88" t="str">
        <f>INPUT!E21</f>
        <v>_</v>
      </c>
      <c r="AR141" s="88" t="str">
        <f>INPUT!E22</f>
        <v>_</v>
      </c>
      <c r="AS141" s="88" t="str">
        <f>INPUT!E23</f>
        <v>_</v>
      </c>
    </row>
    <row r="142" spans="1:45" ht="21.9" customHeight="1">
      <c r="A142" s="151" t="s">
        <v>106</v>
      </c>
      <c r="B142" s="151"/>
      <c r="C142" s="151"/>
      <c r="D142" s="151"/>
      <c r="E142" s="151"/>
      <c r="F142" s="151"/>
      <c r="G142" s="151"/>
      <c r="H142" s="151"/>
      <c r="I142" s="151"/>
      <c r="J142" s="151"/>
      <c r="K142" s="151"/>
      <c r="L142" s="151"/>
      <c r="M142" s="151"/>
      <c r="N142" s="151"/>
      <c r="O142" s="151"/>
      <c r="P142" s="151"/>
      <c r="Q142" s="151"/>
      <c r="R142" s="151"/>
      <c r="S142" s="151"/>
      <c r="T142" s="151"/>
      <c r="U142" s="151"/>
      <c r="V142" s="151"/>
      <c r="W142" s="151"/>
      <c r="X142" s="151"/>
      <c r="Y142" s="151"/>
      <c r="Z142" s="151"/>
      <c r="AA142" s="151"/>
      <c r="AB142" s="151"/>
      <c r="AC142" s="151"/>
      <c r="AD142" s="151"/>
      <c r="AE142" s="151"/>
      <c r="AF142" s="151"/>
      <c r="AG142" s="151"/>
      <c r="AH142" s="8">
        <f t="shared" ref="AH142:AS142" si="83">COUNTIF(AH14:AH139,"&gt;="&amp;AH141)</f>
        <v>0</v>
      </c>
      <c r="AI142" s="8">
        <f t="shared" si="83"/>
        <v>0</v>
      </c>
      <c r="AJ142" s="8">
        <f t="shared" si="83"/>
        <v>0</v>
      </c>
      <c r="AK142" s="8">
        <f t="shared" si="83"/>
        <v>0</v>
      </c>
      <c r="AL142" s="8">
        <f t="shared" si="83"/>
        <v>0</v>
      </c>
      <c r="AM142" s="8">
        <f t="shared" si="83"/>
        <v>0</v>
      </c>
      <c r="AN142" s="8">
        <f t="shared" si="83"/>
        <v>0</v>
      </c>
      <c r="AO142" s="8">
        <f t="shared" si="83"/>
        <v>0</v>
      </c>
      <c r="AP142" s="8">
        <f t="shared" si="83"/>
        <v>0</v>
      </c>
      <c r="AQ142" s="8">
        <f t="shared" si="83"/>
        <v>0</v>
      </c>
      <c r="AR142" s="8">
        <f t="shared" si="83"/>
        <v>0</v>
      </c>
      <c r="AS142" s="8">
        <f t="shared" si="83"/>
        <v>0</v>
      </c>
    </row>
    <row r="143" spans="1:45" ht="21.9" customHeight="1">
      <c r="A143" s="151" t="s">
        <v>107</v>
      </c>
      <c r="B143" s="151"/>
      <c r="C143" s="151"/>
      <c r="D143" s="151"/>
      <c r="E143" s="151"/>
      <c r="F143" s="151"/>
      <c r="G143" s="151"/>
      <c r="H143" s="151"/>
      <c r="I143" s="151"/>
      <c r="J143" s="151"/>
      <c r="K143" s="151"/>
      <c r="L143" s="151"/>
      <c r="M143" s="151"/>
      <c r="N143" s="151"/>
      <c r="O143" s="151"/>
      <c r="P143" s="151"/>
      <c r="Q143" s="151"/>
      <c r="R143" s="151"/>
      <c r="S143" s="151"/>
      <c r="T143" s="151"/>
      <c r="U143" s="151"/>
      <c r="V143" s="151"/>
      <c r="W143" s="151"/>
      <c r="X143" s="151"/>
      <c r="Y143" s="151"/>
      <c r="Z143" s="151"/>
      <c r="AA143" s="151"/>
      <c r="AB143" s="151"/>
      <c r="AC143" s="151"/>
      <c r="AD143" s="151"/>
      <c r="AE143" s="151"/>
      <c r="AF143" s="151"/>
      <c r="AG143" s="151"/>
      <c r="AH143" s="15" t="e">
        <f>ROUND((AH142/INPUT!$B$8)*100,2)</f>
        <v>#DIV/0!</v>
      </c>
      <c r="AI143" s="15" t="e">
        <f>ROUND((AI142/INPUT!$B$8)*100,2)</f>
        <v>#DIV/0!</v>
      </c>
      <c r="AJ143" s="15" t="e">
        <f>ROUND((AJ142/INPUT!$B$8)*100,2)</f>
        <v>#DIV/0!</v>
      </c>
      <c r="AK143" s="15" t="e">
        <f>ROUND((AK142/INPUT!$B$8)*100,2)</f>
        <v>#DIV/0!</v>
      </c>
      <c r="AL143" s="15" t="e">
        <f>ROUND((AL142/INPUT!$B$8)*100,2)</f>
        <v>#DIV/0!</v>
      </c>
      <c r="AM143" s="15" t="e">
        <f>ROUND((AM142/INPUT!$B$8)*100,2)</f>
        <v>#DIV/0!</v>
      </c>
      <c r="AN143" s="15" t="e">
        <f>ROUND((AN142/INPUT!$B$8)*100,2)</f>
        <v>#DIV/0!</v>
      </c>
      <c r="AO143" s="15" t="e">
        <f>ROUND((AO142/INPUT!$B$8)*100,2)</f>
        <v>#DIV/0!</v>
      </c>
      <c r="AP143" s="15" t="e">
        <f>ROUND((AP142/INPUT!$B$8)*100,2)</f>
        <v>#DIV/0!</v>
      </c>
      <c r="AQ143" s="15" t="e">
        <f>ROUND((AQ142/INPUT!$B$8)*100,2)</f>
        <v>#DIV/0!</v>
      </c>
      <c r="AR143" s="15" t="e">
        <f>ROUND((AR142/INPUT!$B$8)*100,2)</f>
        <v>#DIV/0!</v>
      </c>
      <c r="AS143" s="15" t="e">
        <f>ROUND((AS142/INPUT!$B$8)*100,2)</f>
        <v>#DIV/0!</v>
      </c>
    </row>
    <row r="144" spans="1:45" ht="14.4" customHeight="1">
      <c r="A144" s="151" t="s">
        <v>47</v>
      </c>
      <c r="B144" s="151"/>
      <c r="C144" s="151"/>
      <c r="D144" s="151"/>
      <c r="E144" s="151"/>
      <c r="F144" s="151"/>
      <c r="G144" s="151"/>
      <c r="H144" s="151"/>
      <c r="I144" s="151"/>
      <c r="J144" s="151"/>
      <c r="K144" s="151"/>
      <c r="L144" s="151"/>
      <c r="M144" s="151"/>
      <c r="N144" s="151"/>
      <c r="O144" s="151"/>
      <c r="P144" s="151"/>
      <c r="Q144" s="151"/>
      <c r="R144" s="151"/>
      <c r="S144" s="151"/>
      <c r="T144" s="151"/>
      <c r="U144" s="151"/>
      <c r="V144" s="151"/>
      <c r="W144" s="151"/>
      <c r="X144" s="151"/>
      <c r="Y144" s="151"/>
      <c r="Z144" s="151"/>
      <c r="AA144" s="151"/>
      <c r="AB144" s="151"/>
      <c r="AC144" s="151"/>
      <c r="AD144" s="151"/>
      <c r="AE144" s="151"/>
      <c r="AF144" s="151"/>
      <c r="AG144" s="151"/>
      <c r="AH144" s="15"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5"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5"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5"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5"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5"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5"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5"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5"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5"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5"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5"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XlLvl8T6dHLZFNVvLvAMC/4AP7seCF5XhhHoWwlzhmo22Q9yxlYQDSiLHfcH2ztGg3CtJZcJOePVIwDXzsqIjQ==" saltValue="MV8ZFk7lGSLEFBHvQsXc2g==" spinCount="100000" sheet="1" objects="1" scenarios="1"/>
  <mergeCells count="45">
    <mergeCell ref="A141:AG141"/>
    <mergeCell ref="A142:AG142"/>
    <mergeCell ref="A143:AG143"/>
    <mergeCell ref="A144:AG144"/>
    <mergeCell ref="AR10:AR13"/>
    <mergeCell ref="AD10:AD13"/>
    <mergeCell ref="A140:AG140"/>
    <mergeCell ref="Z10:Z13"/>
    <mergeCell ref="AA10:AA13"/>
    <mergeCell ref="AB10:AB13"/>
    <mergeCell ref="AC10:AC13"/>
    <mergeCell ref="A10:A13"/>
    <mergeCell ref="C10:C13"/>
    <mergeCell ref="B10:B13"/>
    <mergeCell ref="V10:V13"/>
    <mergeCell ref="W10:W13"/>
    <mergeCell ref="AS10:AS13"/>
    <mergeCell ref="AE10:AE13"/>
    <mergeCell ref="AF10:AF13"/>
    <mergeCell ref="AG10:AG13"/>
    <mergeCell ref="AO10:AO13"/>
    <mergeCell ref="AP10:AP13"/>
    <mergeCell ref="AQ10:AQ13"/>
    <mergeCell ref="AL10:AL13"/>
    <mergeCell ref="AM10:AM13"/>
    <mergeCell ref="AN10:AN13"/>
    <mergeCell ref="AJ10:AJ13"/>
    <mergeCell ref="AK10:AK13"/>
    <mergeCell ref="AI10:AI13"/>
    <mergeCell ref="AH10:AH13"/>
    <mergeCell ref="L6:P6"/>
    <mergeCell ref="A6:B6"/>
    <mergeCell ref="A1:AN1"/>
    <mergeCell ref="A2:AN2"/>
    <mergeCell ref="A3:AN3"/>
    <mergeCell ref="A4:AN4"/>
    <mergeCell ref="D6:F6"/>
    <mergeCell ref="R6:U6"/>
    <mergeCell ref="X10:X13"/>
    <mergeCell ref="U11:U13"/>
    <mergeCell ref="Y10:Y13"/>
    <mergeCell ref="L7:P7"/>
    <mergeCell ref="A7:B7"/>
    <mergeCell ref="C7:H7"/>
    <mergeCell ref="R7:AI7"/>
  </mergeCells>
  <pageMargins left="0.19685039370078741" right="0.11811023622047245" top="0.35433070866141736" bottom="0.22" header="0.31496062992125984" footer="0.14000000000000001"/>
  <pageSetup paperSize="9"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144"/>
  <sheetViews>
    <sheetView topLeftCell="A4" workbookViewId="0">
      <selection activeCell="C14" sqref="C14:C139"/>
    </sheetView>
  </sheetViews>
  <sheetFormatPr defaultColWidth="9.109375" defaultRowHeight="14.4"/>
  <cols>
    <col min="1" max="1" width="8" style="2" customWidth="1"/>
    <col min="2" max="2" width="16.109375" style="2" customWidth="1"/>
    <col min="3" max="3" width="26.33203125" style="2"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5" width="9.109375" style="2" hidden="1" customWidth="1"/>
    <col min="46" max="16384" width="9.109375" style="2"/>
  </cols>
  <sheetData>
    <row r="1" spans="1:45" ht="20.399999999999999">
      <c r="A1" s="144" t="s">
        <v>0</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5" ht="21">
      <c r="A2" s="145">
        <f>INPUT!B2</f>
        <v>0</v>
      </c>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5"/>
      <c r="AD2" s="145"/>
      <c r="AE2" s="145"/>
      <c r="AF2" s="145"/>
      <c r="AG2" s="145"/>
      <c r="AH2" s="145"/>
      <c r="AI2" s="145"/>
      <c r="AJ2" s="145"/>
      <c r="AK2" s="145"/>
      <c r="AL2" s="145"/>
      <c r="AM2" s="145"/>
      <c r="AN2" s="145"/>
    </row>
    <row r="3" spans="1:45" ht="21">
      <c r="A3" s="145" t="str">
        <f>INPUT!L1</f>
        <v>Internal Test 2</v>
      </c>
      <c r="B3" s="145"/>
      <c r="C3" s="145"/>
      <c r="D3" s="145"/>
      <c r="E3" s="145"/>
      <c r="F3" s="145"/>
      <c r="G3" s="145"/>
      <c r="H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row>
    <row r="4" spans="1:45" ht="21">
      <c r="A4" s="145" t="s">
        <v>49</v>
      </c>
      <c r="B4" s="145"/>
      <c r="C4" s="145"/>
      <c r="D4" s="145"/>
      <c r="E4" s="145"/>
      <c r="F4" s="145"/>
      <c r="G4" s="145"/>
      <c r="H4" s="145"/>
      <c r="I4" s="145"/>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row>
    <row r="5" spans="1:45" ht="21">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row>
    <row r="6" spans="1:45" ht="21">
      <c r="A6" s="142" t="s">
        <v>56</v>
      </c>
      <c r="B6" s="142"/>
      <c r="C6" s="5">
        <f>INPUT!B3</f>
        <v>0</v>
      </c>
      <c r="D6" s="146" t="s">
        <v>57</v>
      </c>
      <c r="E6" s="146"/>
      <c r="F6" s="146"/>
      <c r="G6" s="5"/>
      <c r="H6" s="5">
        <f>INPUT!B4</f>
        <v>0</v>
      </c>
      <c r="I6" s="5"/>
      <c r="J6" s="5"/>
      <c r="K6" s="5"/>
      <c r="L6" s="142" t="s">
        <v>70</v>
      </c>
      <c r="M6" s="142"/>
      <c r="N6" s="142"/>
      <c r="O6" s="142"/>
      <c r="P6" s="142"/>
      <c r="Q6" s="4"/>
      <c r="R6" s="143">
        <f>INPUT!B5</f>
        <v>0</v>
      </c>
      <c r="S6" s="143"/>
      <c r="T6" s="143"/>
      <c r="U6" s="143"/>
      <c r="V6" s="4"/>
      <c r="W6" s="4"/>
      <c r="X6" s="4"/>
      <c r="Y6" s="4"/>
      <c r="Z6" s="4"/>
      <c r="AA6" s="4"/>
      <c r="AB6" s="4"/>
      <c r="AC6" s="4"/>
      <c r="AD6" s="4"/>
      <c r="AE6" s="4"/>
      <c r="AF6" s="4"/>
      <c r="AG6" s="4"/>
      <c r="AH6" s="4"/>
      <c r="AI6" s="4"/>
      <c r="AJ6" s="4"/>
      <c r="AK6" s="4"/>
      <c r="AL6" s="4"/>
      <c r="AM6" s="4"/>
      <c r="AN6" s="4"/>
    </row>
    <row r="7" spans="1:45" ht="21">
      <c r="A7" s="142" t="s">
        <v>61</v>
      </c>
      <c r="B7" s="142"/>
      <c r="C7" s="143">
        <f>INPUT!B7</f>
        <v>0</v>
      </c>
      <c r="D7" s="143"/>
      <c r="E7" s="143"/>
      <c r="F7" s="143"/>
      <c r="G7" s="143"/>
      <c r="H7" s="143"/>
      <c r="I7" s="5"/>
      <c r="J7" s="5"/>
      <c r="K7" s="5"/>
      <c r="L7" s="142" t="s">
        <v>69</v>
      </c>
      <c r="M7" s="142"/>
      <c r="N7" s="142"/>
      <c r="O7" s="142"/>
      <c r="P7" s="142"/>
      <c r="Q7" s="4"/>
      <c r="R7" s="143">
        <f>INPUT!B6</f>
        <v>0</v>
      </c>
      <c r="S7" s="143"/>
      <c r="T7" s="143"/>
      <c r="U7" s="143"/>
      <c r="V7" s="143"/>
      <c r="W7" s="143"/>
      <c r="X7" s="143"/>
      <c r="Y7" s="143"/>
      <c r="Z7" s="143"/>
      <c r="AA7" s="143"/>
      <c r="AB7" s="143"/>
      <c r="AC7" s="143"/>
      <c r="AD7" s="143"/>
      <c r="AE7" s="143"/>
      <c r="AF7" s="143"/>
      <c r="AG7" s="143"/>
      <c r="AH7" s="143"/>
      <c r="AI7" s="143"/>
      <c r="AJ7" s="4"/>
      <c r="AK7" s="4"/>
      <c r="AL7" s="4"/>
      <c r="AM7" s="4"/>
      <c r="AN7" s="4"/>
    </row>
    <row r="8" spans="1:45" ht="21">
      <c r="A8" s="85"/>
      <c r="B8" s="85"/>
      <c r="C8" s="85"/>
      <c r="D8" s="85"/>
      <c r="E8" s="85"/>
      <c r="F8" s="85"/>
      <c r="G8" s="85"/>
      <c r="H8" s="85"/>
      <c r="I8" s="5"/>
      <c r="J8" s="5"/>
      <c r="K8" s="5"/>
      <c r="L8" s="85"/>
      <c r="M8" s="85"/>
      <c r="N8" s="85"/>
      <c r="O8" s="85"/>
      <c r="P8" s="85"/>
      <c r="Q8" s="4"/>
      <c r="R8" s="85"/>
      <c r="S8" s="85"/>
      <c r="T8" s="85"/>
      <c r="U8" s="85"/>
      <c r="V8" s="85"/>
      <c r="W8" s="85"/>
      <c r="X8" s="85"/>
      <c r="Y8" s="85"/>
      <c r="Z8" s="85"/>
      <c r="AA8" s="85"/>
      <c r="AB8" s="85"/>
      <c r="AC8" s="85"/>
      <c r="AD8" s="85"/>
      <c r="AE8" s="85"/>
      <c r="AF8" s="85"/>
      <c r="AG8" s="85"/>
      <c r="AH8" s="85"/>
      <c r="AI8" s="85"/>
      <c r="AJ8" s="4"/>
      <c r="AK8" s="4"/>
      <c r="AL8" s="4"/>
      <c r="AM8" s="4"/>
      <c r="AN8" s="4"/>
    </row>
    <row r="9" spans="1:45" ht="21" hidden="1">
      <c r="A9" s="61">
        <f>INPUT!B8</f>
        <v>0</v>
      </c>
      <c r="B9" s="4"/>
      <c r="C9" s="4"/>
      <c r="D9" s="4"/>
      <c r="E9" s="4"/>
      <c r="F9" s="4"/>
      <c r="G9" s="4"/>
      <c r="H9" s="4"/>
      <c r="I9" s="4"/>
      <c r="J9" s="4"/>
      <c r="K9" s="4"/>
      <c r="L9" s="4"/>
      <c r="M9" s="4"/>
      <c r="N9" s="4"/>
      <c r="O9" s="4"/>
      <c r="P9" s="4"/>
      <c r="Q9" s="4"/>
      <c r="R9" s="4"/>
      <c r="S9" s="4"/>
      <c r="T9" s="4"/>
      <c r="U9" s="4"/>
      <c r="V9" s="61">
        <f>IF(D12="CO1",D13,0)+IF(E12="CO1",E13,0)+IF(F12="CO1",F13,0)+IF(G12="CO1",G13,0)+IF(H12="CO1",H13,0)+IF(I12="CO1",I13,0)+IF(J12="CO1",J13,0)+IF(K12="CO1",K13,0)+IF(L12="CO1",L13,0)+IF(M12="CO1",M13,0)+IF(N12="CO1",N13,0)+IF(O12="CO1",O13,0)+IF(P12="CO1",P13,0)+IF(Q12="CO1",Q13,0)+IF(R12="CO1",R13,0)+IF(S12="CO1",S13,0)+IF(T12="CO1",T13,0)</f>
        <v>0</v>
      </c>
      <c r="W9" s="61">
        <f>IF(D12="CO2",D13,0)+IF(E12="CO2",E13,0)+IF(F12="CO2",F13,0)+IF(G12="CO2",G13,0)+IF(H12="CO2",H13,0)+IF(I12="CO2",I13,0)+IF(J12="CO2",J13,0)+IF(K12="CO2",K13,0)+IF(L12="CO2",L13,0)+IF(M12="CO2",M13,0)+IF(N12="CO2",N13,0)+IF(O12="CO2",O13,0)+IF(P12="CO2",P13,0)+IF(Q12="CO2",Q13,0)+IF(R12="CO2",R13,0)+IF(S12="CO2",S13,0)+IF(T12="CO2",T13,0)</f>
        <v>0</v>
      </c>
      <c r="X9" s="61">
        <f>IF(D12="CO3",D13,0)+IF(E12="CO3",E13,0)+IF(F12="CO3",F13,0)+IF(G12="CO3",G13,0)+IF(H12="CO3",H13,0)+IF(I12="CO3",I13,0)+IF(J12="CO3",J13,0)+IF(K12="CO3",K13,0)+IF(L12="CO3",L13,0)+IF(M12="CO3",M13,0)+IF(N12="CO3",N13,0)+IF(O12="CO3",O13,0)+IF(P12="CO3",P13,0)+IF(Q12="CO3",Q13,0)+IF(R12="CO3",R13,0)+IF(S12="CO3",S13,0)+IF(T12="CO3",T13,0)</f>
        <v>0</v>
      </c>
      <c r="Y9" s="61">
        <f>IF(D12="CO4",D13,0)+IF(E12="CO4",E13,0)+IF(F12="CO4",F13,0)+IF(G12="CO4",G13,0)+IF(H12="CO4",H13,0)+IF(I12="CO4",I13,0)+IF(J12="CO4",J13,0)+IF(K12="CO4",K13,0)+IF(L12="CO4",L13,0)+IF(M12="CO4",M13,0)+IF(N12="CO4",N13,0)+IF(O12="CO4",O13,0)+IF(P12="CO4",P13,0)+IF(Q12="CO4",Q13,0)+IF(R12="CO4",R13,0)+IF(S12="CO4",S13,0)+IF(T12="CO4",T13,0)</f>
        <v>0</v>
      </c>
      <c r="Z9" s="61">
        <f>IF(D12="CO5",D13,0)+IF(E12="CO5",E13,0)+IF(F12="CO5",F13,0)+IF(G12="CO5",G13,0)+IF(H12="CO5",H13,0)+IF(I12="CO5",I13,0)+IF(J12="CO5",J13,0)+IF(K12="CO5",K13,0)+IF(L12="CO5",L13,0)+IF(M12="CO5",M13,0)+IF(N12="CO5",N13,0)+IF(O12="CO5",O13,0)+IF(P12="CO5",P13,0)+IF(Q12="CO5",Q13,0)+IF(R12="CO5",R13,0)+IF(S12="CO5",S13,0)+IF(T12="CO5",T13,0)</f>
        <v>0</v>
      </c>
      <c r="AA9" s="61">
        <f>IF(D12="CO6",D13,0)+IF(E12="CO6",E13,0)+IF(F12="CO6",F13,0)+IF(G12="CO6",G13,0)+IF(H12="CO6",H13,0)+IF(I12="CO6",I13,0)+IF(J12="CO6",J13,0)+IF(K12="CO6",K13,0)+IF(L12="CO6",L13,0)+IF(M12="CO6",M13,0)+IF(N12="CO6",N13,0)+IF(O12="CO6",O13,0)+IF(P12="CO6",P13,0)+IF(Q12="CO6",Q13,0)+IF(R12="CO6",R13,0)+IF(S12="CO6",S13,0)+IF(T12="CO6",T13,0)</f>
        <v>0</v>
      </c>
      <c r="AB9" s="61">
        <f>IF(D12="CO7",D13,0)+IF(E12="CO7",E13,0)+IF(F12="CO7",F13,0)+IF(G12="CO7",G13,0)+IF(H12="CO7",H13,0)+IF(I12="CO7",I13,0)+IF(J12="CO7",J13,0)+IF(K12="CO7",K13,0)+IF(L12="CO7",L13,0)+IF(M12="CO7",M13,0)+IF(N12="CO7",N13,0)+IF(O12="CO7",O13,0)+IF(P12="CO7",P13,0)+IF(Q12="CO7",Q13,0)+IF(R12="CO7",R13,0)+IF(S12="CO7",S13,0)+IF(T12="CO7",T13,0)</f>
        <v>0</v>
      </c>
      <c r="AC9" s="61">
        <f>IF(D12="CO8",D13,0)+IF(E12="CO8",E13,0)+IF(F12="CO8",F13,0)+IF(G12="CO8",G13,0)+IF(H12="CO8",H13,0)+IF(I12="CO8",I13,0)+IF(J12="CO8",J13,0)+IF(K12="CO8",K13,0)+IF(L12="CO8",L13,0)+IF(M12="CO8",M13,0)+IF(N12="CO8",N13,0)+IF(O12="CO8",O13,0)+IF(P12="CO8",P13,0)+IF(Q12="CO8",Q13,0)+IF(R12="CO8",R13,0)+IF(S12="CO8",S13,0)+IF(T12="CO8",T13,0)</f>
        <v>0</v>
      </c>
      <c r="AD9" s="61">
        <f>IF(D12="CO9",D13,0)+IF(E12="CO9",E13,0)+IF(F12="CO9",F13,0)+IF(G12="CO9",G13,0)+IF(H12="CO9",H13,0)+IF(I12="CO9",I13,0)+IF(J12="CO9",J13,0)+IF(K12="CO9",K13,0)+IF(L12="CO9",L13,0)+IF(M12="CO9",M13,0)+IF(N12="CO9",N13,0)+IF(O12="CO9",O13,0)+IF(P12="CO9",P13,0)+IF(Q12="CO9",Q13,0)+IF(R12="CO9",R13,0)+IF(S12="CO9",S13,0)+IF(T12="CO9",T13,0)</f>
        <v>0</v>
      </c>
      <c r="AE9" s="61">
        <f>IF(D12="CO10",D13,0)+IF(E12="CO10",E13,0)+IF(F12="CO10",F13,0)+IF(G12="CO10",G13,0)+IF(H12="CO10",H13,0)+IF(I12="CO10",I13,0)+IF(J12="CO10",J13,0)+IF(K12="CO10",K13,0)+IF(L12="CO10",L13,0)+IF(M12="CO10",M13,0)+IF(N12="CO10",N13,0)+IF(O12="CO10",O13,0)+IF(P12="CO10",P13,0)+IF(Q12="CO10",Q13,0)+IF(R12="CO10",R13,0)+IF(S12="CO10",S13,0)+IF(T12="CO10",T13,0)</f>
        <v>0</v>
      </c>
      <c r="AF9" s="61">
        <f>IF(D12="CO11",D13,0)+IF(E12="CO11",E13,0)+IF(F12="CO11",F13,0)+IF(G12="CO11",G13,0)+IF(H12="CO11",H13,0)+IF(I12="CO11",I13,0)+IF(J12="CO11",J13,0)+IF(K12="CO11",K13,0)+IF(L12="CO11",L13,0)+IF(M12="CO11",M13,0)+IF(N12="CO11",N13,0)+IF(O12="CO11",O13,0)+IF(P12="CO11",P13,0)+IF(Q12="CO11",Q13,0)+IF(R12="CO11",R13,0)+IF(S12="CO11",S13,0)+IF(T12="CO11",T13,0)</f>
        <v>0</v>
      </c>
      <c r="AG9" s="61">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2" t="s">
        <v>73</v>
      </c>
      <c r="B10" s="153" t="s">
        <v>55</v>
      </c>
      <c r="C10" s="152" t="s">
        <v>1</v>
      </c>
      <c r="D10" s="62" t="str">
        <f>CONCATENATE("Q.No:",INPUT!L3)</f>
        <v>Q.No:</v>
      </c>
      <c r="E10" s="62" t="str">
        <f>CONCATENATE("Q.No:",INPUT!L4)</f>
        <v>Q.No:</v>
      </c>
      <c r="F10" s="62" t="str">
        <f>CONCATENATE("Q.No:",INPUT!L5)</f>
        <v>Q.No:</v>
      </c>
      <c r="G10" s="62" t="str">
        <f>CONCATENATE("Q.No:",INPUT!L6)</f>
        <v>Q.No:</v>
      </c>
      <c r="H10" s="62" t="str">
        <f>CONCATENATE("Q.No:",INPUT!L7)</f>
        <v>Q.No:</v>
      </c>
      <c r="I10" s="62" t="str">
        <f>CONCATENATE("Q.No:",INPUT!L8)</f>
        <v>Q.No:</v>
      </c>
      <c r="J10" s="62" t="str">
        <f>CONCATENATE("Q.No:",INPUT!L9)</f>
        <v>Q.No:</v>
      </c>
      <c r="K10" s="62" t="str">
        <f>CONCATENATE("Q.No:",INPUT!L10)</f>
        <v>Q.No:</v>
      </c>
      <c r="L10" s="62" t="str">
        <f>CONCATENATE("Q.No:",INPUT!L11)</f>
        <v>Q.No:</v>
      </c>
      <c r="M10" s="62" t="str">
        <f>CONCATENATE("Q.No:",INPUT!L12)</f>
        <v>Q.No:</v>
      </c>
      <c r="N10" s="62" t="str">
        <f>CONCATENATE("Q.No:",INPUT!L13)</f>
        <v>Q.No:</v>
      </c>
      <c r="O10" s="62" t="str">
        <f>CONCATENATE("Q.No:",INPUT!L14)</f>
        <v>Q.No:</v>
      </c>
      <c r="P10" s="62" t="str">
        <f>CONCATENATE("Q.No:",INPUT!L15)</f>
        <v>Q.No:</v>
      </c>
      <c r="Q10" s="62" t="str">
        <f>CONCATENATE("Q.No:",INPUT!L16)</f>
        <v>Q.No:</v>
      </c>
      <c r="R10" s="62" t="str">
        <f>CONCATENATE("Q.No:",INPUT!L17)</f>
        <v>Q.No:</v>
      </c>
      <c r="S10" s="62" t="str">
        <f>CONCATENATE("Q.No:",INPUT!L18)</f>
        <v>Q.No:</v>
      </c>
      <c r="T10" s="62" t="str">
        <f>CONCATENATE("Q.No:",INPUT!L19)</f>
        <v>Q.No:</v>
      </c>
      <c r="U10" s="86" t="s">
        <v>3</v>
      </c>
      <c r="V10" s="140"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0"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0"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0"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0"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0"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0"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8"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48"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48"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48"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48"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47" t="s">
        <v>98</v>
      </c>
      <c r="AI10" s="147" t="s">
        <v>99</v>
      </c>
      <c r="AJ10" s="147" t="s">
        <v>100</v>
      </c>
      <c r="AK10" s="147" t="s">
        <v>101</v>
      </c>
      <c r="AL10" s="147" t="s">
        <v>102</v>
      </c>
      <c r="AM10" s="147" t="s">
        <v>103</v>
      </c>
      <c r="AN10" s="147" t="s">
        <v>104</v>
      </c>
      <c r="AO10" s="147" t="s">
        <v>154</v>
      </c>
      <c r="AP10" s="147" t="s">
        <v>156</v>
      </c>
      <c r="AQ10" s="147" t="s">
        <v>157</v>
      </c>
      <c r="AR10" s="147" t="s">
        <v>158</v>
      </c>
      <c r="AS10" s="147" t="s">
        <v>159</v>
      </c>
    </row>
    <row r="11" spans="1:45">
      <c r="A11" s="152"/>
      <c r="B11" s="153"/>
      <c r="C11" s="152"/>
      <c r="D11" s="87">
        <f>INPUT!M3</f>
        <v>0</v>
      </c>
      <c r="E11" s="87">
        <f>INPUT!M4</f>
        <v>0</v>
      </c>
      <c r="F11" s="87">
        <f>INPUT!M5</f>
        <v>0</v>
      </c>
      <c r="G11" s="87">
        <f>INPUT!M6</f>
        <v>0</v>
      </c>
      <c r="H11" s="87">
        <f>INPUT!M7</f>
        <v>0</v>
      </c>
      <c r="I11" s="87">
        <f>INPUT!M8</f>
        <v>0</v>
      </c>
      <c r="J11" s="87">
        <f>INPUT!M9</f>
        <v>0</v>
      </c>
      <c r="K11" s="87">
        <f>INPUT!M10</f>
        <v>0</v>
      </c>
      <c r="L11" s="87">
        <f>INPUT!M11</f>
        <v>0</v>
      </c>
      <c r="M11" s="87">
        <f>INPUT!M12</f>
        <v>0</v>
      </c>
      <c r="N11" s="87">
        <f>INPUT!M13</f>
        <v>0</v>
      </c>
      <c r="O11" s="87">
        <f>INPUT!M14</f>
        <v>0</v>
      </c>
      <c r="P11" s="87">
        <f>INPUT!H15</f>
        <v>0</v>
      </c>
      <c r="Q11" s="87">
        <f>INPUT!M16</f>
        <v>0</v>
      </c>
      <c r="R11" s="87">
        <f>INPUT!M17</f>
        <v>0</v>
      </c>
      <c r="S11" s="87">
        <f>INPUT!M18</f>
        <v>0</v>
      </c>
      <c r="T11" s="87">
        <f>INPUT!M19</f>
        <v>0</v>
      </c>
      <c r="U11" s="141">
        <f>SUM(D13:T13)</f>
        <v>0</v>
      </c>
      <c r="V11" s="140"/>
      <c r="W11" s="140"/>
      <c r="X11" s="140"/>
      <c r="Y11" s="140"/>
      <c r="Z11" s="140"/>
      <c r="AA11" s="140"/>
      <c r="AB11" s="140"/>
      <c r="AC11" s="149"/>
      <c r="AD11" s="149"/>
      <c r="AE11" s="149"/>
      <c r="AF11" s="149"/>
      <c r="AG11" s="149"/>
      <c r="AH11" s="147"/>
      <c r="AI11" s="147"/>
      <c r="AJ11" s="147"/>
      <c r="AK11" s="147"/>
      <c r="AL11" s="147"/>
      <c r="AM11" s="147"/>
      <c r="AN11" s="147"/>
      <c r="AO11" s="147"/>
      <c r="AP11" s="147"/>
      <c r="AQ11" s="147"/>
      <c r="AR11" s="147"/>
      <c r="AS11" s="147"/>
    </row>
    <row r="12" spans="1:45" ht="19.8" customHeight="1">
      <c r="A12" s="152"/>
      <c r="B12" s="153"/>
      <c r="C12" s="152"/>
      <c r="D12" s="87">
        <f>INPUT!N3</f>
        <v>0</v>
      </c>
      <c r="E12" s="87">
        <f>INPUT!N4</f>
        <v>0</v>
      </c>
      <c r="F12" s="87">
        <f>INPUT!N5</f>
        <v>0</v>
      </c>
      <c r="G12" s="87">
        <f>INPUT!N6</f>
        <v>0</v>
      </c>
      <c r="H12" s="87">
        <f>INPUT!N7</f>
        <v>0</v>
      </c>
      <c r="I12" s="87">
        <f>INPUT!N8</f>
        <v>0</v>
      </c>
      <c r="J12" s="87">
        <f>INPUT!N9</f>
        <v>0</v>
      </c>
      <c r="K12" s="87">
        <f>INPUT!N10</f>
        <v>0</v>
      </c>
      <c r="L12" s="87">
        <f>INPUT!N11</f>
        <v>0</v>
      </c>
      <c r="M12" s="87">
        <f>INPUT!N12</f>
        <v>0</v>
      </c>
      <c r="N12" s="87">
        <f>INPUT!N13</f>
        <v>0</v>
      </c>
      <c r="O12" s="87">
        <f>INPUT!N14</f>
        <v>0</v>
      </c>
      <c r="P12" s="87">
        <f>INPUT!N15</f>
        <v>0</v>
      </c>
      <c r="Q12" s="87">
        <f>INPUT!N16</f>
        <v>0</v>
      </c>
      <c r="R12" s="87">
        <f>INPUT!N17</f>
        <v>0</v>
      </c>
      <c r="S12" s="87">
        <f>INPUT!N18</f>
        <v>0</v>
      </c>
      <c r="T12" s="87">
        <f>INPUT!N19</f>
        <v>0</v>
      </c>
      <c r="U12" s="141"/>
      <c r="V12" s="140"/>
      <c r="W12" s="140"/>
      <c r="X12" s="140"/>
      <c r="Y12" s="140"/>
      <c r="Z12" s="140"/>
      <c r="AA12" s="140"/>
      <c r="AB12" s="140"/>
      <c r="AC12" s="149"/>
      <c r="AD12" s="149"/>
      <c r="AE12" s="149"/>
      <c r="AF12" s="149"/>
      <c r="AG12" s="149"/>
      <c r="AH12" s="147"/>
      <c r="AI12" s="147"/>
      <c r="AJ12" s="147"/>
      <c r="AK12" s="147"/>
      <c r="AL12" s="147"/>
      <c r="AM12" s="147"/>
      <c r="AN12" s="147"/>
      <c r="AO12" s="147"/>
      <c r="AP12" s="147"/>
      <c r="AQ12" s="147"/>
      <c r="AR12" s="147"/>
      <c r="AS12" s="147"/>
    </row>
    <row r="13" spans="1:45" ht="21" customHeight="1">
      <c r="A13" s="152"/>
      <c r="B13" s="153"/>
      <c r="C13" s="152"/>
      <c r="D13" s="87">
        <f>INPUT!O3</f>
        <v>0</v>
      </c>
      <c r="E13" s="87">
        <f>INPUT!O4</f>
        <v>0</v>
      </c>
      <c r="F13" s="87">
        <f>INPUT!O5</f>
        <v>0</v>
      </c>
      <c r="G13" s="87">
        <f>INPUT!O6</f>
        <v>0</v>
      </c>
      <c r="H13" s="87">
        <f>INPUT!O7</f>
        <v>0</v>
      </c>
      <c r="I13" s="87">
        <f>INPUT!O8</f>
        <v>0</v>
      </c>
      <c r="J13" s="87">
        <f>INPUT!O9</f>
        <v>0</v>
      </c>
      <c r="K13" s="87">
        <f>INPUT!O10</f>
        <v>0</v>
      </c>
      <c r="L13" s="87">
        <f>INPUT!O11</f>
        <v>0</v>
      </c>
      <c r="M13" s="87">
        <f>INPUT!O12</f>
        <v>0</v>
      </c>
      <c r="N13" s="87">
        <f>INPUT!O13</f>
        <v>0</v>
      </c>
      <c r="O13" s="87">
        <f>INPUT!O14</f>
        <v>0</v>
      </c>
      <c r="P13" s="87">
        <f>INPUT!O15</f>
        <v>0</v>
      </c>
      <c r="Q13" s="87">
        <f>INPUT!O16</f>
        <v>0</v>
      </c>
      <c r="R13" s="87">
        <f>INPUT!O17</f>
        <v>0</v>
      </c>
      <c r="S13" s="87">
        <f>INPUT!O18</f>
        <v>0</v>
      </c>
      <c r="T13" s="87">
        <f>INPUT!O19</f>
        <v>0</v>
      </c>
      <c r="U13" s="141"/>
      <c r="V13" s="140"/>
      <c r="W13" s="140"/>
      <c r="X13" s="140"/>
      <c r="Y13" s="140"/>
      <c r="Z13" s="140"/>
      <c r="AA13" s="140"/>
      <c r="AB13" s="140"/>
      <c r="AC13" s="150"/>
      <c r="AD13" s="150"/>
      <c r="AE13" s="150"/>
      <c r="AF13" s="150"/>
      <c r="AG13" s="150"/>
      <c r="AH13" s="147"/>
      <c r="AI13" s="147"/>
      <c r="AJ13" s="147"/>
      <c r="AK13" s="147"/>
      <c r="AL13" s="147"/>
      <c r="AM13" s="147"/>
      <c r="AN13" s="147"/>
      <c r="AO13" s="147"/>
      <c r="AP13" s="147"/>
      <c r="AQ13" s="147"/>
      <c r="AR13" s="147"/>
      <c r="AS13" s="147"/>
    </row>
    <row r="14" spans="1:45" ht="33" hidden="1" customHeight="1">
      <c r="A14" s="22">
        <v>0</v>
      </c>
      <c r="B14" s="22">
        <f>'INTERNAL TEST-1  '!B14</f>
        <v>0</v>
      </c>
      <c r="C14" s="202">
        <f>'INTERNAL TEST-1  '!C14</f>
        <v>0</v>
      </c>
      <c r="D14" s="22"/>
      <c r="E14" s="22"/>
      <c r="F14" s="22"/>
      <c r="G14" s="22"/>
      <c r="H14" s="22"/>
      <c r="I14" s="22"/>
      <c r="J14" s="22"/>
      <c r="K14" s="22"/>
      <c r="L14" s="22"/>
      <c r="M14" s="22"/>
      <c r="N14" s="22"/>
      <c r="O14" s="22"/>
      <c r="P14" s="22"/>
      <c r="Q14" s="22"/>
      <c r="R14" s="22"/>
      <c r="S14" s="22"/>
      <c r="T14" s="22"/>
      <c r="U14" s="23">
        <f t="shared" ref="U14:U45" si="0">SUM(D14:T14)</f>
        <v>0</v>
      </c>
      <c r="V14" s="23">
        <f t="shared" ref="V14:V77" si="1">IF($D$12="CO1",D14,0)+IF($E$12="CO1",E14,0)+IF($F$12="CO1",F14,0)+IF($G$12="CO1",G14,0)+IF($H$12="CO1",H14,0)+IF($I$12="CO1",I14,0)+IF($J$12="CO1",J14,0)+IF($K$12="CO1",K14,0)+IF($L$12="CO1",L14,0)+IF($M$12="CO1",M14,0)+IF($N$12="CO1",N14,0)+IF($O$12="CO1",O14,0)+IF($P$12="CO1",P14,0)+IF($Q$12="CO1",Q14,0)+IF($R$12="CO1",R14,0)+IF($S$12="CO1",S14,0)+IF($T$12="CO1",T14,0)</f>
        <v>0</v>
      </c>
      <c r="W14" s="23">
        <f t="shared" ref="W14:W77" si="2">IF($D$12="CO2",D14,0)+IF($E$12="CO2",E14,0)+IF($F$12="CO2",F14,0)+IF($G$12="CO2",G14,0)+IF($H$12="CO2",H14,0)+IF($I$12="CO2",I14,0)+IF($J$12="CO2",J14,0)+IF($K$12="CO2",K14,0)+IF($L$12="CO2",L14,0)+IF($M$12="CO2",M14,0)+IF($N$12="CO2",N14,0)+IF($O$12="CO2",O14,0)+IF($P$12="CO2",P14,0)+IF($Q$12="CO2",Q14,0)+IF($R$12="CO2",R14,0)+IF($S$12="CO2",S14,0)+IF($T$12="CO2",T14,0)</f>
        <v>0</v>
      </c>
      <c r="X14" s="23">
        <f t="shared" ref="X14:X77" si="3">IF($D$12="CO3",D14,0)+IF($E$12="CO3",E14,0)+IF($F$12="CO3",F14,0)+IF($G$12="CO3",G14,0)+IF($H$12="CO3",H14,0)+IF($I$12="CO3",I14,0)+IF($J$12="CO3",J14,0)+IF($K$12="CO3",K14,0)+IF($L$12="CO3",L14,0)+IF($M$12="CO3",M14,0)+IF($N$12="CO3",N14,0)+IF($O$12="CO3",O14,0)+IF($P$12="CO3",P14,0)+IF($Q$12="CO3",Q14,0)+IF($R$12="CO3",R14,0)+IF($S$12="CO3",S14,0)+IF($T$12="CO3",T14,0)</f>
        <v>0</v>
      </c>
      <c r="Y14" s="23">
        <f t="shared" ref="Y14:Y77" si="4">IF($D$12="CO4",D14,0)+IF($E$12="CO4",E14,0)+IF($F$12="CO4",F14,0)+IF($G$12="CO4",G14,0)+IF($H$12="CO4",H14,0)+IF($I$12="CO4",I14,0)+IF($J$12="CO4",J14,0)+IF($K$12="CO4",K14,0)+IF($L$12="CO4",L14,0)+IF($M$12="CO4",M14,0)+IF($N$12="CO4",N14,0)+IF($O$12="CO4",O14,0)+IF($P$12="CO4",P14,0)+IF($Q$12="CO4",Q14,0)+IF($R$12="CO4",R14,0)+IF($S$12="CO4",S14,0)+IF($T$12="CO4",T14,0)</f>
        <v>0</v>
      </c>
      <c r="Z14" s="23">
        <f t="shared" ref="Z14:Z77" si="5">IF($D$12="CO5",D14,0)+IF($E$12="CO5",E14,0)+IF($F$12="CO5",F14,0)+IF($G$12="CO5",G14,0)+IF($H$12="CO5",H14,0)+IF($I$12="CO5",I14,0)+IF($J$12="CO5",J14,0)+IF($K$12="CO5",K14,0)+IF($L$12="CO5",L14,0)+IF($M$12="CO5",M14,0)+IF($N$12="CO5",N14,0)+IF($O$12="CO5",O14,0)+IF($P$12="CO5",P14,0)+IF($Q$12="CO5",Q14,0)+IF($R$12="CO5",R14,0)+IF($S$12="CO5",S14,0)+IF($T$12="CO5",T14,0)</f>
        <v>0</v>
      </c>
      <c r="AA14" s="23">
        <f t="shared" ref="AA14:AA77" si="6">IF($D$12="CO6",D14,0)+IF($E$12="CO6",E14,0)+IF($F$12="CO6",F14,0)+IF($G$12="CO6",G14,0)+IF($H$12="CO6",H14,0)+IF($I$12="CO6",I14,0)+IF($J$12="CO6",J14,0)+IF($K$12="CO6",K14,0)+IF($L$12="CO6",L14,0)+IF($M$12="CO6",M14,0)+IF($N$12="CO6",N14,0)+IF($O$12="CO6",O14,0)+IF($P$12="CO6",P14,0)+IF($Q$12="CO6",Q14,0)+IF($R$12="CO6",R14,0)+IF($S$12="CO6",S14,0)+IF($T$12="CO6",T14,0)</f>
        <v>0</v>
      </c>
      <c r="AB14" s="23">
        <f t="shared" ref="AB14:AB77" si="7">IF($D$12="CO7",D14,0)+IF($E$12="CO7",E14,0)+IF($F$12="CO7",F14,0)+IF($G$12="CO7",G14,0)+IF($H$12="CO7",H14,0)+IF($I$12="CO7",I14,0)+IF($J$12="CO7",J14,0)+IF($K$12="CO7",K14,0)+IF($L$12="CO7",L14,0)+IF($M$12="CO7",M14,0)+IF($N$12="CO7",N14,0)+IF($O$12="CO7",O14,0)+IF($P$12="CO7",P14,0)+IF($Q$12="CO7",Q14,0)+IF($R$12="CO7",R14,0)+IF($S$12="CO7",S14,0)+IF($T$12="CO7",T14,0)</f>
        <v>0</v>
      </c>
      <c r="AC14" s="23">
        <f>IF($D$12="CO8",D14,0)+IF($E$12="CO8",E14,0)+IF($F$12="CO8",F14,0)+IF($G$12="CO8",G14,0)+IF($H$12="CO8",H14,0)+IF($I$12="CO8",I14,0)+IF($J$12="CO8",J14,0)+IF($K$12="CO8",K14,0)+IF($L$12="CO8",L14,0)+IF($M$12="CO8",M14,0)+IF($N$12="CO8",N14,0)+IF($O$12="CO8",O14,0)+IF($P$12="CO8",P14,0)+IF($Q$12="CO8",Q14,0)+IF($R$12="CO8",R14,0)+IF($S$12="CO8",S14,0)+IF($T$12="CO8",T14,0)</f>
        <v>0</v>
      </c>
      <c r="AD14" s="23">
        <f t="shared" ref="AD14:AD45" si="8">IF($D$12="CO9",D14,0)+IF($E$12="CO9",E14,0)+IF($F$12="CO9",F14,0)+IF($G$12="CO9",G14,0)+IF($H$12="CO9",H14,0)+IF($I$12="CO9",I14,0)+IF($J$12="CO9",J14,0)+IF($K$12="CO9",K14,0)+IF($L$12="CO9",L14,0)+IF($M$12="CO9",M14,0)+IF($N$12="CO9",N14,0)+IF($O$12="CO9",O14,0)+IF($P$12="CO9",P14,0)+IF($Q$12="CO9",Q14,0)+IF($R$12="CO9",R14,0)+IF($S$12="CO9",S14,0)+IF($T$12="CO9",T14,0)</f>
        <v>0</v>
      </c>
      <c r="AE14" s="23">
        <f>IF($D$12="CO10",D14,0)+IF($E$12="CO10",E14,0)+IF($F$12="CO10",F14,0)+IF($G$12="CO10",G14,0)+IF($H$12="CO10",H14,0)+IF($I$12="CO10",I14,0)+IF($J$12="CO10",J14,0)+IF($K$12="CO10",K14,0)+IF($L$12="CO10",L14,0)+IF($M$12="CO10",M14,0)+IF($N$12="CO10",N14,0)+IF($O$12="CO10",O14,0)+IF($P$12="CO10",P14,0)+IF($Q$12="CO10",Q14,0)+IF($R$12="CO10",R14,0)+IF($S$12="CO10",S14,0)+IF($T$12="CO10",T14,0)</f>
        <v>0</v>
      </c>
      <c r="AF14" s="23">
        <f>IF($D$12="CO11",D14,0)+IF($E$12="CO11",E14,0)+IF($F$12="CO11",F14,0)+IF($G$12="CO11",G14,0)+IF($H$12="CO11",H14,0)+IF($I$12="CO11",I14,0)+IF($J$12="CO11",J14,0)+IF($K$12="CO11",K14,0)+IF($L$12="CO11",L14,0)+IF($M$12="CO11",M14,0)+IF($N$12="CO11",N14,0)+IF($O$12="CO11",O14,0)+IF($P$12="CO11",P14,0)+IF($Q$12="CO11",Q14,0)+IF($R$12="CO11",R14,0)+IF($S$12="CO11",S14,0)+IF($T$12="CO11",T14,0)</f>
        <v>0</v>
      </c>
      <c r="AG14" s="23">
        <f>IF($D$12="CO12",D14,0)+IF($E$12="CO12",E14,0)+IF($F$12="CO12",F14,0)+IF($G$12="CO12",G14,0)+IF($H$12="CO12",H14,0)+IF($I$12="CO12",I14,0)+IF($J$12="CO12",J14,0)+IF($K$12="CO12",K14,0)+IF($L$12="CO12",L14,0)+IF($M$12="CO12",M14,0)+IF($N$12="CO12",N14,0)+IF($O$12="CO12",O14,0)+IF($P$12="CO12",P14,0)+IF($Q$12="CO12",Q14,0)+IF($R$12="CO12",R14,0)+IF($S$12="CO12",S14,0)+IF($T$12="CO12",T14,0)</f>
        <v>0</v>
      </c>
      <c r="AH14" s="23" t="e">
        <f t="shared" ref="AH14:AH45" si="9">ROUND(V14/(IF($D$12="CO1",$D$13,0)+IF($E$12="CO1",$E$13,0)+IF($F$12="CO1",$F$13,0)+IF($G$12="CO1",$G$13,0)+IF($H$12="CO1",$H$13,0)+IF($I$12="CO1",$I$13,0)+IF($J$12="CO1",$J$13,0)+IF($K$12="CO1",$K$13,0)+IF($L$12="CO1",$L$13,0)+IF($M$12="CO1",$M$13,0)+IF($N$12="CO1",$N$13,0)+IF($O$12="CO1",$O$13,0)+IF($P$12="CO1",$P$13,0)+IF($Q$12="CO1",$Q$13,0)+IF($R$12="CO1",$R$13,0)+IF($S$12="CO1",$S$13,0)+IF($T$12="CO1",$T$13,0))*100,2)</f>
        <v>#DIV/0!</v>
      </c>
      <c r="AI14" s="23" t="e">
        <f t="shared" ref="AI14:AI45" si="10">ROUND(W14/(IF($D$12="CO2",$D$13,0)+IF($E$12="CO2",$E$13,0)+IF($F$12="CO2",$F$13,0)+IF($G$12="CO2",$G$13,0)+IF($H$12="CO2",$H$13,0)+IF($I$12="CO2",$I$13,0)+IF($J$12="CO2",$J$13,0)+IF($K$12="CO2",$K$13,0)+IF($L$12="CO2",$L$13,0)+IF($M$12="CO2",$M$13,0)+IF($N$12="CO2",$N$13,0)+IF($O$12="CO2",$O$13,0)+IF($P$12="CO2",$P$13,0)+IF($Q$12="CO2",$Q$13,0)+IF($R$12="CO2",$R$13,0)+IF($S$12="CO2",$S$13,0)+IF($T$12="CO2",$T$13,0))*100,2)</f>
        <v>#DIV/0!</v>
      </c>
      <c r="AJ14" s="10" t="e">
        <f t="shared" ref="AJ14:AJ45" si="11">ROUND(X14/(IF($D$12="CO3",$D$13,0)+IF($E$12="CO3",$E$13,0)+IF($F$12="CO3",$F$13,0)+IF($G$12="CO3",$G$13,0)+IF($H$12="CO3",$H$13,0)+IF($I$12="CO3",$I$13,0)+IF($J$12="CO3",$J$13,0)+IF($K$12="CO3",$K$13,0)+IF($L$12="CO3",$L$13,0)+IF($M$12="CO3",$M$13,0)+IF($N$12="CO3",$N$13,0)+IF($O$12="CO3",$O$13,0)+IF($P$12="CO3",$P$13,0)+IF($Q$12="CO3",$Q$13,0)+IF($R$12="CO3",$R$13,0)+IF($S$12="CO3",$S$13,0)+IF($T$12="CO3",$T$13,0))*100,2)</f>
        <v>#DIV/0!</v>
      </c>
      <c r="AK14" s="6" t="e">
        <f t="shared" ref="AK14:AK45" si="12">ROUND(Y14/(IF($D$12="CO4",$D$13,0)+IF($E$12="CO4",$E$13,0)+IF($F$12="CO4",$F$13,0)+IF($G$12="CO4",$G$13,0)+IF($H$12="CO4",$H$13,0)+IF($I$12="CO4",$I$13,0)+IF($J$12="CO4",$J$13,0)+IF($K$12="CO4",$K$13,0)+IF($L$12="CO4",$L$13,0)+IF($M$12="CO4",$M$13,0)+IF($N$12="CO4",$N$13,0)+IF($O$12="CO4",$O$13,0)+IF($P$12="CO4",$P$13,0)+IF($Q$12="CO4",$Q$13,0)+IF($R$12="CO4",$R$13,0)+IF($S$12="CO4",$S$13,0)+IF($T$12="CO4",$T$13,0))*100,2)</f>
        <v>#DIV/0!</v>
      </c>
      <c r="AL14" s="6" t="e">
        <f t="shared" ref="AL14:AL45" si="13">ROUND(Z14/(IF($D$12="CO5",$D$13,0)+IF($E$12="CO5",$E$13,0)+IF($F$12="CO5",$F$13,0)+IF($G$12="CO5",$G$13,0)+IF($H$12="CO5",$H$13,0)+IF($I$12="CO5",$I$13,0)+IF($J$12="CO5",$J$13,0)+IF($K$12="CO5",$K$13,0)+IF($L$12="CO5",$L$13,0)+IF($M$12="CO5",$M$13,0)+IF($N$12="CO5",$N$13,0)+IF($O$12="CO5",$O$13,0)+IF($P$12="CO5",$P$13,0)+IF($Q$12="CO5",$Q$13,0)+IF($R$12="CO5",$R$13,0)+IF($S$12="CO5",$S$13,0)+IF($T$12="CO5",$T$13,0))*100,2)</f>
        <v>#DIV/0!</v>
      </c>
      <c r="AM14" s="6" t="e">
        <f t="shared" ref="AM14:AM45" si="14">ROUND(AA14/(IF($D$12="CO6",$D$13,0)+IF($E$12="CO6",$E$13,0)+IF($F$12="CO6",$F$13,0)+IF($G$12="CO6",$G$13,0)+IF($H$12="CO6",$H$13,0)+IF($I$12="CO6",$I$13,0)+IF($J$12="CO6",$J$13,0)+IF($K$12="CO6",$K$13,0)+IF($L$12="CO6",$L$13,0)+IF($M$12="CO6",$M$13,0)+IF($N$12="CO6",$N$13,0)+IF($O$12="CO6",$O$13,0)+IF($P$12="CO6",$P$13,0)+IF($Q$12="CO6",$Q$13,0)+IF($R$12="CO6",$R$13,0)+IF($S$12="CO6",$S$13,0)+IF($T$12="CO6",$T$13,0))*100,2)</f>
        <v>#DIV/0!</v>
      </c>
      <c r="AN14" s="6" t="e">
        <f t="shared" ref="AN14:AN45" si="15">ROUND(AB14/(IF($D$12="CO7",$D$13,0)+IF($E$12="CO7",$E$13,0)+IF($F$12="CO7",$F$13,0)+IF($G$12="CO7",$G$13,0)+IF($H$12="CO7",$H$13,0)+IF($I$12="CO7",$I$13,0)+IF($J$12="CO7",$J$13,0)+IF($K$12="CO7",$K$13,0)+IF($L$12="CO7",$L$13,0)+IF($M$12="CO7",$M$13,0)+IF($N$12="CO7",$N$13,0)+IF($O$12="CO7",$O$13,0)+IF($P$12="CO7",$P$13,0)+IF($Q$12="CO7",$Q$13,0)+IF($R$12="CO7",$R$13,0)+IF($S$12="CO7",$S$13,0)+IF($T$12="CO7",$T$13,0))*100,2)</f>
        <v>#DIV/0!</v>
      </c>
      <c r="AO14" s="57" t="e">
        <f t="shared" ref="AO14:AO45" si="16">ROUND(AC14/(IF($D$12="CO8",$D$13,0)+IF($E$12="CO8",$E$13,0)+IF($F$12="CO8",$F$13,0)+IF($G$12="CO8",$G$13,0)+IF($H$12="CO8",$H$13,0)+IF($I$12="CO8",$I$13,0)+IF($J$12="CO8",$J$13,0)+IF($K$12="CO8",$K$13,0)+IF($L$12="CO8",$L$13,0)+IF($M$12="CO8",$M$13,0)+IF($N$12="CO8",$N$13,0)+IF($O$12="CO8",$O$13,0)+IF($P$12="CO8",$P$13,0)+IF($Q$12="CO8",$Q$13,0)+IF($R$12="CO8",$R$13,0)+IF($S$12="CO8",$S$13,0)+IF($T$12="CO8",$T$13,0))*100,2)</f>
        <v>#DIV/0!</v>
      </c>
      <c r="AP14" s="57" t="e">
        <f>ROUND(AD14/(IF($D$12="CO9",$D$13,0)+IF($E$12="CO9",$E$13,0)+IF($F$12="CO9",$F$13,0)+IF($G$12="CO9",$G$13,0)+IF($H$12="CO9",$H$13,0)+IF($I$12="CO9",$I$13,0)+IF($J$12="CO9",$J$13,0)+IF($K$12="CO9",$K$13,0)+IF($L$12="CO9",$L$13,0)+IF($M$12="CO9",$M$13,0)+IF($N$12="CO9",$N$13,0)+IF($O$12="CO9",$O$13,0)+IF($P$12="CO9",$P$13,0)+IF($Q$12="CO9",$Q$13,0)+IF($R$12="CO9",$R$13,0)+IF($S$12="CO9",$S$13,0)+IF($T$12="CO9",$T$13,0))*100,2)</f>
        <v>#DIV/0!</v>
      </c>
      <c r="AQ14" s="57" t="e">
        <f>ROUND(AE14/(IF($D$12="CO10",$D$13,0)+IF($E$12="CO10",$E$13,0)+IF($F$12="CO10",$F$13,0)+IF($G$12="CO10",$G$13,0)+IF($H$12="CO10",$H$13,0)+IF($I$12="CO10",$I$13,0)+IF($J$12="CO10",$J$13,0)+IF($K$12="CO10",$K$13,0)+IF($L$12="CO10",$L$13,0)+IF($M$12="CO10",$M$13,0)+IF($N$12="CO10",$N$13,0)+IF($O$12="CO10",$O$13,0)+IF($P$12="CO10",$P$13,0)+IF($Q$12="CO10",$Q$13,0)+IF($R$12="CO10",$R$13,0)+IF($S$12="CO10",$S$13,0)+IF($T$12="CO10",$T$13,0))*100,2)</f>
        <v>#DIV/0!</v>
      </c>
      <c r="AR14" s="57" t="e">
        <f>ROUND(AF14/(IF($D$12="CO11",$D$13,0)+IF($E$12="CO11",$E$13,0)+IF($F$12="CO11",$F$13,0)+IF($G$12="CO11",$G$13,0)+IF($H$12="CO11",$H$13,0)+IF($I$12="CO11",$I$13,0)+IF($J$12="CO11",$J$13,0)+IF($K$12="CO11",$K$13,0)+IF($L$12="CO11",$L$13,0)+IF($M$12="CO11",$M$13,0)+IF($N$12="CO11",$N$13,0)+IF($O$12="CO11",$O$13,0)+IF($P$12="CO11",$P$13,0)+IF($Q$12="CO11",$Q$13,0)+IF($R$12="CO11",$R$13,0)+IF($S$12="CO11",$S$13,0)+IF($T$12="CO11",$T$13,0))*100,2)</f>
        <v>#DIV/0!</v>
      </c>
      <c r="AS14" s="57" t="e">
        <f>ROUND(AG14/(IF($D$12="CO12",$D$13,0)+IF($E$12="CO12",$E$13,0)+IF($F$12="CO12",$F$13,0)+IF($G$12="CO12",$G$13,0)+IF($H$12="CO12",$H$13,0)+IF($I$12="CO12",$I$13,0)+IF($J$12="CO12",$J$13,0)+IF($K$12="CO12",$K$13,0)+IF($L$12="CO12",$L$13,0)+IF($M$12="CO12",$M$13,0)+IF($N$12="CO12",$N$13,0)+IF($O$12="CO12",$O$13,0)+IF($P$12="CO12",$P$13,0)+IF($Q$12="CO12",$Q$13,0)+IF($R$12="CO12",$R$13,0)+IF($S$12="CO12",$S$13,0)+IF($T$12="CO12",$T$13,0))*100,2)</f>
        <v>#DIV/0!</v>
      </c>
    </row>
    <row r="15" spans="1:45" ht="33" hidden="1" customHeight="1">
      <c r="A15" s="22">
        <v>0</v>
      </c>
      <c r="B15" s="22">
        <f>'INTERNAL TEST-1  '!B15</f>
        <v>0</v>
      </c>
      <c r="C15" s="202">
        <f>'INTERNAL TEST-1  '!C15</f>
        <v>0</v>
      </c>
      <c r="D15" s="12"/>
      <c r="E15" s="12"/>
      <c r="F15" s="12"/>
      <c r="G15" s="12"/>
      <c r="H15" s="12"/>
      <c r="I15" s="12"/>
      <c r="J15" s="12"/>
      <c r="K15" s="12"/>
      <c r="L15" s="12"/>
      <c r="M15" s="12"/>
      <c r="N15" s="12"/>
      <c r="O15" s="12"/>
      <c r="P15" s="12"/>
      <c r="Q15" s="12"/>
      <c r="R15" s="12"/>
      <c r="S15" s="12"/>
      <c r="T15" s="12"/>
      <c r="U15" s="13">
        <f t="shared" si="0"/>
        <v>0</v>
      </c>
      <c r="V15" s="13">
        <f t="shared" si="1"/>
        <v>0</v>
      </c>
      <c r="W15" s="13">
        <f t="shared" si="2"/>
        <v>0</v>
      </c>
      <c r="X15" s="13">
        <f t="shared" si="3"/>
        <v>0</v>
      </c>
      <c r="Y15" s="13">
        <f t="shared" si="4"/>
        <v>0</v>
      </c>
      <c r="Z15" s="13">
        <f t="shared" si="5"/>
        <v>0</v>
      </c>
      <c r="AA15" s="13">
        <f t="shared" si="6"/>
        <v>0</v>
      </c>
      <c r="AB15" s="13">
        <f t="shared" si="7"/>
        <v>0</v>
      </c>
      <c r="AC15" s="23">
        <f>IF($D$12="CO8",D15,0)+IF($E$12="CO8",E15,0)+IF($F$12="CO8",F15,0)+IF($G$12="CO8",G15,0)+IF($H$12="CO8",H15,0)+IF($I$12="CO8",I15,0)+IF($J$12="CO8",J15,0)+IF($K$12="CO8",K15,0)+IF($L$12="CO8",L15,0)+IF($M$12="CO8",M15,0)+IF($N$12="CO8",N15,0)+IF($O$12="CO8",O15,0)+IF($P$12="CO8",P15,0)+IF($Q$12="CO8",Q15,0)+IF($R$12="CO8",R15,0)+IF($S$12="CO8",S15,0)+IF($T$12="CO8",T15,0)</f>
        <v>0</v>
      </c>
      <c r="AD15" s="23">
        <f t="shared" si="8"/>
        <v>0</v>
      </c>
      <c r="AE15" s="23">
        <f t="shared" ref="AE15:AE78" si="17">IF($D$12="CO10",D15,0)+IF($E$12="CO10",E15,0)+IF($F$12="CO10",F15,0)+IF($G$12="CO10",G15,0)+IF($H$12="CO10",H15,0)+IF($I$12="CO10",I15,0)+IF($J$12="CO10",J15,0)+IF($K$12="CO10",K15,0)+IF($L$12="CO10",L15,0)+IF($M$12="CO10",M15,0)+IF($N$12="CO10",N15,0)+IF($O$12="CO10",O15,0)+IF($P$12="CO10",P15,0)+IF($Q$12="CO10",Q15,0)+IF($R$12="CO10",R15,0)+IF($S$12="CO10",S15,0)+IF($T$12="CO10",T15,0)</f>
        <v>0</v>
      </c>
      <c r="AF15" s="23">
        <f t="shared" ref="AF15:AF78" si="18">IF($D$12="CO11",D15,0)+IF($E$12="CO11",E15,0)+IF($F$12="CO11",F15,0)+IF($G$12="CO11",G15,0)+IF($H$12="CO11",H15,0)+IF($I$12="CO11",I15,0)+IF($J$12="CO11",J15,0)+IF($K$12="CO11",K15,0)+IF($L$12="CO11",L15,0)+IF($M$12="CO11",M15,0)+IF($N$12="CO11",N15,0)+IF($O$12="CO11",O15,0)+IF($P$12="CO11",P15,0)+IF($Q$12="CO11",Q15,0)+IF($R$12="CO11",R15,0)+IF($S$12="CO11",S15,0)+IF($T$12="CO11",T15,0)</f>
        <v>0</v>
      </c>
      <c r="AG15" s="23">
        <f t="shared" ref="AG15:AG78" si="19">IF($D$12="CO12",D15,0)+IF($E$12="CO12",E15,0)+IF($F$12="CO12",F15,0)+IF($G$12="CO12",G15,0)+IF($H$12="CO12",H15,0)+IF($I$12="CO12",I15,0)+IF($J$12="CO12",J15,0)+IF($K$12="CO12",K15,0)+IF($L$12="CO12",L15,0)+IF($M$12="CO12",M15,0)+IF($N$12="CO12",N15,0)+IF($O$12="CO12",O15,0)+IF($P$12="CO12",P15,0)+IF($Q$12="CO12",Q15,0)+IF($R$12="CO12",R15,0)+IF($S$12="CO12",S15,0)+IF($T$12="CO12",T15,0)</f>
        <v>0</v>
      </c>
      <c r="AH15" s="13" t="e">
        <f t="shared" si="9"/>
        <v>#DIV/0!</v>
      </c>
      <c r="AI15" s="13" t="e">
        <f t="shared" si="10"/>
        <v>#DIV/0!</v>
      </c>
      <c r="AJ15" s="10" t="e">
        <f t="shared" si="11"/>
        <v>#DIV/0!</v>
      </c>
      <c r="AK15" s="6" t="e">
        <f t="shared" si="12"/>
        <v>#DIV/0!</v>
      </c>
      <c r="AL15" s="6" t="e">
        <f t="shared" si="13"/>
        <v>#DIV/0!</v>
      </c>
      <c r="AM15" s="6" t="e">
        <f t="shared" si="14"/>
        <v>#DIV/0!</v>
      </c>
      <c r="AN15" s="6" t="e">
        <f t="shared" si="15"/>
        <v>#DIV/0!</v>
      </c>
      <c r="AO15" s="57" t="e">
        <f t="shared" si="16"/>
        <v>#DIV/0!</v>
      </c>
      <c r="AP15" s="57" t="e">
        <f t="shared" ref="AP15:AP78" si="20">ROUND(AD15/(IF($D$12="CO9",$D$13,0)+IF($E$12="CO9",$E$13,0)+IF($F$12="CO9",$F$13,0)+IF($G$12="CO9",$G$13,0)+IF($H$12="CO9",$H$13,0)+IF($I$12="CO9",$I$13,0)+IF($J$12="CO9",$J$13,0)+IF($K$12="CO9",$K$13,0)+IF($L$12="CO9",$L$13,0)+IF($M$12="CO9",$M$13,0)+IF($N$12="CO9",$N$13,0)+IF($O$12="CO9",$O$13,0)+IF($P$12="CO9",$P$13,0)+IF($Q$12="CO9",$Q$13,0)+IF($R$12="CO9",$R$13,0)+IF($S$12="CO9",$S$13,0)+IF($T$12="CO9",$T$13,0))*100,2)</f>
        <v>#DIV/0!</v>
      </c>
      <c r="AQ15" s="57" t="e">
        <f t="shared" ref="AQ15:AQ78" si="21">ROUND(AE15/(IF($D$12="CO10",$D$13,0)+IF($E$12="CO10",$E$13,0)+IF($F$12="CO10",$F$13,0)+IF($G$12="CO10",$G$13,0)+IF($H$12="CO10",$H$13,0)+IF($I$12="CO10",$I$13,0)+IF($J$12="CO10",$J$13,0)+IF($K$12="CO10",$K$13,0)+IF($L$12="CO10",$L$13,0)+IF($M$12="CO10",$M$13,0)+IF($N$12="CO10",$N$13,0)+IF($O$12="CO10",$O$13,0)+IF($P$12="CO10",$P$13,0)+IF($Q$12="CO10",$Q$13,0)+IF($R$12="CO10",$R$13,0)+IF($S$12="CO10",$S$13,0)+IF($T$12="CO10",$T$13,0))*100,2)</f>
        <v>#DIV/0!</v>
      </c>
      <c r="AR15" s="57" t="e">
        <f t="shared" ref="AR15:AR78" si="22">ROUND(AF15/(IF($D$12="CO11",$D$13,0)+IF($E$12="CO11",$E$13,0)+IF($F$12="CO11",$F$13,0)+IF($G$12="CO11",$G$13,0)+IF($H$12="CO11",$H$13,0)+IF($I$12="CO11",$I$13,0)+IF($J$12="CO11",$J$13,0)+IF($K$12="CO11",$K$13,0)+IF($L$12="CO11",$L$13,0)+IF($M$12="CO11",$M$13,0)+IF($N$12="CO11",$N$13,0)+IF($O$12="CO11",$O$13,0)+IF($P$12="CO11",$P$13,0)+IF($Q$12="CO11",$Q$13,0)+IF($R$12="CO11",$R$13,0)+IF($S$12="CO11",$S$13,0)+IF($T$12="CO11",$T$13,0))*100,2)</f>
        <v>#DIV/0!</v>
      </c>
      <c r="AS15" s="57" t="e">
        <f t="shared" ref="AS15:AS78" si="23">ROUND(AG15/(IF($D$12="CO12",$D$13,0)+IF($E$12="CO12",$E$13,0)+IF($F$12="CO12",$F$13,0)+IF($G$12="CO12",$G$13,0)+IF($H$12="CO12",$H$13,0)+IF($I$12="CO12",$I$13,0)+IF($J$12="CO12",$J$13,0)+IF($K$12="CO12",$K$13,0)+IF($L$12="CO12",$L$13,0)+IF($M$12="CO12",$M$13,0)+IF($N$12="CO12",$N$13,0)+IF($O$12="CO12",$O$13,0)+IF($P$12="CO12",$P$13,0)+IF($Q$12="CO12",$Q$13,0)+IF($R$12="CO12",$R$13,0)+IF($S$12="CO12",$S$13,0)+IF($T$12="CO12",$T$13,0))*100,2)</f>
        <v>#DIV/0!</v>
      </c>
    </row>
    <row r="16" spans="1:45" ht="33" hidden="1" customHeight="1">
      <c r="A16" s="22">
        <v>0</v>
      </c>
      <c r="B16" s="22">
        <f>'INTERNAL TEST-1  '!B16</f>
        <v>0</v>
      </c>
      <c r="C16" s="202">
        <f>'INTERNAL TEST-1  '!C16</f>
        <v>0</v>
      </c>
      <c r="D16" s="12"/>
      <c r="E16" s="12"/>
      <c r="F16" s="12"/>
      <c r="G16" s="12"/>
      <c r="H16" s="12"/>
      <c r="I16" s="12"/>
      <c r="J16" s="12"/>
      <c r="K16" s="12"/>
      <c r="L16" s="12"/>
      <c r="M16" s="12"/>
      <c r="N16" s="12"/>
      <c r="O16" s="12"/>
      <c r="P16" s="12"/>
      <c r="Q16" s="12"/>
      <c r="R16" s="12"/>
      <c r="S16" s="12"/>
      <c r="T16" s="12"/>
      <c r="U16" s="13">
        <f t="shared" si="0"/>
        <v>0</v>
      </c>
      <c r="V16" s="13">
        <f t="shared" si="1"/>
        <v>0</v>
      </c>
      <c r="W16" s="13">
        <f t="shared" si="2"/>
        <v>0</v>
      </c>
      <c r="X16" s="13">
        <f t="shared" si="3"/>
        <v>0</v>
      </c>
      <c r="Y16" s="13">
        <f t="shared" si="4"/>
        <v>0</v>
      </c>
      <c r="Z16" s="13">
        <f t="shared" si="5"/>
        <v>0</v>
      </c>
      <c r="AA16" s="13">
        <f t="shared" si="6"/>
        <v>0</v>
      </c>
      <c r="AB16" s="13">
        <f t="shared" si="7"/>
        <v>0</v>
      </c>
      <c r="AC16" s="23">
        <f t="shared" ref="AC16:AC79" si="24">IF($D$12="CO8",D16,0)+IF($E$12="CO8",E16,0)+IF($F$12="CO8",F16,0)+IF($G$12="CO8",G16,0)+IF($H$12="CO8",H16,0)+IF($I$12="CO8",I16,0)+IF($J$12="CO8",J16,0)+IF($K$12="CO8",K16,0)+IF($L$12="CO8",L16,0)+IF($M$12="CO8",M16,0)+IF($N$12="CO8",N16,0)+IF($O$12="CO8",O16,0)+IF($P$12="CO8",P16,0)+IF($Q$12="CO8",Q16,0)+IF($R$12="CO8",R16,0)+IF($S$12="CO8",S16,0)+IF($T$12="CO8",T16,0)</f>
        <v>0</v>
      </c>
      <c r="AD16" s="23">
        <f t="shared" si="8"/>
        <v>0</v>
      </c>
      <c r="AE16" s="23">
        <f t="shared" si="17"/>
        <v>0</v>
      </c>
      <c r="AF16" s="23">
        <f t="shared" si="18"/>
        <v>0</v>
      </c>
      <c r="AG16" s="23">
        <f t="shared" si="19"/>
        <v>0</v>
      </c>
      <c r="AH16" s="13" t="e">
        <f t="shared" si="9"/>
        <v>#DIV/0!</v>
      </c>
      <c r="AI16" s="13" t="e">
        <f t="shared" si="10"/>
        <v>#DIV/0!</v>
      </c>
      <c r="AJ16" s="10" t="e">
        <f t="shared" si="11"/>
        <v>#DIV/0!</v>
      </c>
      <c r="AK16" s="6" t="e">
        <f t="shared" si="12"/>
        <v>#DIV/0!</v>
      </c>
      <c r="AL16" s="6" t="e">
        <f t="shared" si="13"/>
        <v>#DIV/0!</v>
      </c>
      <c r="AM16" s="6" t="e">
        <f t="shared" si="14"/>
        <v>#DIV/0!</v>
      </c>
      <c r="AN16" s="6" t="e">
        <f t="shared" si="15"/>
        <v>#DIV/0!</v>
      </c>
      <c r="AO16" s="57" t="e">
        <f t="shared" si="16"/>
        <v>#DIV/0!</v>
      </c>
      <c r="AP16" s="57" t="e">
        <f t="shared" si="20"/>
        <v>#DIV/0!</v>
      </c>
      <c r="AQ16" s="57" t="e">
        <f t="shared" si="21"/>
        <v>#DIV/0!</v>
      </c>
      <c r="AR16" s="57" t="e">
        <f t="shared" si="22"/>
        <v>#DIV/0!</v>
      </c>
      <c r="AS16" s="57" t="e">
        <f t="shared" si="23"/>
        <v>#DIV/0!</v>
      </c>
    </row>
    <row r="17" spans="1:45" ht="33" hidden="1" customHeight="1">
      <c r="A17" s="22">
        <v>0</v>
      </c>
      <c r="B17" s="22">
        <f>'INTERNAL TEST-1  '!B17</f>
        <v>0</v>
      </c>
      <c r="C17" s="202">
        <f>'INTERNAL TEST-1  '!C17</f>
        <v>0</v>
      </c>
      <c r="D17" s="12"/>
      <c r="E17" s="12"/>
      <c r="F17" s="12"/>
      <c r="G17" s="12"/>
      <c r="H17" s="12"/>
      <c r="I17" s="12"/>
      <c r="J17" s="12"/>
      <c r="K17" s="12"/>
      <c r="L17" s="12"/>
      <c r="M17" s="12"/>
      <c r="N17" s="12"/>
      <c r="O17" s="12"/>
      <c r="P17" s="12"/>
      <c r="Q17" s="12"/>
      <c r="R17" s="12"/>
      <c r="S17" s="12"/>
      <c r="T17" s="12"/>
      <c r="U17" s="13">
        <f t="shared" si="0"/>
        <v>0</v>
      </c>
      <c r="V17" s="13">
        <f t="shared" si="1"/>
        <v>0</v>
      </c>
      <c r="W17" s="13">
        <f t="shared" si="2"/>
        <v>0</v>
      </c>
      <c r="X17" s="13">
        <f t="shared" si="3"/>
        <v>0</v>
      </c>
      <c r="Y17" s="13">
        <f t="shared" si="4"/>
        <v>0</v>
      </c>
      <c r="Z17" s="13">
        <f t="shared" si="5"/>
        <v>0</v>
      </c>
      <c r="AA17" s="13">
        <f t="shared" si="6"/>
        <v>0</v>
      </c>
      <c r="AB17" s="13">
        <f t="shared" si="7"/>
        <v>0</v>
      </c>
      <c r="AC17" s="23">
        <f t="shared" si="24"/>
        <v>0</v>
      </c>
      <c r="AD17" s="23">
        <f t="shared" si="8"/>
        <v>0</v>
      </c>
      <c r="AE17" s="23">
        <f t="shared" si="17"/>
        <v>0</v>
      </c>
      <c r="AF17" s="23">
        <f t="shared" si="18"/>
        <v>0</v>
      </c>
      <c r="AG17" s="23">
        <f t="shared" si="19"/>
        <v>0</v>
      </c>
      <c r="AH17" s="13" t="e">
        <f t="shared" si="9"/>
        <v>#DIV/0!</v>
      </c>
      <c r="AI17" s="13" t="e">
        <f t="shared" si="10"/>
        <v>#DIV/0!</v>
      </c>
      <c r="AJ17" s="10" t="e">
        <f t="shared" si="11"/>
        <v>#DIV/0!</v>
      </c>
      <c r="AK17" s="6" t="e">
        <f t="shared" si="12"/>
        <v>#DIV/0!</v>
      </c>
      <c r="AL17" s="6" t="e">
        <f t="shared" si="13"/>
        <v>#DIV/0!</v>
      </c>
      <c r="AM17" s="6" t="e">
        <f t="shared" si="14"/>
        <v>#DIV/0!</v>
      </c>
      <c r="AN17" s="6" t="e">
        <f t="shared" si="15"/>
        <v>#DIV/0!</v>
      </c>
      <c r="AO17" s="57" t="e">
        <f t="shared" si="16"/>
        <v>#DIV/0!</v>
      </c>
      <c r="AP17" s="57" t="e">
        <f t="shared" si="20"/>
        <v>#DIV/0!</v>
      </c>
      <c r="AQ17" s="57" t="e">
        <f t="shared" si="21"/>
        <v>#DIV/0!</v>
      </c>
      <c r="AR17" s="57" t="e">
        <f t="shared" si="22"/>
        <v>#DIV/0!</v>
      </c>
      <c r="AS17" s="57" t="e">
        <f t="shared" si="23"/>
        <v>#DIV/0!</v>
      </c>
    </row>
    <row r="18" spans="1:45" ht="33" hidden="1" customHeight="1">
      <c r="A18" s="22">
        <v>0</v>
      </c>
      <c r="B18" s="22">
        <f>'INTERNAL TEST-1  '!B18</f>
        <v>0</v>
      </c>
      <c r="C18" s="202">
        <f>'INTERNAL TEST-1  '!C18</f>
        <v>0</v>
      </c>
      <c r="D18" s="12"/>
      <c r="E18" s="12"/>
      <c r="F18" s="12"/>
      <c r="G18" s="12"/>
      <c r="H18" s="12"/>
      <c r="I18" s="12"/>
      <c r="J18" s="12"/>
      <c r="K18" s="12"/>
      <c r="L18" s="12"/>
      <c r="M18" s="12"/>
      <c r="N18" s="12"/>
      <c r="O18" s="12"/>
      <c r="P18" s="12"/>
      <c r="Q18" s="12"/>
      <c r="R18" s="12"/>
      <c r="S18" s="12"/>
      <c r="T18" s="12"/>
      <c r="U18" s="13">
        <f t="shared" si="0"/>
        <v>0</v>
      </c>
      <c r="V18" s="13">
        <f t="shared" si="1"/>
        <v>0</v>
      </c>
      <c r="W18" s="13">
        <f t="shared" si="2"/>
        <v>0</v>
      </c>
      <c r="X18" s="13">
        <f t="shared" si="3"/>
        <v>0</v>
      </c>
      <c r="Y18" s="13">
        <f t="shared" si="4"/>
        <v>0</v>
      </c>
      <c r="Z18" s="13">
        <f t="shared" si="5"/>
        <v>0</v>
      </c>
      <c r="AA18" s="13">
        <f t="shared" si="6"/>
        <v>0</v>
      </c>
      <c r="AB18" s="13">
        <f t="shared" si="7"/>
        <v>0</v>
      </c>
      <c r="AC18" s="23">
        <f t="shared" si="24"/>
        <v>0</v>
      </c>
      <c r="AD18" s="23">
        <f t="shared" si="8"/>
        <v>0</v>
      </c>
      <c r="AE18" s="23">
        <f t="shared" si="17"/>
        <v>0</v>
      </c>
      <c r="AF18" s="23">
        <f t="shared" si="18"/>
        <v>0</v>
      </c>
      <c r="AG18" s="23">
        <f t="shared" si="19"/>
        <v>0</v>
      </c>
      <c r="AH18" s="13" t="e">
        <f t="shared" si="9"/>
        <v>#DIV/0!</v>
      </c>
      <c r="AI18" s="13" t="e">
        <f t="shared" si="10"/>
        <v>#DIV/0!</v>
      </c>
      <c r="AJ18" s="10" t="e">
        <f t="shared" si="11"/>
        <v>#DIV/0!</v>
      </c>
      <c r="AK18" s="6" t="e">
        <f t="shared" si="12"/>
        <v>#DIV/0!</v>
      </c>
      <c r="AL18" s="6" t="e">
        <f t="shared" si="13"/>
        <v>#DIV/0!</v>
      </c>
      <c r="AM18" s="6" t="e">
        <f t="shared" si="14"/>
        <v>#DIV/0!</v>
      </c>
      <c r="AN18" s="6" t="e">
        <f t="shared" si="15"/>
        <v>#DIV/0!</v>
      </c>
      <c r="AO18" s="57" t="e">
        <f t="shared" si="16"/>
        <v>#DIV/0!</v>
      </c>
      <c r="AP18" s="57" t="e">
        <f t="shared" si="20"/>
        <v>#DIV/0!</v>
      </c>
      <c r="AQ18" s="57" t="e">
        <f t="shared" si="21"/>
        <v>#DIV/0!</v>
      </c>
      <c r="AR18" s="57" t="e">
        <f t="shared" si="22"/>
        <v>#DIV/0!</v>
      </c>
      <c r="AS18" s="57" t="e">
        <f t="shared" si="23"/>
        <v>#DIV/0!</v>
      </c>
    </row>
    <row r="19" spans="1:45" ht="33" hidden="1" customHeight="1">
      <c r="A19" s="22">
        <v>0</v>
      </c>
      <c r="B19" s="22">
        <f>'INTERNAL TEST-1  '!B19</f>
        <v>0</v>
      </c>
      <c r="C19" s="202">
        <f>'INTERNAL TEST-1  '!C19</f>
        <v>0</v>
      </c>
      <c r="D19" s="12"/>
      <c r="E19" s="12"/>
      <c r="F19" s="12"/>
      <c r="G19" s="12"/>
      <c r="H19" s="12"/>
      <c r="I19" s="12"/>
      <c r="J19" s="12"/>
      <c r="K19" s="12"/>
      <c r="L19" s="12"/>
      <c r="M19" s="12"/>
      <c r="N19" s="12"/>
      <c r="O19" s="12"/>
      <c r="P19" s="12"/>
      <c r="Q19" s="12"/>
      <c r="R19" s="12"/>
      <c r="S19" s="12"/>
      <c r="T19" s="12"/>
      <c r="U19" s="13">
        <f t="shared" si="0"/>
        <v>0</v>
      </c>
      <c r="V19" s="13">
        <f t="shared" si="1"/>
        <v>0</v>
      </c>
      <c r="W19" s="13">
        <f t="shared" si="2"/>
        <v>0</v>
      </c>
      <c r="X19" s="13">
        <f t="shared" si="3"/>
        <v>0</v>
      </c>
      <c r="Y19" s="13">
        <f t="shared" si="4"/>
        <v>0</v>
      </c>
      <c r="Z19" s="13">
        <f t="shared" si="5"/>
        <v>0</v>
      </c>
      <c r="AA19" s="13">
        <f t="shared" si="6"/>
        <v>0</v>
      </c>
      <c r="AB19" s="13">
        <f t="shared" si="7"/>
        <v>0</v>
      </c>
      <c r="AC19" s="23">
        <f t="shared" si="24"/>
        <v>0</v>
      </c>
      <c r="AD19" s="23">
        <f t="shared" si="8"/>
        <v>0</v>
      </c>
      <c r="AE19" s="23">
        <f t="shared" si="17"/>
        <v>0</v>
      </c>
      <c r="AF19" s="23">
        <f t="shared" si="18"/>
        <v>0</v>
      </c>
      <c r="AG19" s="23">
        <f t="shared" si="19"/>
        <v>0</v>
      </c>
      <c r="AH19" s="13" t="e">
        <f t="shared" si="9"/>
        <v>#DIV/0!</v>
      </c>
      <c r="AI19" s="13" t="e">
        <f t="shared" si="10"/>
        <v>#DIV/0!</v>
      </c>
      <c r="AJ19" s="10" t="e">
        <f t="shared" si="11"/>
        <v>#DIV/0!</v>
      </c>
      <c r="AK19" s="6" t="e">
        <f t="shared" si="12"/>
        <v>#DIV/0!</v>
      </c>
      <c r="AL19" s="6" t="e">
        <f t="shared" si="13"/>
        <v>#DIV/0!</v>
      </c>
      <c r="AM19" s="6" t="e">
        <f t="shared" si="14"/>
        <v>#DIV/0!</v>
      </c>
      <c r="AN19" s="6" t="e">
        <f t="shared" si="15"/>
        <v>#DIV/0!</v>
      </c>
      <c r="AO19" s="57" t="e">
        <f t="shared" si="16"/>
        <v>#DIV/0!</v>
      </c>
      <c r="AP19" s="57" t="e">
        <f t="shared" si="20"/>
        <v>#DIV/0!</v>
      </c>
      <c r="AQ19" s="57" t="e">
        <f t="shared" si="21"/>
        <v>#DIV/0!</v>
      </c>
      <c r="AR19" s="57" t="e">
        <f t="shared" si="22"/>
        <v>#DIV/0!</v>
      </c>
      <c r="AS19" s="57" t="e">
        <f t="shared" si="23"/>
        <v>#DIV/0!</v>
      </c>
    </row>
    <row r="20" spans="1:45" ht="33" hidden="1" customHeight="1">
      <c r="A20" s="22">
        <v>0</v>
      </c>
      <c r="B20" s="22">
        <f>'INTERNAL TEST-1  '!B20</f>
        <v>0</v>
      </c>
      <c r="C20" s="202">
        <f>'INTERNAL TEST-1  '!C20</f>
        <v>0</v>
      </c>
      <c r="D20" s="12"/>
      <c r="E20" s="12"/>
      <c r="F20" s="12"/>
      <c r="G20" s="12"/>
      <c r="H20" s="12"/>
      <c r="I20" s="12"/>
      <c r="J20" s="12"/>
      <c r="K20" s="12"/>
      <c r="L20" s="12"/>
      <c r="M20" s="12"/>
      <c r="N20" s="12"/>
      <c r="O20" s="12"/>
      <c r="P20" s="12"/>
      <c r="Q20" s="12"/>
      <c r="R20" s="12"/>
      <c r="S20" s="12"/>
      <c r="T20" s="12"/>
      <c r="U20" s="13">
        <f t="shared" si="0"/>
        <v>0</v>
      </c>
      <c r="V20" s="13">
        <f t="shared" si="1"/>
        <v>0</v>
      </c>
      <c r="W20" s="13">
        <f t="shared" si="2"/>
        <v>0</v>
      </c>
      <c r="X20" s="13">
        <f t="shared" si="3"/>
        <v>0</v>
      </c>
      <c r="Y20" s="13">
        <f t="shared" si="4"/>
        <v>0</v>
      </c>
      <c r="Z20" s="13">
        <f t="shared" si="5"/>
        <v>0</v>
      </c>
      <c r="AA20" s="13">
        <f t="shared" si="6"/>
        <v>0</v>
      </c>
      <c r="AB20" s="13">
        <f t="shared" si="7"/>
        <v>0</v>
      </c>
      <c r="AC20" s="23">
        <f t="shared" si="24"/>
        <v>0</v>
      </c>
      <c r="AD20" s="23">
        <f t="shared" si="8"/>
        <v>0</v>
      </c>
      <c r="AE20" s="23">
        <f t="shared" si="17"/>
        <v>0</v>
      </c>
      <c r="AF20" s="23">
        <f t="shared" si="18"/>
        <v>0</v>
      </c>
      <c r="AG20" s="23">
        <f t="shared" si="19"/>
        <v>0</v>
      </c>
      <c r="AH20" s="13" t="e">
        <f t="shared" si="9"/>
        <v>#DIV/0!</v>
      </c>
      <c r="AI20" s="13" t="e">
        <f t="shared" si="10"/>
        <v>#DIV/0!</v>
      </c>
      <c r="AJ20" s="10" t="e">
        <f t="shared" si="11"/>
        <v>#DIV/0!</v>
      </c>
      <c r="AK20" s="6" t="e">
        <f t="shared" si="12"/>
        <v>#DIV/0!</v>
      </c>
      <c r="AL20" s="6" t="e">
        <f t="shared" si="13"/>
        <v>#DIV/0!</v>
      </c>
      <c r="AM20" s="6" t="e">
        <f t="shared" si="14"/>
        <v>#DIV/0!</v>
      </c>
      <c r="AN20" s="6" t="e">
        <f t="shared" si="15"/>
        <v>#DIV/0!</v>
      </c>
      <c r="AO20" s="57" t="e">
        <f t="shared" si="16"/>
        <v>#DIV/0!</v>
      </c>
      <c r="AP20" s="57" t="e">
        <f t="shared" si="20"/>
        <v>#DIV/0!</v>
      </c>
      <c r="AQ20" s="57" t="e">
        <f t="shared" si="21"/>
        <v>#DIV/0!</v>
      </c>
      <c r="AR20" s="57" t="e">
        <f t="shared" si="22"/>
        <v>#DIV/0!</v>
      </c>
      <c r="AS20" s="57" t="e">
        <f t="shared" si="23"/>
        <v>#DIV/0!</v>
      </c>
    </row>
    <row r="21" spans="1:45" ht="33" hidden="1" customHeight="1">
      <c r="A21" s="22">
        <v>0</v>
      </c>
      <c r="B21" s="22">
        <f>'INTERNAL TEST-1  '!B21</f>
        <v>0</v>
      </c>
      <c r="C21" s="202">
        <f>'INTERNAL TEST-1  '!C21</f>
        <v>0</v>
      </c>
      <c r="D21" s="12"/>
      <c r="E21" s="12"/>
      <c r="F21" s="12"/>
      <c r="G21" s="12"/>
      <c r="H21" s="12"/>
      <c r="I21" s="12"/>
      <c r="J21" s="12"/>
      <c r="K21" s="12"/>
      <c r="L21" s="12"/>
      <c r="M21" s="12"/>
      <c r="N21" s="12"/>
      <c r="O21" s="12"/>
      <c r="P21" s="12"/>
      <c r="Q21" s="12"/>
      <c r="R21" s="12"/>
      <c r="S21" s="12"/>
      <c r="T21" s="12"/>
      <c r="U21" s="13">
        <f t="shared" si="0"/>
        <v>0</v>
      </c>
      <c r="V21" s="13">
        <f t="shared" si="1"/>
        <v>0</v>
      </c>
      <c r="W21" s="13">
        <f t="shared" si="2"/>
        <v>0</v>
      </c>
      <c r="X21" s="13">
        <f t="shared" si="3"/>
        <v>0</v>
      </c>
      <c r="Y21" s="13">
        <f t="shared" si="4"/>
        <v>0</v>
      </c>
      <c r="Z21" s="13">
        <f t="shared" si="5"/>
        <v>0</v>
      </c>
      <c r="AA21" s="13">
        <f t="shared" si="6"/>
        <v>0</v>
      </c>
      <c r="AB21" s="13">
        <f t="shared" si="7"/>
        <v>0</v>
      </c>
      <c r="AC21" s="23">
        <f t="shared" si="24"/>
        <v>0</v>
      </c>
      <c r="AD21" s="23">
        <f t="shared" si="8"/>
        <v>0</v>
      </c>
      <c r="AE21" s="23">
        <f t="shared" si="17"/>
        <v>0</v>
      </c>
      <c r="AF21" s="23">
        <f t="shared" si="18"/>
        <v>0</v>
      </c>
      <c r="AG21" s="23">
        <f t="shared" si="19"/>
        <v>0</v>
      </c>
      <c r="AH21" s="13" t="e">
        <f t="shared" si="9"/>
        <v>#DIV/0!</v>
      </c>
      <c r="AI21" s="13" t="e">
        <f t="shared" si="10"/>
        <v>#DIV/0!</v>
      </c>
      <c r="AJ21" s="10" t="e">
        <f t="shared" si="11"/>
        <v>#DIV/0!</v>
      </c>
      <c r="AK21" s="6" t="e">
        <f t="shared" si="12"/>
        <v>#DIV/0!</v>
      </c>
      <c r="AL21" s="6" t="e">
        <f t="shared" si="13"/>
        <v>#DIV/0!</v>
      </c>
      <c r="AM21" s="6" t="e">
        <f t="shared" si="14"/>
        <v>#DIV/0!</v>
      </c>
      <c r="AN21" s="6" t="e">
        <f t="shared" si="15"/>
        <v>#DIV/0!</v>
      </c>
      <c r="AO21" s="57" t="e">
        <f t="shared" si="16"/>
        <v>#DIV/0!</v>
      </c>
      <c r="AP21" s="57" t="e">
        <f t="shared" si="20"/>
        <v>#DIV/0!</v>
      </c>
      <c r="AQ21" s="57" t="e">
        <f t="shared" si="21"/>
        <v>#DIV/0!</v>
      </c>
      <c r="AR21" s="57" t="e">
        <f t="shared" si="22"/>
        <v>#DIV/0!</v>
      </c>
      <c r="AS21" s="57" t="e">
        <f t="shared" si="23"/>
        <v>#DIV/0!</v>
      </c>
    </row>
    <row r="22" spans="1:45" ht="33" hidden="1" customHeight="1">
      <c r="A22" s="22">
        <v>0</v>
      </c>
      <c r="B22" s="22">
        <f>'INTERNAL TEST-1  '!B22</f>
        <v>0</v>
      </c>
      <c r="C22" s="202">
        <f>'INTERNAL TEST-1  '!C22</f>
        <v>0</v>
      </c>
      <c r="D22" s="12"/>
      <c r="E22" s="12"/>
      <c r="F22" s="12"/>
      <c r="G22" s="12"/>
      <c r="H22" s="12"/>
      <c r="I22" s="12"/>
      <c r="J22" s="12"/>
      <c r="K22" s="12"/>
      <c r="L22" s="12"/>
      <c r="M22" s="12"/>
      <c r="N22" s="12"/>
      <c r="O22" s="12"/>
      <c r="P22" s="12"/>
      <c r="Q22" s="12"/>
      <c r="R22" s="12"/>
      <c r="S22" s="12"/>
      <c r="T22" s="12"/>
      <c r="U22" s="13">
        <f t="shared" si="0"/>
        <v>0</v>
      </c>
      <c r="V22" s="13">
        <f t="shared" si="1"/>
        <v>0</v>
      </c>
      <c r="W22" s="13">
        <f t="shared" si="2"/>
        <v>0</v>
      </c>
      <c r="X22" s="13">
        <f t="shared" si="3"/>
        <v>0</v>
      </c>
      <c r="Y22" s="13">
        <f t="shared" si="4"/>
        <v>0</v>
      </c>
      <c r="Z22" s="13">
        <f t="shared" si="5"/>
        <v>0</v>
      </c>
      <c r="AA22" s="13">
        <f t="shared" si="6"/>
        <v>0</v>
      </c>
      <c r="AB22" s="13">
        <f t="shared" si="7"/>
        <v>0</v>
      </c>
      <c r="AC22" s="23">
        <f t="shared" si="24"/>
        <v>0</v>
      </c>
      <c r="AD22" s="23">
        <f t="shared" si="8"/>
        <v>0</v>
      </c>
      <c r="AE22" s="23">
        <f t="shared" si="17"/>
        <v>0</v>
      </c>
      <c r="AF22" s="23">
        <f t="shared" si="18"/>
        <v>0</v>
      </c>
      <c r="AG22" s="23">
        <f t="shared" si="19"/>
        <v>0</v>
      </c>
      <c r="AH22" s="13" t="e">
        <f t="shared" si="9"/>
        <v>#DIV/0!</v>
      </c>
      <c r="AI22" s="13" t="e">
        <f t="shared" si="10"/>
        <v>#DIV/0!</v>
      </c>
      <c r="AJ22" s="10" t="e">
        <f t="shared" si="11"/>
        <v>#DIV/0!</v>
      </c>
      <c r="AK22" s="6" t="e">
        <f t="shared" si="12"/>
        <v>#DIV/0!</v>
      </c>
      <c r="AL22" s="6" t="e">
        <f t="shared" si="13"/>
        <v>#DIV/0!</v>
      </c>
      <c r="AM22" s="6" t="e">
        <f t="shared" si="14"/>
        <v>#DIV/0!</v>
      </c>
      <c r="AN22" s="6" t="e">
        <f t="shared" si="15"/>
        <v>#DIV/0!</v>
      </c>
      <c r="AO22" s="57" t="e">
        <f t="shared" si="16"/>
        <v>#DIV/0!</v>
      </c>
      <c r="AP22" s="57" t="e">
        <f t="shared" si="20"/>
        <v>#DIV/0!</v>
      </c>
      <c r="AQ22" s="57" t="e">
        <f t="shared" si="21"/>
        <v>#DIV/0!</v>
      </c>
      <c r="AR22" s="57" t="e">
        <f t="shared" si="22"/>
        <v>#DIV/0!</v>
      </c>
      <c r="AS22" s="57" t="e">
        <f t="shared" si="23"/>
        <v>#DIV/0!</v>
      </c>
    </row>
    <row r="23" spans="1:45" ht="33" hidden="1" customHeight="1">
      <c r="A23" s="22">
        <v>0</v>
      </c>
      <c r="B23" s="22">
        <f>'INTERNAL TEST-1  '!B23</f>
        <v>0</v>
      </c>
      <c r="C23" s="202">
        <f>'INTERNAL TEST-1  '!C23</f>
        <v>0</v>
      </c>
      <c r="D23" s="12"/>
      <c r="E23" s="12"/>
      <c r="F23" s="12"/>
      <c r="G23" s="12"/>
      <c r="H23" s="12"/>
      <c r="I23" s="12"/>
      <c r="J23" s="12"/>
      <c r="K23" s="12"/>
      <c r="L23" s="12"/>
      <c r="M23" s="12"/>
      <c r="N23" s="12"/>
      <c r="O23" s="12"/>
      <c r="P23" s="12"/>
      <c r="Q23" s="12"/>
      <c r="R23" s="12"/>
      <c r="S23" s="12"/>
      <c r="T23" s="12"/>
      <c r="U23" s="13">
        <f t="shared" si="0"/>
        <v>0</v>
      </c>
      <c r="V23" s="13">
        <f t="shared" si="1"/>
        <v>0</v>
      </c>
      <c r="W23" s="13">
        <f t="shared" si="2"/>
        <v>0</v>
      </c>
      <c r="X23" s="13">
        <f t="shared" si="3"/>
        <v>0</v>
      </c>
      <c r="Y23" s="13">
        <f t="shared" si="4"/>
        <v>0</v>
      </c>
      <c r="Z23" s="13">
        <f t="shared" si="5"/>
        <v>0</v>
      </c>
      <c r="AA23" s="13">
        <f t="shared" si="6"/>
        <v>0</v>
      </c>
      <c r="AB23" s="13">
        <f t="shared" si="7"/>
        <v>0</v>
      </c>
      <c r="AC23" s="23">
        <f t="shared" si="24"/>
        <v>0</v>
      </c>
      <c r="AD23" s="23">
        <f t="shared" si="8"/>
        <v>0</v>
      </c>
      <c r="AE23" s="23">
        <f t="shared" si="17"/>
        <v>0</v>
      </c>
      <c r="AF23" s="23">
        <f t="shared" si="18"/>
        <v>0</v>
      </c>
      <c r="AG23" s="23">
        <f t="shared" si="19"/>
        <v>0</v>
      </c>
      <c r="AH23" s="13" t="e">
        <f t="shared" si="9"/>
        <v>#DIV/0!</v>
      </c>
      <c r="AI23" s="13" t="e">
        <f t="shared" si="10"/>
        <v>#DIV/0!</v>
      </c>
      <c r="AJ23" s="10" t="e">
        <f t="shared" si="11"/>
        <v>#DIV/0!</v>
      </c>
      <c r="AK23" s="6" t="e">
        <f t="shared" si="12"/>
        <v>#DIV/0!</v>
      </c>
      <c r="AL23" s="6" t="e">
        <f t="shared" si="13"/>
        <v>#DIV/0!</v>
      </c>
      <c r="AM23" s="6" t="e">
        <f t="shared" si="14"/>
        <v>#DIV/0!</v>
      </c>
      <c r="AN23" s="6" t="e">
        <f t="shared" si="15"/>
        <v>#DIV/0!</v>
      </c>
      <c r="AO23" s="57" t="e">
        <f t="shared" si="16"/>
        <v>#DIV/0!</v>
      </c>
      <c r="AP23" s="57" t="e">
        <f t="shared" si="20"/>
        <v>#DIV/0!</v>
      </c>
      <c r="AQ23" s="57" t="e">
        <f t="shared" si="21"/>
        <v>#DIV/0!</v>
      </c>
      <c r="AR23" s="57" t="e">
        <f t="shared" si="22"/>
        <v>#DIV/0!</v>
      </c>
      <c r="AS23" s="57" t="e">
        <f t="shared" si="23"/>
        <v>#DIV/0!</v>
      </c>
    </row>
    <row r="24" spans="1:45" ht="33" hidden="1" customHeight="1">
      <c r="A24" s="22">
        <v>0</v>
      </c>
      <c r="B24" s="22">
        <f>'INTERNAL TEST-1  '!B24</f>
        <v>0</v>
      </c>
      <c r="C24" s="202">
        <f>'INTERNAL TEST-1  '!C24</f>
        <v>0</v>
      </c>
      <c r="D24" s="12"/>
      <c r="E24" s="12"/>
      <c r="F24" s="12"/>
      <c r="G24" s="12"/>
      <c r="H24" s="12"/>
      <c r="I24" s="12"/>
      <c r="J24" s="12"/>
      <c r="K24" s="12"/>
      <c r="L24" s="12"/>
      <c r="M24" s="12"/>
      <c r="N24" s="12"/>
      <c r="O24" s="12"/>
      <c r="P24" s="12"/>
      <c r="Q24" s="12"/>
      <c r="R24" s="12"/>
      <c r="S24" s="12"/>
      <c r="T24" s="12"/>
      <c r="U24" s="13">
        <f t="shared" si="0"/>
        <v>0</v>
      </c>
      <c r="V24" s="13">
        <f t="shared" si="1"/>
        <v>0</v>
      </c>
      <c r="W24" s="13">
        <f t="shared" si="2"/>
        <v>0</v>
      </c>
      <c r="X24" s="13">
        <f t="shared" si="3"/>
        <v>0</v>
      </c>
      <c r="Y24" s="13">
        <f t="shared" si="4"/>
        <v>0</v>
      </c>
      <c r="Z24" s="13">
        <f t="shared" si="5"/>
        <v>0</v>
      </c>
      <c r="AA24" s="13">
        <f t="shared" si="6"/>
        <v>0</v>
      </c>
      <c r="AB24" s="13">
        <f t="shared" si="7"/>
        <v>0</v>
      </c>
      <c r="AC24" s="23">
        <f t="shared" si="24"/>
        <v>0</v>
      </c>
      <c r="AD24" s="23">
        <f t="shared" si="8"/>
        <v>0</v>
      </c>
      <c r="AE24" s="23">
        <f t="shared" si="17"/>
        <v>0</v>
      </c>
      <c r="AF24" s="23">
        <f t="shared" si="18"/>
        <v>0</v>
      </c>
      <c r="AG24" s="23">
        <f t="shared" si="19"/>
        <v>0</v>
      </c>
      <c r="AH24" s="13" t="e">
        <f t="shared" si="9"/>
        <v>#DIV/0!</v>
      </c>
      <c r="AI24" s="13" t="e">
        <f t="shared" si="10"/>
        <v>#DIV/0!</v>
      </c>
      <c r="AJ24" s="10" t="e">
        <f t="shared" si="11"/>
        <v>#DIV/0!</v>
      </c>
      <c r="AK24" s="6" t="e">
        <f t="shared" si="12"/>
        <v>#DIV/0!</v>
      </c>
      <c r="AL24" s="6" t="e">
        <f t="shared" si="13"/>
        <v>#DIV/0!</v>
      </c>
      <c r="AM24" s="6" t="e">
        <f t="shared" si="14"/>
        <v>#DIV/0!</v>
      </c>
      <c r="AN24" s="6" t="e">
        <f t="shared" si="15"/>
        <v>#DIV/0!</v>
      </c>
      <c r="AO24" s="57" t="e">
        <f t="shared" si="16"/>
        <v>#DIV/0!</v>
      </c>
      <c r="AP24" s="57" t="e">
        <f t="shared" si="20"/>
        <v>#DIV/0!</v>
      </c>
      <c r="AQ24" s="57" t="e">
        <f t="shared" si="21"/>
        <v>#DIV/0!</v>
      </c>
      <c r="AR24" s="57" t="e">
        <f t="shared" si="22"/>
        <v>#DIV/0!</v>
      </c>
      <c r="AS24" s="57" t="e">
        <f t="shared" si="23"/>
        <v>#DIV/0!</v>
      </c>
    </row>
    <row r="25" spans="1:45" ht="33" hidden="1" customHeight="1">
      <c r="A25" s="22">
        <v>0</v>
      </c>
      <c r="B25" s="22">
        <f>'INTERNAL TEST-1  '!B25</f>
        <v>0</v>
      </c>
      <c r="C25" s="202">
        <f>'INTERNAL TEST-1  '!C25</f>
        <v>0</v>
      </c>
      <c r="D25" s="12"/>
      <c r="E25" s="12"/>
      <c r="F25" s="12"/>
      <c r="G25" s="12"/>
      <c r="H25" s="12"/>
      <c r="I25" s="12"/>
      <c r="J25" s="12"/>
      <c r="K25" s="12"/>
      <c r="L25" s="12"/>
      <c r="M25" s="12"/>
      <c r="N25" s="12"/>
      <c r="O25" s="12"/>
      <c r="P25" s="12"/>
      <c r="Q25" s="12"/>
      <c r="R25" s="12"/>
      <c r="S25" s="12"/>
      <c r="T25" s="12"/>
      <c r="U25" s="13">
        <f t="shared" si="0"/>
        <v>0</v>
      </c>
      <c r="V25" s="13">
        <f t="shared" si="1"/>
        <v>0</v>
      </c>
      <c r="W25" s="13">
        <f t="shared" si="2"/>
        <v>0</v>
      </c>
      <c r="X25" s="13">
        <f t="shared" si="3"/>
        <v>0</v>
      </c>
      <c r="Y25" s="13">
        <f t="shared" si="4"/>
        <v>0</v>
      </c>
      <c r="Z25" s="13">
        <f t="shared" si="5"/>
        <v>0</v>
      </c>
      <c r="AA25" s="13">
        <f t="shared" si="6"/>
        <v>0</v>
      </c>
      <c r="AB25" s="13">
        <f t="shared" si="7"/>
        <v>0</v>
      </c>
      <c r="AC25" s="23">
        <f t="shared" si="24"/>
        <v>0</v>
      </c>
      <c r="AD25" s="23">
        <f t="shared" si="8"/>
        <v>0</v>
      </c>
      <c r="AE25" s="23">
        <f t="shared" si="17"/>
        <v>0</v>
      </c>
      <c r="AF25" s="23">
        <f t="shared" si="18"/>
        <v>0</v>
      </c>
      <c r="AG25" s="23">
        <f t="shared" si="19"/>
        <v>0</v>
      </c>
      <c r="AH25" s="13" t="e">
        <f t="shared" si="9"/>
        <v>#DIV/0!</v>
      </c>
      <c r="AI25" s="13" t="e">
        <f t="shared" si="10"/>
        <v>#DIV/0!</v>
      </c>
      <c r="AJ25" s="10" t="e">
        <f t="shared" si="11"/>
        <v>#DIV/0!</v>
      </c>
      <c r="AK25" s="6" t="e">
        <f t="shared" si="12"/>
        <v>#DIV/0!</v>
      </c>
      <c r="AL25" s="6" t="e">
        <f t="shared" si="13"/>
        <v>#DIV/0!</v>
      </c>
      <c r="AM25" s="6" t="e">
        <f t="shared" si="14"/>
        <v>#DIV/0!</v>
      </c>
      <c r="AN25" s="6" t="e">
        <f t="shared" si="15"/>
        <v>#DIV/0!</v>
      </c>
      <c r="AO25" s="57" t="e">
        <f t="shared" si="16"/>
        <v>#DIV/0!</v>
      </c>
      <c r="AP25" s="57" t="e">
        <f t="shared" si="20"/>
        <v>#DIV/0!</v>
      </c>
      <c r="AQ25" s="57" t="e">
        <f t="shared" si="21"/>
        <v>#DIV/0!</v>
      </c>
      <c r="AR25" s="57" t="e">
        <f t="shared" si="22"/>
        <v>#DIV/0!</v>
      </c>
      <c r="AS25" s="57" t="e">
        <f t="shared" si="23"/>
        <v>#DIV/0!</v>
      </c>
    </row>
    <row r="26" spans="1:45" ht="33" hidden="1" customHeight="1">
      <c r="A26" s="22">
        <v>0</v>
      </c>
      <c r="B26" s="22">
        <f>'INTERNAL TEST-1  '!B26</f>
        <v>0</v>
      </c>
      <c r="C26" s="202">
        <f>'INTERNAL TEST-1  '!C26</f>
        <v>0</v>
      </c>
      <c r="D26" s="12"/>
      <c r="E26" s="12"/>
      <c r="F26" s="12"/>
      <c r="G26" s="12"/>
      <c r="H26" s="12"/>
      <c r="I26" s="12"/>
      <c r="J26" s="12"/>
      <c r="K26" s="12"/>
      <c r="L26" s="12"/>
      <c r="M26" s="12"/>
      <c r="N26" s="12"/>
      <c r="O26" s="12"/>
      <c r="P26" s="12"/>
      <c r="Q26" s="12"/>
      <c r="R26" s="12"/>
      <c r="S26" s="12"/>
      <c r="T26" s="12"/>
      <c r="U26" s="13">
        <f t="shared" si="0"/>
        <v>0</v>
      </c>
      <c r="V26" s="13">
        <f t="shared" si="1"/>
        <v>0</v>
      </c>
      <c r="W26" s="13">
        <f t="shared" si="2"/>
        <v>0</v>
      </c>
      <c r="X26" s="13">
        <f t="shared" si="3"/>
        <v>0</v>
      </c>
      <c r="Y26" s="13">
        <f t="shared" si="4"/>
        <v>0</v>
      </c>
      <c r="Z26" s="13">
        <f t="shared" si="5"/>
        <v>0</v>
      </c>
      <c r="AA26" s="13">
        <f t="shared" si="6"/>
        <v>0</v>
      </c>
      <c r="AB26" s="13">
        <f t="shared" si="7"/>
        <v>0</v>
      </c>
      <c r="AC26" s="23">
        <f t="shared" si="24"/>
        <v>0</v>
      </c>
      <c r="AD26" s="23">
        <f t="shared" si="8"/>
        <v>0</v>
      </c>
      <c r="AE26" s="23">
        <f t="shared" si="17"/>
        <v>0</v>
      </c>
      <c r="AF26" s="23">
        <f t="shared" si="18"/>
        <v>0</v>
      </c>
      <c r="AG26" s="23">
        <f t="shared" si="19"/>
        <v>0</v>
      </c>
      <c r="AH26" s="13" t="e">
        <f t="shared" si="9"/>
        <v>#DIV/0!</v>
      </c>
      <c r="AI26" s="13" t="e">
        <f t="shared" si="10"/>
        <v>#DIV/0!</v>
      </c>
      <c r="AJ26" s="10" t="e">
        <f t="shared" si="11"/>
        <v>#DIV/0!</v>
      </c>
      <c r="AK26" s="6" t="e">
        <f t="shared" si="12"/>
        <v>#DIV/0!</v>
      </c>
      <c r="AL26" s="6" t="e">
        <f t="shared" si="13"/>
        <v>#DIV/0!</v>
      </c>
      <c r="AM26" s="6" t="e">
        <f t="shared" si="14"/>
        <v>#DIV/0!</v>
      </c>
      <c r="AN26" s="6" t="e">
        <f t="shared" si="15"/>
        <v>#DIV/0!</v>
      </c>
      <c r="AO26" s="57" t="e">
        <f t="shared" si="16"/>
        <v>#DIV/0!</v>
      </c>
      <c r="AP26" s="57" t="e">
        <f t="shared" si="20"/>
        <v>#DIV/0!</v>
      </c>
      <c r="AQ26" s="57" t="e">
        <f t="shared" si="21"/>
        <v>#DIV/0!</v>
      </c>
      <c r="AR26" s="57" t="e">
        <f t="shared" si="22"/>
        <v>#DIV/0!</v>
      </c>
      <c r="AS26" s="57" t="e">
        <f t="shared" si="23"/>
        <v>#DIV/0!</v>
      </c>
    </row>
    <row r="27" spans="1:45" ht="33" hidden="1" customHeight="1">
      <c r="A27" s="22">
        <v>0</v>
      </c>
      <c r="B27" s="22">
        <f>'INTERNAL TEST-1  '!B27</f>
        <v>0</v>
      </c>
      <c r="C27" s="202">
        <f>'INTERNAL TEST-1  '!C27</f>
        <v>0</v>
      </c>
      <c r="D27" s="12"/>
      <c r="E27" s="12"/>
      <c r="F27" s="12"/>
      <c r="G27" s="12"/>
      <c r="H27" s="12"/>
      <c r="I27" s="12"/>
      <c r="J27" s="12"/>
      <c r="K27" s="12"/>
      <c r="L27" s="12"/>
      <c r="M27" s="12"/>
      <c r="N27" s="12"/>
      <c r="O27" s="12"/>
      <c r="P27" s="12"/>
      <c r="Q27" s="12"/>
      <c r="R27" s="12"/>
      <c r="S27" s="12"/>
      <c r="T27" s="12"/>
      <c r="U27" s="13">
        <f t="shared" si="0"/>
        <v>0</v>
      </c>
      <c r="V27" s="13">
        <f t="shared" si="1"/>
        <v>0</v>
      </c>
      <c r="W27" s="13">
        <f t="shared" si="2"/>
        <v>0</v>
      </c>
      <c r="X27" s="13">
        <f t="shared" si="3"/>
        <v>0</v>
      </c>
      <c r="Y27" s="13">
        <f t="shared" si="4"/>
        <v>0</v>
      </c>
      <c r="Z27" s="13">
        <f t="shared" si="5"/>
        <v>0</v>
      </c>
      <c r="AA27" s="13">
        <f t="shared" si="6"/>
        <v>0</v>
      </c>
      <c r="AB27" s="13">
        <f t="shared" si="7"/>
        <v>0</v>
      </c>
      <c r="AC27" s="23">
        <f t="shared" si="24"/>
        <v>0</v>
      </c>
      <c r="AD27" s="23">
        <f t="shared" si="8"/>
        <v>0</v>
      </c>
      <c r="AE27" s="23">
        <f t="shared" si="17"/>
        <v>0</v>
      </c>
      <c r="AF27" s="23">
        <f t="shared" si="18"/>
        <v>0</v>
      </c>
      <c r="AG27" s="23">
        <f t="shared" si="19"/>
        <v>0</v>
      </c>
      <c r="AH27" s="13" t="e">
        <f t="shared" si="9"/>
        <v>#DIV/0!</v>
      </c>
      <c r="AI27" s="13" t="e">
        <f t="shared" si="10"/>
        <v>#DIV/0!</v>
      </c>
      <c r="AJ27" s="10" t="e">
        <f t="shared" si="11"/>
        <v>#DIV/0!</v>
      </c>
      <c r="AK27" s="6" t="e">
        <f t="shared" si="12"/>
        <v>#DIV/0!</v>
      </c>
      <c r="AL27" s="6" t="e">
        <f t="shared" si="13"/>
        <v>#DIV/0!</v>
      </c>
      <c r="AM27" s="6" t="e">
        <f t="shared" si="14"/>
        <v>#DIV/0!</v>
      </c>
      <c r="AN27" s="6" t="e">
        <f t="shared" si="15"/>
        <v>#DIV/0!</v>
      </c>
      <c r="AO27" s="57" t="e">
        <f t="shared" si="16"/>
        <v>#DIV/0!</v>
      </c>
      <c r="AP27" s="57" t="e">
        <f t="shared" si="20"/>
        <v>#DIV/0!</v>
      </c>
      <c r="AQ27" s="57" t="e">
        <f t="shared" si="21"/>
        <v>#DIV/0!</v>
      </c>
      <c r="AR27" s="57" t="e">
        <f t="shared" si="22"/>
        <v>#DIV/0!</v>
      </c>
      <c r="AS27" s="57" t="e">
        <f t="shared" si="23"/>
        <v>#DIV/0!</v>
      </c>
    </row>
    <row r="28" spans="1:45" ht="33" hidden="1" customHeight="1">
      <c r="A28" s="22">
        <v>0</v>
      </c>
      <c r="B28" s="22">
        <f>'INTERNAL TEST-1  '!B28</f>
        <v>0</v>
      </c>
      <c r="C28" s="202">
        <f>'INTERNAL TEST-1  '!C28</f>
        <v>0</v>
      </c>
      <c r="D28" s="12"/>
      <c r="E28" s="12"/>
      <c r="F28" s="12"/>
      <c r="G28" s="12"/>
      <c r="H28" s="12"/>
      <c r="I28" s="12"/>
      <c r="J28" s="12"/>
      <c r="K28" s="12"/>
      <c r="L28" s="12"/>
      <c r="M28" s="12"/>
      <c r="N28" s="12"/>
      <c r="O28" s="12"/>
      <c r="P28" s="12"/>
      <c r="Q28" s="12"/>
      <c r="R28" s="12"/>
      <c r="S28" s="12"/>
      <c r="T28" s="12"/>
      <c r="U28" s="13">
        <f t="shared" si="0"/>
        <v>0</v>
      </c>
      <c r="V28" s="13">
        <f t="shared" si="1"/>
        <v>0</v>
      </c>
      <c r="W28" s="13">
        <f t="shared" si="2"/>
        <v>0</v>
      </c>
      <c r="X28" s="13">
        <f t="shared" si="3"/>
        <v>0</v>
      </c>
      <c r="Y28" s="13">
        <f t="shared" si="4"/>
        <v>0</v>
      </c>
      <c r="Z28" s="13">
        <f t="shared" si="5"/>
        <v>0</v>
      </c>
      <c r="AA28" s="13">
        <f t="shared" si="6"/>
        <v>0</v>
      </c>
      <c r="AB28" s="13">
        <f t="shared" si="7"/>
        <v>0</v>
      </c>
      <c r="AC28" s="23">
        <f t="shared" si="24"/>
        <v>0</v>
      </c>
      <c r="AD28" s="23">
        <f t="shared" si="8"/>
        <v>0</v>
      </c>
      <c r="AE28" s="23">
        <f t="shared" si="17"/>
        <v>0</v>
      </c>
      <c r="AF28" s="23">
        <f t="shared" si="18"/>
        <v>0</v>
      </c>
      <c r="AG28" s="23">
        <f t="shared" si="19"/>
        <v>0</v>
      </c>
      <c r="AH28" s="13" t="e">
        <f t="shared" si="9"/>
        <v>#DIV/0!</v>
      </c>
      <c r="AI28" s="13" t="e">
        <f t="shared" si="10"/>
        <v>#DIV/0!</v>
      </c>
      <c r="AJ28" s="10" t="e">
        <f t="shared" si="11"/>
        <v>#DIV/0!</v>
      </c>
      <c r="AK28" s="6" t="e">
        <f t="shared" si="12"/>
        <v>#DIV/0!</v>
      </c>
      <c r="AL28" s="6" t="e">
        <f t="shared" si="13"/>
        <v>#DIV/0!</v>
      </c>
      <c r="AM28" s="6" t="e">
        <f t="shared" si="14"/>
        <v>#DIV/0!</v>
      </c>
      <c r="AN28" s="6" t="e">
        <f t="shared" si="15"/>
        <v>#DIV/0!</v>
      </c>
      <c r="AO28" s="57" t="e">
        <f t="shared" si="16"/>
        <v>#DIV/0!</v>
      </c>
      <c r="AP28" s="57" t="e">
        <f t="shared" si="20"/>
        <v>#DIV/0!</v>
      </c>
      <c r="AQ28" s="57" t="e">
        <f t="shared" si="21"/>
        <v>#DIV/0!</v>
      </c>
      <c r="AR28" s="57" t="e">
        <f t="shared" si="22"/>
        <v>#DIV/0!</v>
      </c>
      <c r="AS28" s="57" t="e">
        <f t="shared" si="23"/>
        <v>#DIV/0!</v>
      </c>
    </row>
    <row r="29" spans="1:45" ht="33" hidden="1" customHeight="1">
      <c r="A29" s="22">
        <v>0</v>
      </c>
      <c r="B29" s="22">
        <f>'INTERNAL TEST-1  '!B29</f>
        <v>0</v>
      </c>
      <c r="C29" s="202">
        <f>'INTERNAL TEST-1  '!C29</f>
        <v>0</v>
      </c>
      <c r="D29" s="12"/>
      <c r="E29" s="12"/>
      <c r="F29" s="12"/>
      <c r="G29" s="12"/>
      <c r="H29" s="12"/>
      <c r="I29" s="12"/>
      <c r="J29" s="12"/>
      <c r="K29" s="12"/>
      <c r="L29" s="12"/>
      <c r="M29" s="12"/>
      <c r="N29" s="12"/>
      <c r="O29" s="12"/>
      <c r="P29" s="12"/>
      <c r="Q29" s="12"/>
      <c r="R29" s="12"/>
      <c r="S29" s="12"/>
      <c r="T29" s="12"/>
      <c r="U29" s="13">
        <f t="shared" si="0"/>
        <v>0</v>
      </c>
      <c r="V29" s="13">
        <f t="shared" si="1"/>
        <v>0</v>
      </c>
      <c r="W29" s="13">
        <f t="shared" si="2"/>
        <v>0</v>
      </c>
      <c r="X29" s="13">
        <f t="shared" si="3"/>
        <v>0</v>
      </c>
      <c r="Y29" s="13">
        <f t="shared" si="4"/>
        <v>0</v>
      </c>
      <c r="Z29" s="13">
        <f t="shared" si="5"/>
        <v>0</v>
      </c>
      <c r="AA29" s="13">
        <f t="shared" si="6"/>
        <v>0</v>
      </c>
      <c r="AB29" s="13">
        <f t="shared" si="7"/>
        <v>0</v>
      </c>
      <c r="AC29" s="23">
        <f t="shared" si="24"/>
        <v>0</v>
      </c>
      <c r="AD29" s="23">
        <f t="shared" si="8"/>
        <v>0</v>
      </c>
      <c r="AE29" s="23">
        <f t="shared" si="17"/>
        <v>0</v>
      </c>
      <c r="AF29" s="23">
        <f t="shared" si="18"/>
        <v>0</v>
      </c>
      <c r="AG29" s="23">
        <f t="shared" si="19"/>
        <v>0</v>
      </c>
      <c r="AH29" s="13" t="e">
        <f t="shared" si="9"/>
        <v>#DIV/0!</v>
      </c>
      <c r="AI29" s="13" t="e">
        <f t="shared" si="10"/>
        <v>#DIV/0!</v>
      </c>
      <c r="AJ29" s="10" t="e">
        <f t="shared" si="11"/>
        <v>#DIV/0!</v>
      </c>
      <c r="AK29" s="6" t="e">
        <f t="shared" si="12"/>
        <v>#DIV/0!</v>
      </c>
      <c r="AL29" s="6" t="e">
        <f t="shared" si="13"/>
        <v>#DIV/0!</v>
      </c>
      <c r="AM29" s="6" t="e">
        <f t="shared" si="14"/>
        <v>#DIV/0!</v>
      </c>
      <c r="AN29" s="6" t="e">
        <f t="shared" si="15"/>
        <v>#DIV/0!</v>
      </c>
      <c r="AO29" s="57" t="e">
        <f t="shared" si="16"/>
        <v>#DIV/0!</v>
      </c>
      <c r="AP29" s="57" t="e">
        <f t="shared" si="20"/>
        <v>#DIV/0!</v>
      </c>
      <c r="AQ29" s="57" t="e">
        <f t="shared" si="21"/>
        <v>#DIV/0!</v>
      </c>
      <c r="AR29" s="57" t="e">
        <f t="shared" si="22"/>
        <v>#DIV/0!</v>
      </c>
      <c r="AS29" s="57" t="e">
        <f t="shared" si="23"/>
        <v>#DIV/0!</v>
      </c>
    </row>
    <row r="30" spans="1:45" ht="33" hidden="1" customHeight="1">
      <c r="A30" s="22">
        <v>0</v>
      </c>
      <c r="B30" s="22">
        <f>'INTERNAL TEST-1  '!B30</f>
        <v>0</v>
      </c>
      <c r="C30" s="202">
        <f>'INTERNAL TEST-1  '!C30</f>
        <v>0</v>
      </c>
      <c r="D30" s="12"/>
      <c r="E30" s="12"/>
      <c r="F30" s="12"/>
      <c r="G30" s="12"/>
      <c r="H30" s="12"/>
      <c r="I30" s="12"/>
      <c r="J30" s="12"/>
      <c r="K30" s="12"/>
      <c r="L30" s="12"/>
      <c r="M30" s="12"/>
      <c r="N30" s="12"/>
      <c r="O30" s="12"/>
      <c r="P30" s="12"/>
      <c r="Q30" s="12"/>
      <c r="R30" s="12"/>
      <c r="S30" s="12"/>
      <c r="T30" s="12"/>
      <c r="U30" s="13">
        <f t="shared" si="0"/>
        <v>0</v>
      </c>
      <c r="V30" s="13">
        <f t="shared" si="1"/>
        <v>0</v>
      </c>
      <c r="W30" s="13">
        <f t="shared" si="2"/>
        <v>0</v>
      </c>
      <c r="X30" s="13">
        <f t="shared" si="3"/>
        <v>0</v>
      </c>
      <c r="Y30" s="13">
        <f t="shared" si="4"/>
        <v>0</v>
      </c>
      <c r="Z30" s="13">
        <f t="shared" si="5"/>
        <v>0</v>
      </c>
      <c r="AA30" s="13">
        <f t="shared" si="6"/>
        <v>0</v>
      </c>
      <c r="AB30" s="13">
        <f t="shared" si="7"/>
        <v>0</v>
      </c>
      <c r="AC30" s="23">
        <f t="shared" si="24"/>
        <v>0</v>
      </c>
      <c r="AD30" s="23">
        <f t="shared" si="8"/>
        <v>0</v>
      </c>
      <c r="AE30" s="23">
        <f t="shared" si="17"/>
        <v>0</v>
      </c>
      <c r="AF30" s="23">
        <f t="shared" si="18"/>
        <v>0</v>
      </c>
      <c r="AG30" s="23">
        <f t="shared" si="19"/>
        <v>0</v>
      </c>
      <c r="AH30" s="13" t="e">
        <f t="shared" si="9"/>
        <v>#DIV/0!</v>
      </c>
      <c r="AI30" s="13" t="e">
        <f t="shared" si="10"/>
        <v>#DIV/0!</v>
      </c>
      <c r="AJ30" s="10" t="e">
        <f t="shared" si="11"/>
        <v>#DIV/0!</v>
      </c>
      <c r="AK30" s="6" t="e">
        <f t="shared" si="12"/>
        <v>#DIV/0!</v>
      </c>
      <c r="AL30" s="6" t="e">
        <f t="shared" si="13"/>
        <v>#DIV/0!</v>
      </c>
      <c r="AM30" s="6" t="e">
        <f t="shared" si="14"/>
        <v>#DIV/0!</v>
      </c>
      <c r="AN30" s="6" t="e">
        <f t="shared" si="15"/>
        <v>#DIV/0!</v>
      </c>
      <c r="AO30" s="57" t="e">
        <f t="shared" si="16"/>
        <v>#DIV/0!</v>
      </c>
      <c r="AP30" s="57" t="e">
        <f t="shared" si="20"/>
        <v>#DIV/0!</v>
      </c>
      <c r="AQ30" s="57" t="e">
        <f t="shared" si="21"/>
        <v>#DIV/0!</v>
      </c>
      <c r="AR30" s="57" t="e">
        <f t="shared" si="22"/>
        <v>#DIV/0!</v>
      </c>
      <c r="AS30" s="57" t="e">
        <f t="shared" si="23"/>
        <v>#DIV/0!</v>
      </c>
    </row>
    <row r="31" spans="1:45" ht="33" hidden="1" customHeight="1">
      <c r="A31" s="22">
        <v>0</v>
      </c>
      <c r="B31" s="22">
        <f>'INTERNAL TEST-1  '!B31</f>
        <v>0</v>
      </c>
      <c r="C31" s="202">
        <f>'INTERNAL TEST-1  '!C31</f>
        <v>0</v>
      </c>
      <c r="D31" s="12"/>
      <c r="E31" s="12"/>
      <c r="F31" s="12"/>
      <c r="G31" s="12"/>
      <c r="H31" s="12"/>
      <c r="I31" s="12"/>
      <c r="J31" s="12"/>
      <c r="K31" s="12"/>
      <c r="L31" s="12"/>
      <c r="M31" s="12"/>
      <c r="N31" s="12"/>
      <c r="O31" s="12"/>
      <c r="P31" s="12"/>
      <c r="Q31" s="12"/>
      <c r="R31" s="12"/>
      <c r="S31" s="12"/>
      <c r="T31" s="12"/>
      <c r="U31" s="13">
        <f t="shared" si="0"/>
        <v>0</v>
      </c>
      <c r="V31" s="13">
        <f t="shared" si="1"/>
        <v>0</v>
      </c>
      <c r="W31" s="13">
        <f t="shared" si="2"/>
        <v>0</v>
      </c>
      <c r="X31" s="13">
        <f t="shared" si="3"/>
        <v>0</v>
      </c>
      <c r="Y31" s="13">
        <f t="shared" si="4"/>
        <v>0</v>
      </c>
      <c r="Z31" s="13">
        <f t="shared" si="5"/>
        <v>0</v>
      </c>
      <c r="AA31" s="13">
        <f t="shared" si="6"/>
        <v>0</v>
      </c>
      <c r="AB31" s="13">
        <f t="shared" si="7"/>
        <v>0</v>
      </c>
      <c r="AC31" s="23">
        <f t="shared" si="24"/>
        <v>0</v>
      </c>
      <c r="AD31" s="23">
        <f t="shared" si="8"/>
        <v>0</v>
      </c>
      <c r="AE31" s="23">
        <f t="shared" si="17"/>
        <v>0</v>
      </c>
      <c r="AF31" s="23">
        <f t="shared" si="18"/>
        <v>0</v>
      </c>
      <c r="AG31" s="23">
        <f t="shared" si="19"/>
        <v>0</v>
      </c>
      <c r="AH31" s="13" t="e">
        <f t="shared" si="9"/>
        <v>#DIV/0!</v>
      </c>
      <c r="AI31" s="13" t="e">
        <f t="shared" si="10"/>
        <v>#DIV/0!</v>
      </c>
      <c r="AJ31" s="10" t="e">
        <f t="shared" si="11"/>
        <v>#DIV/0!</v>
      </c>
      <c r="AK31" s="6" t="e">
        <f t="shared" si="12"/>
        <v>#DIV/0!</v>
      </c>
      <c r="AL31" s="6" t="e">
        <f t="shared" si="13"/>
        <v>#DIV/0!</v>
      </c>
      <c r="AM31" s="6" t="e">
        <f t="shared" si="14"/>
        <v>#DIV/0!</v>
      </c>
      <c r="AN31" s="6" t="e">
        <f t="shared" si="15"/>
        <v>#DIV/0!</v>
      </c>
      <c r="AO31" s="57" t="e">
        <f t="shared" si="16"/>
        <v>#DIV/0!</v>
      </c>
      <c r="AP31" s="57" t="e">
        <f t="shared" si="20"/>
        <v>#DIV/0!</v>
      </c>
      <c r="AQ31" s="57" t="e">
        <f t="shared" si="21"/>
        <v>#DIV/0!</v>
      </c>
      <c r="AR31" s="57" t="e">
        <f t="shared" si="22"/>
        <v>#DIV/0!</v>
      </c>
      <c r="AS31" s="57" t="e">
        <f t="shared" si="23"/>
        <v>#DIV/0!</v>
      </c>
    </row>
    <row r="32" spans="1:45" ht="33" hidden="1" customHeight="1">
      <c r="A32" s="22">
        <v>0</v>
      </c>
      <c r="B32" s="22">
        <f>'INTERNAL TEST-1  '!B32</f>
        <v>0</v>
      </c>
      <c r="C32" s="202">
        <f>'INTERNAL TEST-1  '!C32</f>
        <v>0</v>
      </c>
      <c r="D32" s="12"/>
      <c r="E32" s="12"/>
      <c r="F32" s="12"/>
      <c r="G32" s="12"/>
      <c r="H32" s="12"/>
      <c r="I32" s="12"/>
      <c r="J32" s="12"/>
      <c r="K32" s="12"/>
      <c r="L32" s="12"/>
      <c r="M32" s="12"/>
      <c r="N32" s="12"/>
      <c r="O32" s="12"/>
      <c r="P32" s="12"/>
      <c r="Q32" s="12"/>
      <c r="R32" s="12"/>
      <c r="S32" s="12"/>
      <c r="T32" s="12"/>
      <c r="U32" s="13">
        <f t="shared" si="0"/>
        <v>0</v>
      </c>
      <c r="V32" s="13">
        <f t="shared" si="1"/>
        <v>0</v>
      </c>
      <c r="W32" s="13">
        <f t="shared" si="2"/>
        <v>0</v>
      </c>
      <c r="X32" s="13">
        <f t="shared" si="3"/>
        <v>0</v>
      </c>
      <c r="Y32" s="13">
        <f t="shared" si="4"/>
        <v>0</v>
      </c>
      <c r="Z32" s="13">
        <f t="shared" si="5"/>
        <v>0</v>
      </c>
      <c r="AA32" s="13">
        <f t="shared" si="6"/>
        <v>0</v>
      </c>
      <c r="AB32" s="13">
        <f t="shared" si="7"/>
        <v>0</v>
      </c>
      <c r="AC32" s="23">
        <f t="shared" si="24"/>
        <v>0</v>
      </c>
      <c r="AD32" s="23">
        <f t="shared" si="8"/>
        <v>0</v>
      </c>
      <c r="AE32" s="23">
        <f t="shared" si="17"/>
        <v>0</v>
      </c>
      <c r="AF32" s="23">
        <f t="shared" si="18"/>
        <v>0</v>
      </c>
      <c r="AG32" s="23">
        <f t="shared" si="19"/>
        <v>0</v>
      </c>
      <c r="AH32" s="13" t="e">
        <f t="shared" si="9"/>
        <v>#DIV/0!</v>
      </c>
      <c r="AI32" s="13" t="e">
        <f t="shared" si="10"/>
        <v>#DIV/0!</v>
      </c>
      <c r="AJ32" s="10" t="e">
        <f t="shared" si="11"/>
        <v>#DIV/0!</v>
      </c>
      <c r="AK32" s="6" t="e">
        <f t="shared" si="12"/>
        <v>#DIV/0!</v>
      </c>
      <c r="AL32" s="6" t="e">
        <f t="shared" si="13"/>
        <v>#DIV/0!</v>
      </c>
      <c r="AM32" s="6" t="e">
        <f t="shared" si="14"/>
        <v>#DIV/0!</v>
      </c>
      <c r="AN32" s="6" t="e">
        <f t="shared" si="15"/>
        <v>#DIV/0!</v>
      </c>
      <c r="AO32" s="57" t="e">
        <f t="shared" si="16"/>
        <v>#DIV/0!</v>
      </c>
      <c r="AP32" s="57" t="e">
        <f t="shared" si="20"/>
        <v>#DIV/0!</v>
      </c>
      <c r="AQ32" s="57" t="e">
        <f t="shared" si="21"/>
        <v>#DIV/0!</v>
      </c>
      <c r="AR32" s="57" t="e">
        <f t="shared" si="22"/>
        <v>#DIV/0!</v>
      </c>
      <c r="AS32" s="57" t="e">
        <f t="shared" si="23"/>
        <v>#DIV/0!</v>
      </c>
    </row>
    <row r="33" spans="1:45" ht="33" hidden="1" customHeight="1">
      <c r="A33" s="22">
        <v>0</v>
      </c>
      <c r="B33" s="22">
        <f>'INTERNAL TEST-1  '!B33</f>
        <v>0</v>
      </c>
      <c r="C33" s="202">
        <f>'INTERNAL TEST-1  '!C33</f>
        <v>0</v>
      </c>
      <c r="D33" s="12"/>
      <c r="E33" s="12"/>
      <c r="F33" s="12"/>
      <c r="G33" s="12"/>
      <c r="H33" s="12"/>
      <c r="I33" s="12"/>
      <c r="J33" s="12"/>
      <c r="K33" s="12"/>
      <c r="L33" s="12"/>
      <c r="M33" s="12"/>
      <c r="N33" s="12"/>
      <c r="O33" s="12"/>
      <c r="P33" s="12"/>
      <c r="Q33" s="12"/>
      <c r="R33" s="12"/>
      <c r="S33" s="12"/>
      <c r="T33" s="12"/>
      <c r="U33" s="13">
        <f t="shared" si="0"/>
        <v>0</v>
      </c>
      <c r="V33" s="13">
        <f t="shared" si="1"/>
        <v>0</v>
      </c>
      <c r="W33" s="13">
        <f t="shared" si="2"/>
        <v>0</v>
      </c>
      <c r="X33" s="13">
        <f t="shared" si="3"/>
        <v>0</v>
      </c>
      <c r="Y33" s="13">
        <f t="shared" si="4"/>
        <v>0</v>
      </c>
      <c r="Z33" s="13">
        <f t="shared" si="5"/>
        <v>0</v>
      </c>
      <c r="AA33" s="13">
        <f t="shared" si="6"/>
        <v>0</v>
      </c>
      <c r="AB33" s="13">
        <f t="shared" si="7"/>
        <v>0</v>
      </c>
      <c r="AC33" s="23">
        <f t="shared" si="24"/>
        <v>0</v>
      </c>
      <c r="AD33" s="23">
        <f t="shared" si="8"/>
        <v>0</v>
      </c>
      <c r="AE33" s="23">
        <f t="shared" si="17"/>
        <v>0</v>
      </c>
      <c r="AF33" s="23">
        <f t="shared" si="18"/>
        <v>0</v>
      </c>
      <c r="AG33" s="23">
        <f t="shared" si="19"/>
        <v>0</v>
      </c>
      <c r="AH33" s="13" t="e">
        <f t="shared" si="9"/>
        <v>#DIV/0!</v>
      </c>
      <c r="AI33" s="13" t="e">
        <f t="shared" si="10"/>
        <v>#DIV/0!</v>
      </c>
      <c r="AJ33" s="10" t="e">
        <f t="shared" si="11"/>
        <v>#DIV/0!</v>
      </c>
      <c r="AK33" s="6" t="e">
        <f t="shared" si="12"/>
        <v>#DIV/0!</v>
      </c>
      <c r="AL33" s="6" t="e">
        <f t="shared" si="13"/>
        <v>#DIV/0!</v>
      </c>
      <c r="AM33" s="6" t="e">
        <f t="shared" si="14"/>
        <v>#DIV/0!</v>
      </c>
      <c r="AN33" s="6" t="e">
        <f t="shared" si="15"/>
        <v>#DIV/0!</v>
      </c>
      <c r="AO33" s="57" t="e">
        <f t="shared" si="16"/>
        <v>#DIV/0!</v>
      </c>
      <c r="AP33" s="57" t="e">
        <f t="shared" si="20"/>
        <v>#DIV/0!</v>
      </c>
      <c r="AQ33" s="57" t="e">
        <f t="shared" si="21"/>
        <v>#DIV/0!</v>
      </c>
      <c r="AR33" s="57" t="e">
        <f t="shared" si="22"/>
        <v>#DIV/0!</v>
      </c>
      <c r="AS33" s="57" t="e">
        <f t="shared" si="23"/>
        <v>#DIV/0!</v>
      </c>
    </row>
    <row r="34" spans="1:45" ht="33" hidden="1" customHeight="1">
      <c r="A34" s="22">
        <v>0</v>
      </c>
      <c r="B34" s="22">
        <f>'INTERNAL TEST-1  '!B34</f>
        <v>0</v>
      </c>
      <c r="C34" s="202">
        <f>'INTERNAL TEST-1  '!C34</f>
        <v>0</v>
      </c>
      <c r="D34" s="12"/>
      <c r="E34" s="12"/>
      <c r="F34" s="12"/>
      <c r="G34" s="12"/>
      <c r="H34" s="12"/>
      <c r="I34" s="12"/>
      <c r="J34" s="12"/>
      <c r="K34" s="12"/>
      <c r="L34" s="12"/>
      <c r="M34" s="12"/>
      <c r="N34" s="12"/>
      <c r="O34" s="12"/>
      <c r="P34" s="12"/>
      <c r="Q34" s="12"/>
      <c r="R34" s="12"/>
      <c r="S34" s="12"/>
      <c r="T34" s="12"/>
      <c r="U34" s="13">
        <f t="shared" si="0"/>
        <v>0</v>
      </c>
      <c r="V34" s="13">
        <f t="shared" si="1"/>
        <v>0</v>
      </c>
      <c r="W34" s="13">
        <f t="shared" si="2"/>
        <v>0</v>
      </c>
      <c r="X34" s="13">
        <f t="shared" si="3"/>
        <v>0</v>
      </c>
      <c r="Y34" s="13">
        <f t="shared" si="4"/>
        <v>0</v>
      </c>
      <c r="Z34" s="13">
        <f t="shared" si="5"/>
        <v>0</v>
      </c>
      <c r="AA34" s="13">
        <f t="shared" si="6"/>
        <v>0</v>
      </c>
      <c r="AB34" s="13">
        <f t="shared" si="7"/>
        <v>0</v>
      </c>
      <c r="AC34" s="23">
        <f t="shared" si="24"/>
        <v>0</v>
      </c>
      <c r="AD34" s="23">
        <f t="shared" si="8"/>
        <v>0</v>
      </c>
      <c r="AE34" s="23">
        <f t="shared" si="17"/>
        <v>0</v>
      </c>
      <c r="AF34" s="23">
        <f t="shared" si="18"/>
        <v>0</v>
      </c>
      <c r="AG34" s="23">
        <f t="shared" si="19"/>
        <v>0</v>
      </c>
      <c r="AH34" s="13" t="e">
        <f t="shared" si="9"/>
        <v>#DIV/0!</v>
      </c>
      <c r="AI34" s="13" t="e">
        <f t="shared" si="10"/>
        <v>#DIV/0!</v>
      </c>
      <c r="AJ34" s="10" t="e">
        <f t="shared" si="11"/>
        <v>#DIV/0!</v>
      </c>
      <c r="AK34" s="6" t="e">
        <f t="shared" si="12"/>
        <v>#DIV/0!</v>
      </c>
      <c r="AL34" s="6" t="e">
        <f t="shared" si="13"/>
        <v>#DIV/0!</v>
      </c>
      <c r="AM34" s="6" t="e">
        <f t="shared" si="14"/>
        <v>#DIV/0!</v>
      </c>
      <c r="AN34" s="6" t="e">
        <f t="shared" si="15"/>
        <v>#DIV/0!</v>
      </c>
      <c r="AO34" s="57" t="e">
        <f t="shared" si="16"/>
        <v>#DIV/0!</v>
      </c>
      <c r="AP34" s="57" t="e">
        <f t="shared" si="20"/>
        <v>#DIV/0!</v>
      </c>
      <c r="AQ34" s="57" t="e">
        <f t="shared" si="21"/>
        <v>#DIV/0!</v>
      </c>
      <c r="AR34" s="57" t="e">
        <f t="shared" si="22"/>
        <v>#DIV/0!</v>
      </c>
      <c r="AS34" s="57" t="e">
        <f t="shared" si="23"/>
        <v>#DIV/0!</v>
      </c>
    </row>
    <row r="35" spans="1:45" ht="33" hidden="1" customHeight="1">
      <c r="A35" s="22">
        <v>0</v>
      </c>
      <c r="B35" s="22">
        <f>'INTERNAL TEST-1  '!B35</f>
        <v>0</v>
      </c>
      <c r="C35" s="202">
        <f>'INTERNAL TEST-1  '!C35</f>
        <v>0</v>
      </c>
      <c r="D35" s="12"/>
      <c r="E35" s="12"/>
      <c r="F35" s="12"/>
      <c r="G35" s="12"/>
      <c r="H35" s="12"/>
      <c r="I35" s="12"/>
      <c r="J35" s="12"/>
      <c r="K35" s="12"/>
      <c r="L35" s="12"/>
      <c r="M35" s="12"/>
      <c r="N35" s="12"/>
      <c r="O35" s="12"/>
      <c r="P35" s="12"/>
      <c r="Q35" s="12"/>
      <c r="R35" s="12"/>
      <c r="S35" s="12"/>
      <c r="T35" s="12"/>
      <c r="U35" s="13">
        <f t="shared" si="0"/>
        <v>0</v>
      </c>
      <c r="V35" s="13">
        <f t="shared" si="1"/>
        <v>0</v>
      </c>
      <c r="W35" s="13">
        <f t="shared" si="2"/>
        <v>0</v>
      </c>
      <c r="X35" s="13">
        <f t="shared" si="3"/>
        <v>0</v>
      </c>
      <c r="Y35" s="13">
        <f t="shared" si="4"/>
        <v>0</v>
      </c>
      <c r="Z35" s="13">
        <f t="shared" si="5"/>
        <v>0</v>
      </c>
      <c r="AA35" s="13">
        <f t="shared" si="6"/>
        <v>0</v>
      </c>
      <c r="AB35" s="13">
        <f t="shared" si="7"/>
        <v>0</v>
      </c>
      <c r="AC35" s="23">
        <f t="shared" si="24"/>
        <v>0</v>
      </c>
      <c r="AD35" s="23">
        <f t="shared" si="8"/>
        <v>0</v>
      </c>
      <c r="AE35" s="23">
        <f t="shared" si="17"/>
        <v>0</v>
      </c>
      <c r="AF35" s="23">
        <f t="shared" si="18"/>
        <v>0</v>
      </c>
      <c r="AG35" s="23">
        <f t="shared" si="19"/>
        <v>0</v>
      </c>
      <c r="AH35" s="13" t="e">
        <f t="shared" si="9"/>
        <v>#DIV/0!</v>
      </c>
      <c r="AI35" s="13" t="e">
        <f t="shared" si="10"/>
        <v>#DIV/0!</v>
      </c>
      <c r="AJ35" s="10" t="e">
        <f t="shared" si="11"/>
        <v>#DIV/0!</v>
      </c>
      <c r="AK35" s="6" t="e">
        <f t="shared" si="12"/>
        <v>#DIV/0!</v>
      </c>
      <c r="AL35" s="6" t="e">
        <f t="shared" si="13"/>
        <v>#DIV/0!</v>
      </c>
      <c r="AM35" s="6" t="e">
        <f t="shared" si="14"/>
        <v>#DIV/0!</v>
      </c>
      <c r="AN35" s="6" t="e">
        <f t="shared" si="15"/>
        <v>#DIV/0!</v>
      </c>
      <c r="AO35" s="57" t="e">
        <f t="shared" si="16"/>
        <v>#DIV/0!</v>
      </c>
      <c r="AP35" s="57" t="e">
        <f t="shared" si="20"/>
        <v>#DIV/0!</v>
      </c>
      <c r="AQ35" s="57" t="e">
        <f t="shared" si="21"/>
        <v>#DIV/0!</v>
      </c>
      <c r="AR35" s="57" t="e">
        <f t="shared" si="22"/>
        <v>#DIV/0!</v>
      </c>
      <c r="AS35" s="57" t="e">
        <f t="shared" si="23"/>
        <v>#DIV/0!</v>
      </c>
    </row>
    <row r="36" spans="1:45" ht="33" hidden="1" customHeight="1">
      <c r="A36" s="22">
        <v>0</v>
      </c>
      <c r="B36" s="22">
        <f>'INTERNAL TEST-1  '!B36</f>
        <v>0</v>
      </c>
      <c r="C36" s="202">
        <f>'INTERNAL TEST-1  '!C36</f>
        <v>0</v>
      </c>
      <c r="D36" s="12"/>
      <c r="E36" s="12"/>
      <c r="F36" s="12"/>
      <c r="G36" s="12"/>
      <c r="H36" s="12"/>
      <c r="I36" s="12"/>
      <c r="J36" s="12"/>
      <c r="K36" s="12"/>
      <c r="L36" s="12"/>
      <c r="M36" s="12"/>
      <c r="N36" s="12"/>
      <c r="O36" s="12"/>
      <c r="P36" s="12"/>
      <c r="Q36" s="12"/>
      <c r="R36" s="12"/>
      <c r="S36" s="12"/>
      <c r="T36" s="12"/>
      <c r="U36" s="13">
        <f t="shared" si="0"/>
        <v>0</v>
      </c>
      <c r="V36" s="13">
        <f t="shared" si="1"/>
        <v>0</v>
      </c>
      <c r="W36" s="13">
        <f t="shared" si="2"/>
        <v>0</v>
      </c>
      <c r="X36" s="13">
        <f t="shared" si="3"/>
        <v>0</v>
      </c>
      <c r="Y36" s="13">
        <f t="shared" si="4"/>
        <v>0</v>
      </c>
      <c r="Z36" s="13">
        <f t="shared" si="5"/>
        <v>0</v>
      </c>
      <c r="AA36" s="13">
        <f t="shared" si="6"/>
        <v>0</v>
      </c>
      <c r="AB36" s="13">
        <f t="shared" si="7"/>
        <v>0</v>
      </c>
      <c r="AC36" s="23">
        <f t="shared" si="24"/>
        <v>0</v>
      </c>
      <c r="AD36" s="23">
        <f t="shared" si="8"/>
        <v>0</v>
      </c>
      <c r="AE36" s="23">
        <f t="shared" si="17"/>
        <v>0</v>
      </c>
      <c r="AF36" s="23">
        <f t="shared" si="18"/>
        <v>0</v>
      </c>
      <c r="AG36" s="23">
        <f t="shared" si="19"/>
        <v>0</v>
      </c>
      <c r="AH36" s="13" t="e">
        <f t="shared" si="9"/>
        <v>#DIV/0!</v>
      </c>
      <c r="AI36" s="13" t="e">
        <f t="shared" si="10"/>
        <v>#DIV/0!</v>
      </c>
      <c r="AJ36" s="10" t="e">
        <f t="shared" si="11"/>
        <v>#DIV/0!</v>
      </c>
      <c r="AK36" s="6" t="e">
        <f t="shared" si="12"/>
        <v>#DIV/0!</v>
      </c>
      <c r="AL36" s="6" t="e">
        <f t="shared" si="13"/>
        <v>#DIV/0!</v>
      </c>
      <c r="AM36" s="6" t="e">
        <f t="shared" si="14"/>
        <v>#DIV/0!</v>
      </c>
      <c r="AN36" s="6" t="e">
        <f t="shared" si="15"/>
        <v>#DIV/0!</v>
      </c>
      <c r="AO36" s="57" t="e">
        <f t="shared" si="16"/>
        <v>#DIV/0!</v>
      </c>
      <c r="AP36" s="57" t="e">
        <f t="shared" si="20"/>
        <v>#DIV/0!</v>
      </c>
      <c r="AQ36" s="57" t="e">
        <f t="shared" si="21"/>
        <v>#DIV/0!</v>
      </c>
      <c r="AR36" s="57" t="e">
        <f t="shared" si="22"/>
        <v>#DIV/0!</v>
      </c>
      <c r="AS36" s="57" t="e">
        <f t="shared" si="23"/>
        <v>#DIV/0!</v>
      </c>
    </row>
    <row r="37" spans="1:45" ht="33" hidden="1" customHeight="1">
      <c r="A37" s="22">
        <v>0</v>
      </c>
      <c r="B37" s="22">
        <f>'INTERNAL TEST-1  '!B37</f>
        <v>0</v>
      </c>
      <c r="C37" s="202">
        <f>'INTERNAL TEST-1  '!C37</f>
        <v>0</v>
      </c>
      <c r="D37" s="12"/>
      <c r="E37" s="12"/>
      <c r="F37" s="12"/>
      <c r="G37" s="12"/>
      <c r="H37" s="12"/>
      <c r="I37" s="12"/>
      <c r="J37" s="12"/>
      <c r="K37" s="12"/>
      <c r="L37" s="12"/>
      <c r="M37" s="12"/>
      <c r="N37" s="12"/>
      <c r="O37" s="12"/>
      <c r="P37" s="12"/>
      <c r="Q37" s="12"/>
      <c r="R37" s="12"/>
      <c r="S37" s="12"/>
      <c r="T37" s="12"/>
      <c r="U37" s="13">
        <f t="shared" si="0"/>
        <v>0</v>
      </c>
      <c r="V37" s="13">
        <f t="shared" si="1"/>
        <v>0</v>
      </c>
      <c r="W37" s="13">
        <f t="shared" si="2"/>
        <v>0</v>
      </c>
      <c r="X37" s="13">
        <f t="shared" si="3"/>
        <v>0</v>
      </c>
      <c r="Y37" s="13">
        <f t="shared" si="4"/>
        <v>0</v>
      </c>
      <c r="Z37" s="13">
        <f t="shared" si="5"/>
        <v>0</v>
      </c>
      <c r="AA37" s="13">
        <f t="shared" si="6"/>
        <v>0</v>
      </c>
      <c r="AB37" s="13">
        <f t="shared" si="7"/>
        <v>0</v>
      </c>
      <c r="AC37" s="23">
        <f t="shared" si="24"/>
        <v>0</v>
      </c>
      <c r="AD37" s="23">
        <f t="shared" si="8"/>
        <v>0</v>
      </c>
      <c r="AE37" s="23">
        <f t="shared" si="17"/>
        <v>0</v>
      </c>
      <c r="AF37" s="23">
        <f t="shared" si="18"/>
        <v>0</v>
      </c>
      <c r="AG37" s="23">
        <f t="shared" si="19"/>
        <v>0</v>
      </c>
      <c r="AH37" s="13" t="e">
        <f t="shared" si="9"/>
        <v>#DIV/0!</v>
      </c>
      <c r="AI37" s="13" t="e">
        <f t="shared" si="10"/>
        <v>#DIV/0!</v>
      </c>
      <c r="AJ37" s="10" t="e">
        <f t="shared" si="11"/>
        <v>#DIV/0!</v>
      </c>
      <c r="AK37" s="6" t="e">
        <f t="shared" si="12"/>
        <v>#DIV/0!</v>
      </c>
      <c r="AL37" s="6" t="e">
        <f t="shared" si="13"/>
        <v>#DIV/0!</v>
      </c>
      <c r="AM37" s="6" t="e">
        <f t="shared" si="14"/>
        <v>#DIV/0!</v>
      </c>
      <c r="AN37" s="6" t="e">
        <f t="shared" si="15"/>
        <v>#DIV/0!</v>
      </c>
      <c r="AO37" s="57" t="e">
        <f t="shared" si="16"/>
        <v>#DIV/0!</v>
      </c>
      <c r="AP37" s="57" t="e">
        <f t="shared" si="20"/>
        <v>#DIV/0!</v>
      </c>
      <c r="AQ37" s="57" t="e">
        <f t="shared" si="21"/>
        <v>#DIV/0!</v>
      </c>
      <c r="AR37" s="57" t="e">
        <f t="shared" si="22"/>
        <v>#DIV/0!</v>
      </c>
      <c r="AS37" s="57" t="e">
        <f t="shared" si="23"/>
        <v>#DIV/0!</v>
      </c>
    </row>
    <row r="38" spans="1:45" ht="33" hidden="1" customHeight="1">
      <c r="A38" s="22">
        <v>0</v>
      </c>
      <c r="B38" s="22">
        <f>'INTERNAL TEST-1  '!B38</f>
        <v>0</v>
      </c>
      <c r="C38" s="202">
        <f>'INTERNAL TEST-1  '!C38</f>
        <v>0</v>
      </c>
      <c r="D38" s="12"/>
      <c r="E38" s="12"/>
      <c r="F38" s="12"/>
      <c r="G38" s="12"/>
      <c r="H38" s="12"/>
      <c r="I38" s="12"/>
      <c r="J38" s="12"/>
      <c r="K38" s="12"/>
      <c r="L38" s="12"/>
      <c r="M38" s="12"/>
      <c r="N38" s="12"/>
      <c r="O38" s="12"/>
      <c r="P38" s="12"/>
      <c r="Q38" s="12"/>
      <c r="R38" s="12"/>
      <c r="S38" s="12"/>
      <c r="T38" s="12"/>
      <c r="U38" s="13">
        <f t="shared" si="0"/>
        <v>0</v>
      </c>
      <c r="V38" s="13">
        <f t="shared" si="1"/>
        <v>0</v>
      </c>
      <c r="W38" s="13">
        <f t="shared" si="2"/>
        <v>0</v>
      </c>
      <c r="X38" s="13">
        <f t="shared" si="3"/>
        <v>0</v>
      </c>
      <c r="Y38" s="13">
        <f t="shared" si="4"/>
        <v>0</v>
      </c>
      <c r="Z38" s="13">
        <f t="shared" si="5"/>
        <v>0</v>
      </c>
      <c r="AA38" s="13">
        <f t="shared" si="6"/>
        <v>0</v>
      </c>
      <c r="AB38" s="13">
        <f t="shared" si="7"/>
        <v>0</v>
      </c>
      <c r="AC38" s="23">
        <f t="shared" si="24"/>
        <v>0</v>
      </c>
      <c r="AD38" s="23">
        <f t="shared" si="8"/>
        <v>0</v>
      </c>
      <c r="AE38" s="23">
        <f t="shared" si="17"/>
        <v>0</v>
      </c>
      <c r="AF38" s="23">
        <f t="shared" si="18"/>
        <v>0</v>
      </c>
      <c r="AG38" s="23">
        <f t="shared" si="19"/>
        <v>0</v>
      </c>
      <c r="AH38" s="13" t="e">
        <f t="shared" si="9"/>
        <v>#DIV/0!</v>
      </c>
      <c r="AI38" s="13" t="e">
        <f t="shared" si="10"/>
        <v>#DIV/0!</v>
      </c>
      <c r="AJ38" s="10" t="e">
        <f t="shared" si="11"/>
        <v>#DIV/0!</v>
      </c>
      <c r="AK38" s="6" t="e">
        <f t="shared" si="12"/>
        <v>#DIV/0!</v>
      </c>
      <c r="AL38" s="6" t="e">
        <f t="shared" si="13"/>
        <v>#DIV/0!</v>
      </c>
      <c r="AM38" s="6" t="e">
        <f t="shared" si="14"/>
        <v>#DIV/0!</v>
      </c>
      <c r="AN38" s="6" t="e">
        <f t="shared" si="15"/>
        <v>#DIV/0!</v>
      </c>
      <c r="AO38" s="57" t="e">
        <f t="shared" si="16"/>
        <v>#DIV/0!</v>
      </c>
      <c r="AP38" s="57" t="e">
        <f t="shared" si="20"/>
        <v>#DIV/0!</v>
      </c>
      <c r="AQ38" s="57" t="e">
        <f t="shared" si="21"/>
        <v>#DIV/0!</v>
      </c>
      <c r="AR38" s="57" t="e">
        <f t="shared" si="22"/>
        <v>#DIV/0!</v>
      </c>
      <c r="AS38" s="57" t="e">
        <f t="shared" si="23"/>
        <v>#DIV/0!</v>
      </c>
    </row>
    <row r="39" spans="1:45" ht="33" hidden="1" customHeight="1">
      <c r="A39" s="22">
        <v>0</v>
      </c>
      <c r="B39" s="22">
        <f>'INTERNAL TEST-1  '!B39</f>
        <v>0</v>
      </c>
      <c r="C39" s="202">
        <f>'INTERNAL TEST-1  '!C39</f>
        <v>0</v>
      </c>
      <c r="D39" s="12"/>
      <c r="E39" s="12"/>
      <c r="F39" s="12"/>
      <c r="G39" s="12"/>
      <c r="H39" s="12"/>
      <c r="I39" s="12"/>
      <c r="J39" s="12"/>
      <c r="K39" s="12"/>
      <c r="L39" s="12"/>
      <c r="M39" s="12"/>
      <c r="N39" s="12"/>
      <c r="O39" s="12"/>
      <c r="P39" s="12"/>
      <c r="Q39" s="12"/>
      <c r="R39" s="12"/>
      <c r="S39" s="12"/>
      <c r="T39" s="12"/>
      <c r="U39" s="13">
        <f t="shared" si="0"/>
        <v>0</v>
      </c>
      <c r="V39" s="13">
        <f t="shared" si="1"/>
        <v>0</v>
      </c>
      <c r="W39" s="13">
        <f t="shared" si="2"/>
        <v>0</v>
      </c>
      <c r="X39" s="13">
        <f t="shared" si="3"/>
        <v>0</v>
      </c>
      <c r="Y39" s="13">
        <f t="shared" si="4"/>
        <v>0</v>
      </c>
      <c r="Z39" s="13">
        <f t="shared" si="5"/>
        <v>0</v>
      </c>
      <c r="AA39" s="13">
        <f t="shared" si="6"/>
        <v>0</v>
      </c>
      <c r="AB39" s="13">
        <f t="shared" si="7"/>
        <v>0</v>
      </c>
      <c r="AC39" s="23">
        <f t="shared" si="24"/>
        <v>0</v>
      </c>
      <c r="AD39" s="23">
        <f t="shared" si="8"/>
        <v>0</v>
      </c>
      <c r="AE39" s="23">
        <f t="shared" si="17"/>
        <v>0</v>
      </c>
      <c r="AF39" s="23">
        <f t="shared" si="18"/>
        <v>0</v>
      </c>
      <c r="AG39" s="23">
        <f t="shared" si="19"/>
        <v>0</v>
      </c>
      <c r="AH39" s="13" t="e">
        <f t="shared" si="9"/>
        <v>#DIV/0!</v>
      </c>
      <c r="AI39" s="13" t="e">
        <f t="shared" si="10"/>
        <v>#DIV/0!</v>
      </c>
      <c r="AJ39" s="10" t="e">
        <f t="shared" si="11"/>
        <v>#DIV/0!</v>
      </c>
      <c r="AK39" s="6" t="e">
        <f t="shared" si="12"/>
        <v>#DIV/0!</v>
      </c>
      <c r="AL39" s="6" t="e">
        <f t="shared" si="13"/>
        <v>#DIV/0!</v>
      </c>
      <c r="AM39" s="6" t="e">
        <f t="shared" si="14"/>
        <v>#DIV/0!</v>
      </c>
      <c r="AN39" s="6" t="e">
        <f t="shared" si="15"/>
        <v>#DIV/0!</v>
      </c>
      <c r="AO39" s="57" t="e">
        <f t="shared" si="16"/>
        <v>#DIV/0!</v>
      </c>
      <c r="AP39" s="57" t="e">
        <f t="shared" si="20"/>
        <v>#DIV/0!</v>
      </c>
      <c r="AQ39" s="57" t="e">
        <f t="shared" si="21"/>
        <v>#DIV/0!</v>
      </c>
      <c r="AR39" s="57" t="e">
        <f t="shared" si="22"/>
        <v>#DIV/0!</v>
      </c>
      <c r="AS39" s="57" t="e">
        <f t="shared" si="23"/>
        <v>#DIV/0!</v>
      </c>
    </row>
    <row r="40" spans="1:45" ht="33" hidden="1" customHeight="1">
      <c r="A40" s="22">
        <v>0</v>
      </c>
      <c r="B40" s="22">
        <f>'INTERNAL TEST-1  '!B40</f>
        <v>0</v>
      </c>
      <c r="C40" s="202">
        <f>'INTERNAL TEST-1  '!C40</f>
        <v>0</v>
      </c>
      <c r="D40" s="12"/>
      <c r="E40" s="12"/>
      <c r="F40" s="12"/>
      <c r="G40" s="12"/>
      <c r="H40" s="12"/>
      <c r="I40" s="12"/>
      <c r="J40" s="12"/>
      <c r="K40" s="12"/>
      <c r="L40" s="12"/>
      <c r="M40" s="12"/>
      <c r="N40" s="12"/>
      <c r="O40" s="12"/>
      <c r="P40" s="12"/>
      <c r="Q40" s="12"/>
      <c r="R40" s="12"/>
      <c r="S40" s="12"/>
      <c r="T40" s="12"/>
      <c r="U40" s="13">
        <f t="shared" si="0"/>
        <v>0</v>
      </c>
      <c r="V40" s="13">
        <f t="shared" si="1"/>
        <v>0</v>
      </c>
      <c r="W40" s="13">
        <f t="shared" si="2"/>
        <v>0</v>
      </c>
      <c r="X40" s="13">
        <f t="shared" si="3"/>
        <v>0</v>
      </c>
      <c r="Y40" s="13">
        <f t="shared" si="4"/>
        <v>0</v>
      </c>
      <c r="Z40" s="13">
        <f t="shared" si="5"/>
        <v>0</v>
      </c>
      <c r="AA40" s="13">
        <f t="shared" si="6"/>
        <v>0</v>
      </c>
      <c r="AB40" s="13">
        <f t="shared" si="7"/>
        <v>0</v>
      </c>
      <c r="AC40" s="23">
        <f t="shared" si="24"/>
        <v>0</v>
      </c>
      <c r="AD40" s="23">
        <f t="shared" si="8"/>
        <v>0</v>
      </c>
      <c r="AE40" s="23">
        <f t="shared" si="17"/>
        <v>0</v>
      </c>
      <c r="AF40" s="23">
        <f t="shared" si="18"/>
        <v>0</v>
      </c>
      <c r="AG40" s="23">
        <f t="shared" si="19"/>
        <v>0</v>
      </c>
      <c r="AH40" s="13" t="e">
        <f t="shared" si="9"/>
        <v>#DIV/0!</v>
      </c>
      <c r="AI40" s="13" t="e">
        <f t="shared" si="10"/>
        <v>#DIV/0!</v>
      </c>
      <c r="AJ40" s="10" t="e">
        <f t="shared" si="11"/>
        <v>#DIV/0!</v>
      </c>
      <c r="AK40" s="6" t="e">
        <f t="shared" si="12"/>
        <v>#DIV/0!</v>
      </c>
      <c r="AL40" s="6" t="e">
        <f t="shared" si="13"/>
        <v>#DIV/0!</v>
      </c>
      <c r="AM40" s="6" t="e">
        <f t="shared" si="14"/>
        <v>#DIV/0!</v>
      </c>
      <c r="AN40" s="6" t="e">
        <f t="shared" si="15"/>
        <v>#DIV/0!</v>
      </c>
      <c r="AO40" s="57" t="e">
        <f t="shared" si="16"/>
        <v>#DIV/0!</v>
      </c>
      <c r="AP40" s="57" t="e">
        <f t="shared" si="20"/>
        <v>#DIV/0!</v>
      </c>
      <c r="AQ40" s="57" t="e">
        <f t="shared" si="21"/>
        <v>#DIV/0!</v>
      </c>
      <c r="AR40" s="57" t="e">
        <f t="shared" si="22"/>
        <v>#DIV/0!</v>
      </c>
      <c r="AS40" s="57" t="e">
        <f t="shared" si="23"/>
        <v>#DIV/0!</v>
      </c>
    </row>
    <row r="41" spans="1:45" ht="33" hidden="1" customHeight="1">
      <c r="A41" s="22">
        <v>0</v>
      </c>
      <c r="B41" s="22">
        <f>'INTERNAL TEST-1  '!B41</f>
        <v>0</v>
      </c>
      <c r="C41" s="202">
        <f>'INTERNAL TEST-1  '!C41</f>
        <v>0</v>
      </c>
      <c r="D41" s="12"/>
      <c r="E41" s="12"/>
      <c r="F41" s="12"/>
      <c r="G41" s="12"/>
      <c r="H41" s="12"/>
      <c r="I41" s="12"/>
      <c r="J41" s="12"/>
      <c r="K41" s="12"/>
      <c r="L41" s="12"/>
      <c r="M41" s="12"/>
      <c r="N41" s="12"/>
      <c r="O41" s="12"/>
      <c r="P41" s="12"/>
      <c r="Q41" s="12"/>
      <c r="R41" s="12"/>
      <c r="S41" s="12"/>
      <c r="T41" s="12"/>
      <c r="U41" s="13">
        <f t="shared" si="0"/>
        <v>0</v>
      </c>
      <c r="V41" s="13">
        <f t="shared" si="1"/>
        <v>0</v>
      </c>
      <c r="W41" s="13">
        <f t="shared" si="2"/>
        <v>0</v>
      </c>
      <c r="X41" s="13">
        <f t="shared" si="3"/>
        <v>0</v>
      </c>
      <c r="Y41" s="13">
        <f t="shared" si="4"/>
        <v>0</v>
      </c>
      <c r="Z41" s="13">
        <f t="shared" si="5"/>
        <v>0</v>
      </c>
      <c r="AA41" s="13">
        <f t="shared" si="6"/>
        <v>0</v>
      </c>
      <c r="AB41" s="13">
        <f t="shared" si="7"/>
        <v>0</v>
      </c>
      <c r="AC41" s="23">
        <f t="shared" si="24"/>
        <v>0</v>
      </c>
      <c r="AD41" s="23">
        <f t="shared" si="8"/>
        <v>0</v>
      </c>
      <c r="AE41" s="23">
        <f t="shared" si="17"/>
        <v>0</v>
      </c>
      <c r="AF41" s="23">
        <f t="shared" si="18"/>
        <v>0</v>
      </c>
      <c r="AG41" s="23">
        <f t="shared" si="19"/>
        <v>0</v>
      </c>
      <c r="AH41" s="13" t="e">
        <f t="shared" si="9"/>
        <v>#DIV/0!</v>
      </c>
      <c r="AI41" s="13" t="e">
        <f t="shared" si="10"/>
        <v>#DIV/0!</v>
      </c>
      <c r="AJ41" s="10" t="e">
        <f t="shared" si="11"/>
        <v>#DIV/0!</v>
      </c>
      <c r="AK41" s="6" t="e">
        <f t="shared" si="12"/>
        <v>#DIV/0!</v>
      </c>
      <c r="AL41" s="6" t="e">
        <f t="shared" si="13"/>
        <v>#DIV/0!</v>
      </c>
      <c r="AM41" s="6" t="e">
        <f t="shared" si="14"/>
        <v>#DIV/0!</v>
      </c>
      <c r="AN41" s="6" t="e">
        <f t="shared" si="15"/>
        <v>#DIV/0!</v>
      </c>
      <c r="AO41" s="57" t="e">
        <f t="shared" si="16"/>
        <v>#DIV/0!</v>
      </c>
      <c r="AP41" s="57" t="e">
        <f t="shared" si="20"/>
        <v>#DIV/0!</v>
      </c>
      <c r="AQ41" s="57" t="e">
        <f t="shared" si="21"/>
        <v>#DIV/0!</v>
      </c>
      <c r="AR41" s="57" t="e">
        <f t="shared" si="22"/>
        <v>#DIV/0!</v>
      </c>
      <c r="AS41" s="57" t="e">
        <f t="shared" si="23"/>
        <v>#DIV/0!</v>
      </c>
    </row>
    <row r="42" spans="1:45" ht="33" hidden="1" customHeight="1">
      <c r="A42" s="22">
        <v>0</v>
      </c>
      <c r="B42" s="22">
        <f>'INTERNAL TEST-1  '!B42</f>
        <v>0</v>
      </c>
      <c r="C42" s="202">
        <f>'INTERNAL TEST-1  '!C42</f>
        <v>0</v>
      </c>
      <c r="D42" s="12"/>
      <c r="E42" s="12"/>
      <c r="F42" s="12"/>
      <c r="G42" s="12"/>
      <c r="H42" s="12"/>
      <c r="I42" s="12"/>
      <c r="J42" s="12"/>
      <c r="K42" s="12"/>
      <c r="L42" s="12"/>
      <c r="M42" s="12"/>
      <c r="N42" s="12"/>
      <c r="O42" s="12"/>
      <c r="P42" s="12"/>
      <c r="Q42" s="12"/>
      <c r="R42" s="12"/>
      <c r="S42" s="12"/>
      <c r="T42" s="12"/>
      <c r="U42" s="13">
        <f t="shared" si="0"/>
        <v>0</v>
      </c>
      <c r="V42" s="13">
        <f t="shared" si="1"/>
        <v>0</v>
      </c>
      <c r="W42" s="13">
        <f t="shared" si="2"/>
        <v>0</v>
      </c>
      <c r="X42" s="13">
        <f t="shared" si="3"/>
        <v>0</v>
      </c>
      <c r="Y42" s="13">
        <f t="shared" si="4"/>
        <v>0</v>
      </c>
      <c r="Z42" s="13">
        <f t="shared" si="5"/>
        <v>0</v>
      </c>
      <c r="AA42" s="13">
        <f t="shared" si="6"/>
        <v>0</v>
      </c>
      <c r="AB42" s="13">
        <f t="shared" si="7"/>
        <v>0</v>
      </c>
      <c r="AC42" s="23">
        <f t="shared" si="24"/>
        <v>0</v>
      </c>
      <c r="AD42" s="23">
        <f t="shared" si="8"/>
        <v>0</v>
      </c>
      <c r="AE42" s="23">
        <f t="shared" si="17"/>
        <v>0</v>
      </c>
      <c r="AF42" s="23">
        <f t="shared" si="18"/>
        <v>0</v>
      </c>
      <c r="AG42" s="23">
        <f t="shared" si="19"/>
        <v>0</v>
      </c>
      <c r="AH42" s="13" t="e">
        <f t="shared" si="9"/>
        <v>#DIV/0!</v>
      </c>
      <c r="AI42" s="13" t="e">
        <f t="shared" si="10"/>
        <v>#DIV/0!</v>
      </c>
      <c r="AJ42" s="10" t="e">
        <f t="shared" si="11"/>
        <v>#DIV/0!</v>
      </c>
      <c r="AK42" s="6" t="e">
        <f t="shared" si="12"/>
        <v>#DIV/0!</v>
      </c>
      <c r="AL42" s="6" t="e">
        <f t="shared" si="13"/>
        <v>#DIV/0!</v>
      </c>
      <c r="AM42" s="6" t="e">
        <f t="shared" si="14"/>
        <v>#DIV/0!</v>
      </c>
      <c r="AN42" s="6" t="e">
        <f t="shared" si="15"/>
        <v>#DIV/0!</v>
      </c>
      <c r="AO42" s="57" t="e">
        <f t="shared" si="16"/>
        <v>#DIV/0!</v>
      </c>
      <c r="AP42" s="57" t="e">
        <f t="shared" si="20"/>
        <v>#DIV/0!</v>
      </c>
      <c r="AQ42" s="57" t="e">
        <f t="shared" si="21"/>
        <v>#DIV/0!</v>
      </c>
      <c r="AR42" s="57" t="e">
        <f t="shared" si="22"/>
        <v>#DIV/0!</v>
      </c>
      <c r="AS42" s="57" t="e">
        <f t="shared" si="23"/>
        <v>#DIV/0!</v>
      </c>
    </row>
    <row r="43" spans="1:45" ht="33" hidden="1" customHeight="1">
      <c r="A43" s="22">
        <v>0</v>
      </c>
      <c r="B43" s="22">
        <f>'INTERNAL TEST-1  '!B43</f>
        <v>0</v>
      </c>
      <c r="C43" s="202">
        <f>'INTERNAL TEST-1  '!C43</f>
        <v>0</v>
      </c>
      <c r="D43" s="12"/>
      <c r="E43" s="12"/>
      <c r="F43" s="12"/>
      <c r="G43" s="12"/>
      <c r="H43" s="12"/>
      <c r="I43" s="12"/>
      <c r="J43" s="12"/>
      <c r="K43" s="12"/>
      <c r="L43" s="12"/>
      <c r="M43" s="12"/>
      <c r="N43" s="12"/>
      <c r="O43" s="12"/>
      <c r="P43" s="12"/>
      <c r="Q43" s="12"/>
      <c r="R43" s="12"/>
      <c r="S43" s="12"/>
      <c r="T43" s="12"/>
      <c r="U43" s="13">
        <f t="shared" si="0"/>
        <v>0</v>
      </c>
      <c r="V43" s="13">
        <f t="shared" si="1"/>
        <v>0</v>
      </c>
      <c r="W43" s="13">
        <f t="shared" si="2"/>
        <v>0</v>
      </c>
      <c r="X43" s="13">
        <f t="shared" si="3"/>
        <v>0</v>
      </c>
      <c r="Y43" s="13">
        <f t="shared" si="4"/>
        <v>0</v>
      </c>
      <c r="Z43" s="13">
        <f t="shared" si="5"/>
        <v>0</v>
      </c>
      <c r="AA43" s="13">
        <f t="shared" si="6"/>
        <v>0</v>
      </c>
      <c r="AB43" s="13">
        <f t="shared" si="7"/>
        <v>0</v>
      </c>
      <c r="AC43" s="23">
        <f t="shared" si="24"/>
        <v>0</v>
      </c>
      <c r="AD43" s="23">
        <f t="shared" si="8"/>
        <v>0</v>
      </c>
      <c r="AE43" s="23">
        <f t="shared" si="17"/>
        <v>0</v>
      </c>
      <c r="AF43" s="23">
        <f t="shared" si="18"/>
        <v>0</v>
      </c>
      <c r="AG43" s="23">
        <f t="shared" si="19"/>
        <v>0</v>
      </c>
      <c r="AH43" s="13" t="e">
        <f t="shared" si="9"/>
        <v>#DIV/0!</v>
      </c>
      <c r="AI43" s="13" t="e">
        <f t="shared" si="10"/>
        <v>#DIV/0!</v>
      </c>
      <c r="AJ43" s="10" t="e">
        <f t="shared" si="11"/>
        <v>#DIV/0!</v>
      </c>
      <c r="AK43" s="6" t="e">
        <f t="shared" si="12"/>
        <v>#DIV/0!</v>
      </c>
      <c r="AL43" s="6" t="e">
        <f t="shared" si="13"/>
        <v>#DIV/0!</v>
      </c>
      <c r="AM43" s="6" t="e">
        <f t="shared" si="14"/>
        <v>#DIV/0!</v>
      </c>
      <c r="AN43" s="6" t="e">
        <f t="shared" si="15"/>
        <v>#DIV/0!</v>
      </c>
      <c r="AO43" s="57" t="e">
        <f t="shared" si="16"/>
        <v>#DIV/0!</v>
      </c>
      <c r="AP43" s="57" t="e">
        <f t="shared" si="20"/>
        <v>#DIV/0!</v>
      </c>
      <c r="AQ43" s="57" t="e">
        <f t="shared" si="21"/>
        <v>#DIV/0!</v>
      </c>
      <c r="AR43" s="57" t="e">
        <f t="shared" si="22"/>
        <v>#DIV/0!</v>
      </c>
      <c r="AS43" s="57" t="e">
        <f t="shared" si="23"/>
        <v>#DIV/0!</v>
      </c>
    </row>
    <row r="44" spans="1:45" ht="33" hidden="1" customHeight="1">
      <c r="A44" s="22">
        <v>0</v>
      </c>
      <c r="B44" s="22">
        <f>'INTERNAL TEST-1  '!B44</f>
        <v>0</v>
      </c>
      <c r="C44" s="202">
        <f>'INTERNAL TEST-1  '!C44</f>
        <v>0</v>
      </c>
      <c r="D44" s="12"/>
      <c r="E44" s="12"/>
      <c r="F44" s="12"/>
      <c r="G44" s="12"/>
      <c r="H44" s="12"/>
      <c r="I44" s="12"/>
      <c r="J44" s="12"/>
      <c r="K44" s="12"/>
      <c r="L44" s="12"/>
      <c r="M44" s="12"/>
      <c r="N44" s="12"/>
      <c r="O44" s="12"/>
      <c r="P44" s="12"/>
      <c r="Q44" s="12"/>
      <c r="R44" s="12"/>
      <c r="S44" s="12"/>
      <c r="T44" s="12"/>
      <c r="U44" s="13">
        <f t="shared" si="0"/>
        <v>0</v>
      </c>
      <c r="V44" s="13">
        <f t="shared" si="1"/>
        <v>0</v>
      </c>
      <c r="W44" s="13">
        <f t="shared" si="2"/>
        <v>0</v>
      </c>
      <c r="X44" s="13">
        <f t="shared" si="3"/>
        <v>0</v>
      </c>
      <c r="Y44" s="13">
        <f t="shared" si="4"/>
        <v>0</v>
      </c>
      <c r="Z44" s="13">
        <f t="shared" si="5"/>
        <v>0</v>
      </c>
      <c r="AA44" s="13">
        <f t="shared" si="6"/>
        <v>0</v>
      </c>
      <c r="AB44" s="13">
        <f t="shared" si="7"/>
        <v>0</v>
      </c>
      <c r="AC44" s="23">
        <f t="shared" si="24"/>
        <v>0</v>
      </c>
      <c r="AD44" s="23">
        <f t="shared" si="8"/>
        <v>0</v>
      </c>
      <c r="AE44" s="23">
        <f t="shared" si="17"/>
        <v>0</v>
      </c>
      <c r="AF44" s="23">
        <f t="shared" si="18"/>
        <v>0</v>
      </c>
      <c r="AG44" s="23">
        <f t="shared" si="19"/>
        <v>0</v>
      </c>
      <c r="AH44" s="13" t="e">
        <f t="shared" si="9"/>
        <v>#DIV/0!</v>
      </c>
      <c r="AI44" s="13" t="e">
        <f t="shared" si="10"/>
        <v>#DIV/0!</v>
      </c>
      <c r="AJ44" s="10" t="e">
        <f t="shared" si="11"/>
        <v>#DIV/0!</v>
      </c>
      <c r="AK44" s="6" t="e">
        <f t="shared" si="12"/>
        <v>#DIV/0!</v>
      </c>
      <c r="AL44" s="6" t="e">
        <f t="shared" si="13"/>
        <v>#DIV/0!</v>
      </c>
      <c r="AM44" s="6" t="e">
        <f t="shared" si="14"/>
        <v>#DIV/0!</v>
      </c>
      <c r="AN44" s="6" t="e">
        <f t="shared" si="15"/>
        <v>#DIV/0!</v>
      </c>
      <c r="AO44" s="57" t="e">
        <f t="shared" si="16"/>
        <v>#DIV/0!</v>
      </c>
      <c r="AP44" s="57" t="e">
        <f t="shared" si="20"/>
        <v>#DIV/0!</v>
      </c>
      <c r="AQ44" s="57" t="e">
        <f t="shared" si="21"/>
        <v>#DIV/0!</v>
      </c>
      <c r="AR44" s="57" t="e">
        <f t="shared" si="22"/>
        <v>#DIV/0!</v>
      </c>
      <c r="AS44" s="57" t="e">
        <f t="shared" si="23"/>
        <v>#DIV/0!</v>
      </c>
    </row>
    <row r="45" spans="1:45" ht="33" hidden="1" customHeight="1">
      <c r="A45" s="22">
        <v>0</v>
      </c>
      <c r="B45" s="22">
        <f>'INTERNAL TEST-1  '!B45</f>
        <v>0</v>
      </c>
      <c r="C45" s="202">
        <f>'INTERNAL TEST-1  '!C45</f>
        <v>0</v>
      </c>
      <c r="D45" s="12"/>
      <c r="E45" s="12"/>
      <c r="F45" s="12"/>
      <c r="G45" s="12"/>
      <c r="H45" s="12"/>
      <c r="I45" s="12"/>
      <c r="J45" s="12"/>
      <c r="K45" s="12"/>
      <c r="L45" s="12"/>
      <c r="M45" s="12"/>
      <c r="N45" s="12"/>
      <c r="O45" s="12"/>
      <c r="P45" s="12"/>
      <c r="Q45" s="12"/>
      <c r="R45" s="12"/>
      <c r="S45" s="12"/>
      <c r="T45" s="12"/>
      <c r="U45" s="13">
        <f t="shared" si="0"/>
        <v>0</v>
      </c>
      <c r="V45" s="13">
        <f t="shared" si="1"/>
        <v>0</v>
      </c>
      <c r="W45" s="13">
        <f t="shared" si="2"/>
        <v>0</v>
      </c>
      <c r="X45" s="13">
        <f t="shared" si="3"/>
        <v>0</v>
      </c>
      <c r="Y45" s="13">
        <f t="shared" si="4"/>
        <v>0</v>
      </c>
      <c r="Z45" s="13">
        <f t="shared" si="5"/>
        <v>0</v>
      </c>
      <c r="AA45" s="13">
        <f t="shared" si="6"/>
        <v>0</v>
      </c>
      <c r="AB45" s="13">
        <f t="shared" si="7"/>
        <v>0</v>
      </c>
      <c r="AC45" s="23">
        <f t="shared" si="24"/>
        <v>0</v>
      </c>
      <c r="AD45" s="23">
        <f t="shared" si="8"/>
        <v>0</v>
      </c>
      <c r="AE45" s="23">
        <f t="shared" si="17"/>
        <v>0</v>
      </c>
      <c r="AF45" s="23">
        <f t="shared" si="18"/>
        <v>0</v>
      </c>
      <c r="AG45" s="23">
        <f t="shared" si="19"/>
        <v>0</v>
      </c>
      <c r="AH45" s="13" t="e">
        <f t="shared" si="9"/>
        <v>#DIV/0!</v>
      </c>
      <c r="AI45" s="13" t="e">
        <f t="shared" si="10"/>
        <v>#DIV/0!</v>
      </c>
      <c r="AJ45" s="10" t="e">
        <f t="shared" si="11"/>
        <v>#DIV/0!</v>
      </c>
      <c r="AK45" s="6" t="e">
        <f t="shared" si="12"/>
        <v>#DIV/0!</v>
      </c>
      <c r="AL45" s="6" t="e">
        <f t="shared" si="13"/>
        <v>#DIV/0!</v>
      </c>
      <c r="AM45" s="6" t="e">
        <f t="shared" si="14"/>
        <v>#DIV/0!</v>
      </c>
      <c r="AN45" s="6" t="e">
        <f t="shared" si="15"/>
        <v>#DIV/0!</v>
      </c>
      <c r="AO45" s="57" t="e">
        <f t="shared" si="16"/>
        <v>#DIV/0!</v>
      </c>
      <c r="AP45" s="57" t="e">
        <f t="shared" si="20"/>
        <v>#DIV/0!</v>
      </c>
      <c r="AQ45" s="57" t="e">
        <f t="shared" si="21"/>
        <v>#DIV/0!</v>
      </c>
      <c r="AR45" s="57" t="e">
        <f t="shared" si="22"/>
        <v>#DIV/0!</v>
      </c>
      <c r="AS45" s="57" t="e">
        <f t="shared" si="23"/>
        <v>#DIV/0!</v>
      </c>
    </row>
    <row r="46" spans="1:45" ht="33" hidden="1" customHeight="1">
      <c r="A46" s="22">
        <v>0</v>
      </c>
      <c r="B46" s="22">
        <f>'INTERNAL TEST-1  '!B46</f>
        <v>0</v>
      </c>
      <c r="C46" s="202">
        <f>'INTERNAL TEST-1  '!C46</f>
        <v>0</v>
      </c>
      <c r="D46" s="12"/>
      <c r="E46" s="12"/>
      <c r="F46" s="12"/>
      <c r="G46" s="12"/>
      <c r="H46" s="12"/>
      <c r="I46" s="12"/>
      <c r="J46" s="12"/>
      <c r="K46" s="12"/>
      <c r="L46" s="12"/>
      <c r="M46" s="12"/>
      <c r="N46" s="12"/>
      <c r="O46" s="12"/>
      <c r="P46" s="12"/>
      <c r="Q46" s="12"/>
      <c r="R46" s="12"/>
      <c r="S46" s="12"/>
      <c r="T46" s="12"/>
      <c r="U46" s="13">
        <f t="shared" ref="U46:U68" si="25">SUM(D46:T46)</f>
        <v>0</v>
      </c>
      <c r="V46" s="13">
        <f t="shared" si="1"/>
        <v>0</v>
      </c>
      <c r="W46" s="13">
        <f t="shared" si="2"/>
        <v>0</v>
      </c>
      <c r="X46" s="13">
        <f t="shared" si="3"/>
        <v>0</v>
      </c>
      <c r="Y46" s="13">
        <f t="shared" si="4"/>
        <v>0</v>
      </c>
      <c r="Z46" s="13">
        <f t="shared" si="5"/>
        <v>0</v>
      </c>
      <c r="AA46" s="13">
        <f t="shared" si="6"/>
        <v>0</v>
      </c>
      <c r="AB46" s="13">
        <f t="shared" si="7"/>
        <v>0</v>
      </c>
      <c r="AC46" s="23">
        <f t="shared" si="24"/>
        <v>0</v>
      </c>
      <c r="AD46" s="23">
        <f t="shared" ref="AD46:AD77" si="26">IF($D$12="CO9",D46,0)+IF($E$12="CO9",E46,0)+IF($F$12="CO9",F46,0)+IF($G$12="CO9",G46,0)+IF($H$12="CO9",H46,0)+IF($I$12="CO9",I46,0)+IF($J$12="CO9",J46,0)+IF($K$12="CO9",K46,0)+IF($L$12="CO9",L46,0)+IF($M$12="CO9",M46,0)+IF($N$12="CO9",N46,0)+IF($O$12="CO9",O46,0)+IF($P$12="CO9",P46,0)+IF($Q$12="CO9",Q46,0)+IF($R$12="CO9",R46,0)+IF($S$12="CO9",S46,0)+IF($T$12="CO9",T46,0)</f>
        <v>0</v>
      </c>
      <c r="AE46" s="23">
        <f t="shared" si="17"/>
        <v>0</v>
      </c>
      <c r="AF46" s="23">
        <f t="shared" si="18"/>
        <v>0</v>
      </c>
      <c r="AG46" s="23">
        <f t="shared" si="19"/>
        <v>0</v>
      </c>
      <c r="AH46" s="13" t="e">
        <f t="shared" ref="AH46:AH77" si="27">ROUND(V46/(IF($D$12="CO1",$D$13,0)+IF($E$12="CO1",$E$13,0)+IF($F$12="CO1",$F$13,0)+IF($G$12="CO1",$G$13,0)+IF($H$12="CO1",$H$13,0)+IF($I$12="CO1",$I$13,0)+IF($J$12="CO1",$J$13,0)+IF($K$12="CO1",$K$13,0)+IF($L$12="CO1",$L$13,0)+IF($M$12="CO1",$M$13,0)+IF($N$12="CO1",$N$13,0)+IF($O$12="CO1",$O$13,0)+IF($P$12="CO1",$P$13,0)+IF($Q$12="CO1",$Q$13,0)+IF($R$12="CO1",$R$13,0)+IF($S$12="CO1",$S$13,0)+IF($T$12="CO1",$T$13,0))*100,2)</f>
        <v>#DIV/0!</v>
      </c>
      <c r="AI46" s="13" t="e">
        <f t="shared" ref="AI46:AI77" si="28">ROUND(W46/(IF($D$12="CO2",$D$13,0)+IF($E$12="CO2",$E$13,0)+IF($F$12="CO2",$F$13,0)+IF($G$12="CO2",$G$13,0)+IF($H$12="CO2",$H$13,0)+IF($I$12="CO2",$I$13,0)+IF($J$12="CO2",$J$13,0)+IF($K$12="CO2",$K$13,0)+IF($L$12="CO2",$L$13,0)+IF($M$12="CO2",$M$13,0)+IF($N$12="CO2",$N$13,0)+IF($O$12="CO2",$O$13,0)+IF($P$12="CO2",$P$13,0)+IF($Q$12="CO2",$Q$13,0)+IF($R$12="CO2",$R$13,0)+IF($S$12="CO2",$S$13,0)+IF($T$12="CO2",$T$13,0))*100,2)</f>
        <v>#DIV/0!</v>
      </c>
      <c r="AJ46" s="10" t="e">
        <f t="shared" ref="AJ46:AJ77" si="29">ROUND(X46/(IF($D$12="CO3",$D$13,0)+IF($E$12="CO3",$E$13,0)+IF($F$12="CO3",$F$13,0)+IF($G$12="CO3",$G$13,0)+IF($H$12="CO3",$H$13,0)+IF($I$12="CO3",$I$13,0)+IF($J$12="CO3",$J$13,0)+IF($K$12="CO3",$K$13,0)+IF($L$12="CO3",$L$13,0)+IF($M$12="CO3",$M$13,0)+IF($N$12="CO3",$N$13,0)+IF($O$12="CO3",$O$13,0)+IF($P$12="CO3",$P$13,0)+IF($Q$12="CO3",$Q$13,0)+IF($R$12="CO3",$R$13,0)+IF($S$12="CO3",$S$13,0)+IF($T$12="CO3",$T$13,0))*100,2)</f>
        <v>#DIV/0!</v>
      </c>
      <c r="AK46" s="6" t="e">
        <f t="shared" ref="AK46:AK77" si="30">ROUND(Y46/(IF($D$12="CO4",$D$13,0)+IF($E$12="CO4",$E$13,0)+IF($F$12="CO4",$F$13,0)+IF($G$12="CO4",$G$13,0)+IF($H$12="CO4",$H$13,0)+IF($I$12="CO4",$I$13,0)+IF($J$12="CO4",$J$13,0)+IF($K$12="CO4",$K$13,0)+IF($L$12="CO4",$L$13,0)+IF($M$12="CO4",$M$13,0)+IF($N$12="CO4",$N$13,0)+IF($O$12="CO4",$O$13,0)+IF($P$12="CO4",$P$13,0)+IF($Q$12="CO4",$Q$13,0)+IF($R$12="CO4",$R$13,0)+IF($S$12="CO4",$S$13,0)+IF($T$12="CO4",$T$13,0))*100,2)</f>
        <v>#DIV/0!</v>
      </c>
      <c r="AL46" s="6" t="e">
        <f t="shared" ref="AL46:AL77" si="31">ROUND(Z46/(IF($D$12="CO5",$D$13,0)+IF($E$12="CO5",$E$13,0)+IF($F$12="CO5",$F$13,0)+IF($G$12="CO5",$G$13,0)+IF($H$12="CO5",$H$13,0)+IF($I$12="CO5",$I$13,0)+IF($J$12="CO5",$J$13,0)+IF($K$12="CO5",$K$13,0)+IF($L$12="CO5",$L$13,0)+IF($M$12="CO5",$M$13,0)+IF($N$12="CO5",$N$13,0)+IF($O$12="CO5",$O$13,0)+IF($P$12="CO5",$P$13,0)+IF($Q$12="CO5",$Q$13,0)+IF($R$12="CO5",$R$13,0)+IF($S$12="CO5",$S$13,0)+IF($T$12="CO5",$T$13,0))*100,2)</f>
        <v>#DIV/0!</v>
      </c>
      <c r="AM46" s="6" t="e">
        <f t="shared" ref="AM46:AM77" si="32">ROUND(AA46/(IF($D$12="CO6",$D$13,0)+IF($E$12="CO6",$E$13,0)+IF($F$12="CO6",$F$13,0)+IF($G$12="CO6",$G$13,0)+IF($H$12="CO6",$H$13,0)+IF($I$12="CO6",$I$13,0)+IF($J$12="CO6",$J$13,0)+IF($K$12="CO6",$K$13,0)+IF($L$12="CO6",$L$13,0)+IF($M$12="CO6",$M$13,0)+IF($N$12="CO6",$N$13,0)+IF($O$12="CO6",$O$13,0)+IF($P$12="CO6",$P$13,0)+IF($Q$12="CO6",$Q$13,0)+IF($R$12="CO6",$R$13,0)+IF($S$12="CO6",$S$13,0)+IF($T$12="CO6",$T$13,0))*100,2)</f>
        <v>#DIV/0!</v>
      </c>
      <c r="AN46" s="6" t="e">
        <f t="shared" ref="AN46:AN77" si="33">ROUND(AB46/(IF($D$12="CO7",$D$13,0)+IF($E$12="CO7",$E$13,0)+IF($F$12="CO7",$F$13,0)+IF($G$12="CO7",$G$13,0)+IF($H$12="CO7",$H$13,0)+IF($I$12="CO7",$I$13,0)+IF($J$12="CO7",$J$13,0)+IF($K$12="CO7",$K$13,0)+IF($L$12="CO7",$L$13,0)+IF($M$12="CO7",$M$13,0)+IF($N$12="CO7",$N$13,0)+IF($O$12="CO7",$O$13,0)+IF($P$12="CO7",$P$13,0)+IF($Q$12="CO7",$Q$13,0)+IF($R$12="CO7",$R$13,0)+IF($S$12="CO7",$S$13,0)+IF($T$12="CO7",$T$13,0))*100,2)</f>
        <v>#DIV/0!</v>
      </c>
      <c r="AO46" s="57" t="e">
        <f t="shared" ref="AO46:AO77" si="34">ROUND(AC46/(IF($D$12="CO8",$D$13,0)+IF($E$12="CO8",$E$13,0)+IF($F$12="CO8",$F$13,0)+IF($G$12="CO8",$G$13,0)+IF($H$12="CO8",$H$13,0)+IF($I$12="CO8",$I$13,0)+IF($J$12="CO8",$J$13,0)+IF($K$12="CO8",$K$13,0)+IF($L$12="CO8",$L$13,0)+IF($M$12="CO8",$M$13,0)+IF($N$12="CO8",$N$13,0)+IF($O$12="CO8",$O$13,0)+IF($P$12="CO8",$P$13,0)+IF($Q$12="CO8",$Q$13,0)+IF($R$12="CO8",$R$13,0)+IF($S$12="CO8",$S$13,0)+IF($T$12="CO8",$T$13,0))*100,2)</f>
        <v>#DIV/0!</v>
      </c>
      <c r="AP46" s="57" t="e">
        <f t="shared" si="20"/>
        <v>#DIV/0!</v>
      </c>
      <c r="AQ46" s="57" t="e">
        <f t="shared" si="21"/>
        <v>#DIV/0!</v>
      </c>
      <c r="AR46" s="57" t="e">
        <f t="shared" si="22"/>
        <v>#DIV/0!</v>
      </c>
      <c r="AS46" s="57" t="e">
        <f t="shared" si="23"/>
        <v>#DIV/0!</v>
      </c>
    </row>
    <row r="47" spans="1:45" ht="33" hidden="1" customHeight="1">
      <c r="A47" s="22">
        <v>0</v>
      </c>
      <c r="B47" s="22">
        <f>'INTERNAL TEST-1  '!B47</f>
        <v>0</v>
      </c>
      <c r="C47" s="202">
        <f>'INTERNAL TEST-1  '!C47</f>
        <v>0</v>
      </c>
      <c r="D47" s="12"/>
      <c r="E47" s="12"/>
      <c r="F47" s="12"/>
      <c r="G47" s="12"/>
      <c r="H47" s="12"/>
      <c r="I47" s="12"/>
      <c r="J47" s="12"/>
      <c r="K47" s="12"/>
      <c r="L47" s="12"/>
      <c r="M47" s="12"/>
      <c r="N47" s="12"/>
      <c r="O47" s="12"/>
      <c r="P47" s="12"/>
      <c r="Q47" s="12"/>
      <c r="R47" s="12"/>
      <c r="S47" s="12"/>
      <c r="T47" s="12"/>
      <c r="U47" s="13">
        <f t="shared" si="25"/>
        <v>0</v>
      </c>
      <c r="V47" s="13">
        <f t="shared" si="1"/>
        <v>0</v>
      </c>
      <c r="W47" s="13">
        <f t="shared" si="2"/>
        <v>0</v>
      </c>
      <c r="X47" s="13">
        <f t="shared" si="3"/>
        <v>0</v>
      </c>
      <c r="Y47" s="13">
        <f t="shared" si="4"/>
        <v>0</v>
      </c>
      <c r="Z47" s="13">
        <f t="shared" si="5"/>
        <v>0</v>
      </c>
      <c r="AA47" s="13">
        <f t="shared" si="6"/>
        <v>0</v>
      </c>
      <c r="AB47" s="13">
        <f t="shared" si="7"/>
        <v>0</v>
      </c>
      <c r="AC47" s="23">
        <f t="shared" si="24"/>
        <v>0</v>
      </c>
      <c r="AD47" s="23">
        <f t="shared" si="26"/>
        <v>0</v>
      </c>
      <c r="AE47" s="23">
        <f t="shared" si="17"/>
        <v>0</v>
      </c>
      <c r="AF47" s="23">
        <f t="shared" si="18"/>
        <v>0</v>
      </c>
      <c r="AG47" s="23">
        <f t="shared" si="19"/>
        <v>0</v>
      </c>
      <c r="AH47" s="13" t="e">
        <f t="shared" si="27"/>
        <v>#DIV/0!</v>
      </c>
      <c r="AI47" s="13" t="e">
        <f t="shared" si="28"/>
        <v>#DIV/0!</v>
      </c>
      <c r="AJ47" s="10" t="e">
        <f t="shared" si="29"/>
        <v>#DIV/0!</v>
      </c>
      <c r="AK47" s="6" t="e">
        <f t="shared" si="30"/>
        <v>#DIV/0!</v>
      </c>
      <c r="AL47" s="6" t="e">
        <f t="shared" si="31"/>
        <v>#DIV/0!</v>
      </c>
      <c r="AM47" s="6" t="e">
        <f t="shared" si="32"/>
        <v>#DIV/0!</v>
      </c>
      <c r="AN47" s="6" t="e">
        <f t="shared" si="33"/>
        <v>#DIV/0!</v>
      </c>
      <c r="AO47" s="57" t="e">
        <f t="shared" si="34"/>
        <v>#DIV/0!</v>
      </c>
      <c r="AP47" s="57" t="e">
        <f t="shared" si="20"/>
        <v>#DIV/0!</v>
      </c>
      <c r="AQ47" s="57" t="e">
        <f t="shared" si="21"/>
        <v>#DIV/0!</v>
      </c>
      <c r="AR47" s="57" t="e">
        <f t="shared" si="22"/>
        <v>#DIV/0!</v>
      </c>
      <c r="AS47" s="57" t="e">
        <f t="shared" si="23"/>
        <v>#DIV/0!</v>
      </c>
    </row>
    <row r="48" spans="1:45" ht="33" hidden="1" customHeight="1">
      <c r="A48" s="22">
        <v>0</v>
      </c>
      <c r="B48" s="22">
        <f>'INTERNAL TEST-1  '!B48</f>
        <v>0</v>
      </c>
      <c r="C48" s="202">
        <f>'INTERNAL TEST-1  '!C48</f>
        <v>0</v>
      </c>
      <c r="D48" s="12"/>
      <c r="E48" s="12"/>
      <c r="F48" s="12"/>
      <c r="G48" s="12"/>
      <c r="H48" s="12"/>
      <c r="I48" s="12"/>
      <c r="J48" s="12"/>
      <c r="K48" s="12"/>
      <c r="L48" s="12"/>
      <c r="M48" s="12"/>
      <c r="N48" s="12"/>
      <c r="O48" s="12"/>
      <c r="P48" s="12"/>
      <c r="Q48" s="12"/>
      <c r="R48" s="12"/>
      <c r="S48" s="12"/>
      <c r="T48" s="12"/>
      <c r="U48" s="13">
        <f t="shared" si="25"/>
        <v>0</v>
      </c>
      <c r="V48" s="13">
        <f t="shared" si="1"/>
        <v>0</v>
      </c>
      <c r="W48" s="13">
        <f t="shared" si="2"/>
        <v>0</v>
      </c>
      <c r="X48" s="13">
        <f t="shared" si="3"/>
        <v>0</v>
      </c>
      <c r="Y48" s="13">
        <f t="shared" si="4"/>
        <v>0</v>
      </c>
      <c r="Z48" s="13">
        <f t="shared" si="5"/>
        <v>0</v>
      </c>
      <c r="AA48" s="13">
        <f t="shared" si="6"/>
        <v>0</v>
      </c>
      <c r="AB48" s="13">
        <f t="shared" si="7"/>
        <v>0</v>
      </c>
      <c r="AC48" s="23">
        <f t="shared" si="24"/>
        <v>0</v>
      </c>
      <c r="AD48" s="23">
        <f t="shared" si="26"/>
        <v>0</v>
      </c>
      <c r="AE48" s="23">
        <f t="shared" si="17"/>
        <v>0</v>
      </c>
      <c r="AF48" s="23">
        <f t="shared" si="18"/>
        <v>0</v>
      </c>
      <c r="AG48" s="23">
        <f t="shared" si="19"/>
        <v>0</v>
      </c>
      <c r="AH48" s="13" t="e">
        <f t="shared" si="27"/>
        <v>#DIV/0!</v>
      </c>
      <c r="AI48" s="13" t="e">
        <f t="shared" si="28"/>
        <v>#DIV/0!</v>
      </c>
      <c r="AJ48" s="10" t="e">
        <f t="shared" si="29"/>
        <v>#DIV/0!</v>
      </c>
      <c r="AK48" s="6" t="e">
        <f t="shared" si="30"/>
        <v>#DIV/0!</v>
      </c>
      <c r="AL48" s="6" t="e">
        <f t="shared" si="31"/>
        <v>#DIV/0!</v>
      </c>
      <c r="AM48" s="6" t="e">
        <f t="shared" si="32"/>
        <v>#DIV/0!</v>
      </c>
      <c r="AN48" s="6" t="e">
        <f t="shared" si="33"/>
        <v>#DIV/0!</v>
      </c>
      <c r="AO48" s="57" t="e">
        <f t="shared" si="34"/>
        <v>#DIV/0!</v>
      </c>
      <c r="AP48" s="57" t="e">
        <f t="shared" si="20"/>
        <v>#DIV/0!</v>
      </c>
      <c r="AQ48" s="57" t="e">
        <f t="shared" si="21"/>
        <v>#DIV/0!</v>
      </c>
      <c r="AR48" s="57" t="e">
        <f t="shared" si="22"/>
        <v>#DIV/0!</v>
      </c>
      <c r="AS48" s="57" t="e">
        <f t="shared" si="23"/>
        <v>#DIV/0!</v>
      </c>
    </row>
    <row r="49" spans="1:45" ht="33" hidden="1" customHeight="1">
      <c r="A49" s="22">
        <v>0</v>
      </c>
      <c r="B49" s="22">
        <f>'INTERNAL TEST-1  '!B49</f>
        <v>0</v>
      </c>
      <c r="C49" s="202">
        <f>'INTERNAL TEST-1  '!C49</f>
        <v>0</v>
      </c>
      <c r="D49" s="12"/>
      <c r="E49" s="12"/>
      <c r="F49" s="12"/>
      <c r="G49" s="12"/>
      <c r="H49" s="12"/>
      <c r="I49" s="12"/>
      <c r="J49" s="12"/>
      <c r="K49" s="12"/>
      <c r="L49" s="12"/>
      <c r="M49" s="12"/>
      <c r="N49" s="12"/>
      <c r="O49" s="12"/>
      <c r="P49" s="12"/>
      <c r="Q49" s="12"/>
      <c r="R49" s="12"/>
      <c r="S49" s="12"/>
      <c r="T49" s="12"/>
      <c r="U49" s="13">
        <f t="shared" si="25"/>
        <v>0</v>
      </c>
      <c r="V49" s="13">
        <f t="shared" si="1"/>
        <v>0</v>
      </c>
      <c r="W49" s="13">
        <f t="shared" si="2"/>
        <v>0</v>
      </c>
      <c r="X49" s="13">
        <f t="shared" si="3"/>
        <v>0</v>
      </c>
      <c r="Y49" s="13">
        <f t="shared" si="4"/>
        <v>0</v>
      </c>
      <c r="Z49" s="13">
        <f t="shared" si="5"/>
        <v>0</v>
      </c>
      <c r="AA49" s="13">
        <f t="shared" si="6"/>
        <v>0</v>
      </c>
      <c r="AB49" s="13">
        <f t="shared" si="7"/>
        <v>0</v>
      </c>
      <c r="AC49" s="23">
        <f t="shared" si="24"/>
        <v>0</v>
      </c>
      <c r="AD49" s="23">
        <f t="shared" si="26"/>
        <v>0</v>
      </c>
      <c r="AE49" s="23">
        <f t="shared" si="17"/>
        <v>0</v>
      </c>
      <c r="AF49" s="23">
        <f t="shared" si="18"/>
        <v>0</v>
      </c>
      <c r="AG49" s="23">
        <f t="shared" si="19"/>
        <v>0</v>
      </c>
      <c r="AH49" s="13" t="e">
        <f t="shared" si="27"/>
        <v>#DIV/0!</v>
      </c>
      <c r="AI49" s="13" t="e">
        <f t="shared" si="28"/>
        <v>#DIV/0!</v>
      </c>
      <c r="AJ49" s="10" t="e">
        <f t="shared" si="29"/>
        <v>#DIV/0!</v>
      </c>
      <c r="AK49" s="6" t="e">
        <f t="shared" si="30"/>
        <v>#DIV/0!</v>
      </c>
      <c r="AL49" s="6" t="e">
        <f t="shared" si="31"/>
        <v>#DIV/0!</v>
      </c>
      <c r="AM49" s="6" t="e">
        <f t="shared" si="32"/>
        <v>#DIV/0!</v>
      </c>
      <c r="AN49" s="6" t="e">
        <f t="shared" si="33"/>
        <v>#DIV/0!</v>
      </c>
      <c r="AO49" s="57" t="e">
        <f t="shared" si="34"/>
        <v>#DIV/0!</v>
      </c>
      <c r="AP49" s="57" t="e">
        <f t="shared" si="20"/>
        <v>#DIV/0!</v>
      </c>
      <c r="AQ49" s="57" t="e">
        <f t="shared" si="21"/>
        <v>#DIV/0!</v>
      </c>
      <c r="AR49" s="57" t="e">
        <f t="shared" si="22"/>
        <v>#DIV/0!</v>
      </c>
      <c r="AS49" s="57" t="e">
        <f t="shared" si="23"/>
        <v>#DIV/0!</v>
      </c>
    </row>
    <row r="50" spans="1:45" ht="33" hidden="1" customHeight="1">
      <c r="A50" s="22">
        <v>0</v>
      </c>
      <c r="B50" s="22">
        <f>'INTERNAL TEST-1  '!B50</f>
        <v>0</v>
      </c>
      <c r="C50" s="202">
        <f>'INTERNAL TEST-1  '!C50</f>
        <v>0</v>
      </c>
      <c r="D50" s="12"/>
      <c r="E50" s="12"/>
      <c r="F50" s="12"/>
      <c r="G50" s="12"/>
      <c r="H50" s="12"/>
      <c r="I50" s="12"/>
      <c r="J50" s="12"/>
      <c r="K50" s="12"/>
      <c r="L50" s="12"/>
      <c r="M50" s="12"/>
      <c r="N50" s="12"/>
      <c r="O50" s="12"/>
      <c r="P50" s="12"/>
      <c r="Q50" s="12"/>
      <c r="R50" s="12"/>
      <c r="S50" s="12"/>
      <c r="T50" s="12"/>
      <c r="U50" s="13">
        <f t="shared" si="25"/>
        <v>0</v>
      </c>
      <c r="V50" s="13">
        <f t="shared" si="1"/>
        <v>0</v>
      </c>
      <c r="W50" s="13">
        <f t="shared" si="2"/>
        <v>0</v>
      </c>
      <c r="X50" s="13">
        <f t="shared" si="3"/>
        <v>0</v>
      </c>
      <c r="Y50" s="13">
        <f t="shared" si="4"/>
        <v>0</v>
      </c>
      <c r="Z50" s="13">
        <f t="shared" si="5"/>
        <v>0</v>
      </c>
      <c r="AA50" s="13">
        <f t="shared" si="6"/>
        <v>0</v>
      </c>
      <c r="AB50" s="13">
        <f t="shared" si="7"/>
        <v>0</v>
      </c>
      <c r="AC50" s="23">
        <f t="shared" si="24"/>
        <v>0</v>
      </c>
      <c r="AD50" s="23">
        <f t="shared" si="26"/>
        <v>0</v>
      </c>
      <c r="AE50" s="23">
        <f t="shared" si="17"/>
        <v>0</v>
      </c>
      <c r="AF50" s="23">
        <f t="shared" si="18"/>
        <v>0</v>
      </c>
      <c r="AG50" s="23">
        <f t="shared" si="19"/>
        <v>0</v>
      </c>
      <c r="AH50" s="13" t="e">
        <f t="shared" si="27"/>
        <v>#DIV/0!</v>
      </c>
      <c r="AI50" s="13" t="e">
        <f t="shared" si="28"/>
        <v>#DIV/0!</v>
      </c>
      <c r="AJ50" s="10" t="e">
        <f t="shared" si="29"/>
        <v>#DIV/0!</v>
      </c>
      <c r="AK50" s="6" t="e">
        <f t="shared" si="30"/>
        <v>#DIV/0!</v>
      </c>
      <c r="AL50" s="6" t="e">
        <f t="shared" si="31"/>
        <v>#DIV/0!</v>
      </c>
      <c r="AM50" s="6" t="e">
        <f t="shared" si="32"/>
        <v>#DIV/0!</v>
      </c>
      <c r="AN50" s="6" t="e">
        <f t="shared" si="33"/>
        <v>#DIV/0!</v>
      </c>
      <c r="AO50" s="57" t="e">
        <f t="shared" si="34"/>
        <v>#DIV/0!</v>
      </c>
      <c r="AP50" s="57" t="e">
        <f t="shared" si="20"/>
        <v>#DIV/0!</v>
      </c>
      <c r="AQ50" s="57" t="e">
        <f t="shared" si="21"/>
        <v>#DIV/0!</v>
      </c>
      <c r="AR50" s="57" t="e">
        <f t="shared" si="22"/>
        <v>#DIV/0!</v>
      </c>
      <c r="AS50" s="57" t="e">
        <f t="shared" si="23"/>
        <v>#DIV/0!</v>
      </c>
    </row>
    <row r="51" spans="1:45" ht="33" hidden="1" customHeight="1">
      <c r="A51" s="22">
        <v>0</v>
      </c>
      <c r="B51" s="22">
        <f>'INTERNAL TEST-1  '!B51</f>
        <v>0</v>
      </c>
      <c r="C51" s="202">
        <f>'INTERNAL TEST-1  '!C51</f>
        <v>0</v>
      </c>
      <c r="D51" s="12"/>
      <c r="E51" s="12"/>
      <c r="F51" s="12"/>
      <c r="G51" s="12"/>
      <c r="H51" s="12"/>
      <c r="I51" s="12"/>
      <c r="J51" s="12"/>
      <c r="K51" s="12"/>
      <c r="L51" s="12"/>
      <c r="M51" s="12"/>
      <c r="N51" s="12"/>
      <c r="O51" s="12"/>
      <c r="P51" s="12"/>
      <c r="Q51" s="12"/>
      <c r="R51" s="12"/>
      <c r="S51" s="12"/>
      <c r="T51" s="12"/>
      <c r="U51" s="13">
        <f t="shared" si="25"/>
        <v>0</v>
      </c>
      <c r="V51" s="13">
        <f t="shared" si="1"/>
        <v>0</v>
      </c>
      <c r="W51" s="13">
        <f t="shared" si="2"/>
        <v>0</v>
      </c>
      <c r="X51" s="13">
        <f t="shared" si="3"/>
        <v>0</v>
      </c>
      <c r="Y51" s="13">
        <f t="shared" si="4"/>
        <v>0</v>
      </c>
      <c r="Z51" s="13">
        <f t="shared" si="5"/>
        <v>0</v>
      </c>
      <c r="AA51" s="13">
        <f t="shared" si="6"/>
        <v>0</v>
      </c>
      <c r="AB51" s="13">
        <f t="shared" si="7"/>
        <v>0</v>
      </c>
      <c r="AC51" s="23">
        <f t="shared" si="24"/>
        <v>0</v>
      </c>
      <c r="AD51" s="23">
        <f t="shared" si="26"/>
        <v>0</v>
      </c>
      <c r="AE51" s="23">
        <f t="shared" si="17"/>
        <v>0</v>
      </c>
      <c r="AF51" s="23">
        <f t="shared" si="18"/>
        <v>0</v>
      </c>
      <c r="AG51" s="23">
        <f t="shared" si="19"/>
        <v>0</v>
      </c>
      <c r="AH51" s="13" t="e">
        <f t="shared" si="27"/>
        <v>#DIV/0!</v>
      </c>
      <c r="AI51" s="13" t="e">
        <f t="shared" si="28"/>
        <v>#DIV/0!</v>
      </c>
      <c r="AJ51" s="10" t="e">
        <f t="shared" si="29"/>
        <v>#DIV/0!</v>
      </c>
      <c r="AK51" s="6" t="e">
        <f t="shared" si="30"/>
        <v>#DIV/0!</v>
      </c>
      <c r="AL51" s="6" t="e">
        <f t="shared" si="31"/>
        <v>#DIV/0!</v>
      </c>
      <c r="AM51" s="6" t="e">
        <f t="shared" si="32"/>
        <v>#DIV/0!</v>
      </c>
      <c r="AN51" s="6" t="e">
        <f t="shared" si="33"/>
        <v>#DIV/0!</v>
      </c>
      <c r="AO51" s="57" t="e">
        <f t="shared" si="34"/>
        <v>#DIV/0!</v>
      </c>
      <c r="AP51" s="57" t="e">
        <f t="shared" si="20"/>
        <v>#DIV/0!</v>
      </c>
      <c r="AQ51" s="57" t="e">
        <f t="shared" si="21"/>
        <v>#DIV/0!</v>
      </c>
      <c r="AR51" s="57" t="e">
        <f t="shared" si="22"/>
        <v>#DIV/0!</v>
      </c>
      <c r="AS51" s="57" t="e">
        <f t="shared" si="23"/>
        <v>#DIV/0!</v>
      </c>
    </row>
    <row r="52" spans="1:45" ht="33" hidden="1" customHeight="1">
      <c r="A52" s="22">
        <v>0</v>
      </c>
      <c r="B52" s="22">
        <f>'INTERNAL TEST-1  '!B52</f>
        <v>0</v>
      </c>
      <c r="C52" s="202">
        <f>'INTERNAL TEST-1  '!C52</f>
        <v>0</v>
      </c>
      <c r="D52" s="12"/>
      <c r="E52" s="12"/>
      <c r="F52" s="12"/>
      <c r="G52" s="12"/>
      <c r="H52" s="12"/>
      <c r="I52" s="12"/>
      <c r="J52" s="12"/>
      <c r="K52" s="12"/>
      <c r="L52" s="12"/>
      <c r="M52" s="12"/>
      <c r="N52" s="12"/>
      <c r="O52" s="12"/>
      <c r="P52" s="12"/>
      <c r="Q52" s="12"/>
      <c r="R52" s="12"/>
      <c r="S52" s="12"/>
      <c r="T52" s="12"/>
      <c r="U52" s="13">
        <f t="shared" si="25"/>
        <v>0</v>
      </c>
      <c r="V52" s="13">
        <f t="shared" si="1"/>
        <v>0</v>
      </c>
      <c r="W52" s="13">
        <f t="shared" si="2"/>
        <v>0</v>
      </c>
      <c r="X52" s="13">
        <f t="shared" si="3"/>
        <v>0</v>
      </c>
      <c r="Y52" s="13">
        <f t="shared" si="4"/>
        <v>0</v>
      </c>
      <c r="Z52" s="13">
        <f t="shared" si="5"/>
        <v>0</v>
      </c>
      <c r="AA52" s="13">
        <f t="shared" si="6"/>
        <v>0</v>
      </c>
      <c r="AB52" s="13">
        <f t="shared" si="7"/>
        <v>0</v>
      </c>
      <c r="AC52" s="23">
        <f t="shared" si="24"/>
        <v>0</v>
      </c>
      <c r="AD52" s="23">
        <f t="shared" si="26"/>
        <v>0</v>
      </c>
      <c r="AE52" s="23">
        <f t="shared" si="17"/>
        <v>0</v>
      </c>
      <c r="AF52" s="23">
        <f t="shared" si="18"/>
        <v>0</v>
      </c>
      <c r="AG52" s="23">
        <f t="shared" si="19"/>
        <v>0</v>
      </c>
      <c r="AH52" s="13" t="e">
        <f t="shared" si="27"/>
        <v>#DIV/0!</v>
      </c>
      <c r="AI52" s="13" t="e">
        <f t="shared" si="28"/>
        <v>#DIV/0!</v>
      </c>
      <c r="AJ52" s="10" t="e">
        <f t="shared" si="29"/>
        <v>#DIV/0!</v>
      </c>
      <c r="AK52" s="6" t="e">
        <f t="shared" si="30"/>
        <v>#DIV/0!</v>
      </c>
      <c r="AL52" s="6" t="e">
        <f t="shared" si="31"/>
        <v>#DIV/0!</v>
      </c>
      <c r="AM52" s="6" t="e">
        <f t="shared" si="32"/>
        <v>#DIV/0!</v>
      </c>
      <c r="AN52" s="6" t="e">
        <f t="shared" si="33"/>
        <v>#DIV/0!</v>
      </c>
      <c r="AO52" s="57" t="e">
        <f t="shared" si="34"/>
        <v>#DIV/0!</v>
      </c>
      <c r="AP52" s="57" t="e">
        <f t="shared" si="20"/>
        <v>#DIV/0!</v>
      </c>
      <c r="AQ52" s="57" t="e">
        <f t="shared" si="21"/>
        <v>#DIV/0!</v>
      </c>
      <c r="AR52" s="57" t="e">
        <f t="shared" si="22"/>
        <v>#DIV/0!</v>
      </c>
      <c r="AS52" s="57" t="e">
        <f t="shared" si="23"/>
        <v>#DIV/0!</v>
      </c>
    </row>
    <row r="53" spans="1:45" ht="33" hidden="1" customHeight="1">
      <c r="A53" s="22">
        <v>0</v>
      </c>
      <c r="B53" s="22">
        <f>'INTERNAL TEST-1  '!B53</f>
        <v>0</v>
      </c>
      <c r="C53" s="202">
        <f>'INTERNAL TEST-1  '!C53</f>
        <v>0</v>
      </c>
      <c r="D53" s="12"/>
      <c r="E53" s="12"/>
      <c r="F53" s="12"/>
      <c r="G53" s="12"/>
      <c r="H53" s="12"/>
      <c r="I53" s="12"/>
      <c r="J53" s="12"/>
      <c r="K53" s="12"/>
      <c r="L53" s="12"/>
      <c r="M53" s="12"/>
      <c r="N53" s="12"/>
      <c r="O53" s="12"/>
      <c r="P53" s="12"/>
      <c r="Q53" s="12"/>
      <c r="R53" s="12"/>
      <c r="S53" s="12"/>
      <c r="T53" s="12"/>
      <c r="U53" s="13">
        <f t="shared" si="25"/>
        <v>0</v>
      </c>
      <c r="V53" s="13">
        <f t="shared" si="1"/>
        <v>0</v>
      </c>
      <c r="W53" s="13">
        <f t="shared" si="2"/>
        <v>0</v>
      </c>
      <c r="X53" s="13">
        <f t="shared" si="3"/>
        <v>0</v>
      </c>
      <c r="Y53" s="13">
        <f t="shared" si="4"/>
        <v>0</v>
      </c>
      <c r="Z53" s="13">
        <f t="shared" si="5"/>
        <v>0</v>
      </c>
      <c r="AA53" s="13">
        <f t="shared" si="6"/>
        <v>0</v>
      </c>
      <c r="AB53" s="13">
        <f t="shared" si="7"/>
        <v>0</v>
      </c>
      <c r="AC53" s="23">
        <f t="shared" si="24"/>
        <v>0</v>
      </c>
      <c r="AD53" s="23">
        <f t="shared" si="26"/>
        <v>0</v>
      </c>
      <c r="AE53" s="23">
        <f t="shared" si="17"/>
        <v>0</v>
      </c>
      <c r="AF53" s="23">
        <f t="shared" si="18"/>
        <v>0</v>
      </c>
      <c r="AG53" s="23">
        <f t="shared" si="19"/>
        <v>0</v>
      </c>
      <c r="AH53" s="13" t="e">
        <f t="shared" si="27"/>
        <v>#DIV/0!</v>
      </c>
      <c r="AI53" s="13" t="e">
        <f t="shared" si="28"/>
        <v>#DIV/0!</v>
      </c>
      <c r="AJ53" s="10" t="e">
        <f t="shared" si="29"/>
        <v>#DIV/0!</v>
      </c>
      <c r="AK53" s="6" t="e">
        <f t="shared" si="30"/>
        <v>#DIV/0!</v>
      </c>
      <c r="AL53" s="6" t="e">
        <f t="shared" si="31"/>
        <v>#DIV/0!</v>
      </c>
      <c r="AM53" s="6" t="e">
        <f t="shared" si="32"/>
        <v>#DIV/0!</v>
      </c>
      <c r="AN53" s="6" t="e">
        <f t="shared" si="33"/>
        <v>#DIV/0!</v>
      </c>
      <c r="AO53" s="57" t="e">
        <f t="shared" si="34"/>
        <v>#DIV/0!</v>
      </c>
      <c r="AP53" s="57" t="e">
        <f t="shared" si="20"/>
        <v>#DIV/0!</v>
      </c>
      <c r="AQ53" s="57" t="e">
        <f t="shared" si="21"/>
        <v>#DIV/0!</v>
      </c>
      <c r="AR53" s="57" t="e">
        <f t="shared" si="22"/>
        <v>#DIV/0!</v>
      </c>
      <c r="AS53" s="57" t="e">
        <f t="shared" si="23"/>
        <v>#DIV/0!</v>
      </c>
    </row>
    <row r="54" spans="1:45" ht="33" hidden="1" customHeight="1">
      <c r="A54" s="22">
        <v>0</v>
      </c>
      <c r="B54" s="22">
        <f>'INTERNAL TEST-1  '!B54</f>
        <v>0</v>
      </c>
      <c r="C54" s="202">
        <f>'INTERNAL TEST-1  '!C54</f>
        <v>0</v>
      </c>
      <c r="D54" s="12"/>
      <c r="E54" s="12"/>
      <c r="F54" s="12"/>
      <c r="G54" s="12"/>
      <c r="H54" s="12"/>
      <c r="I54" s="12"/>
      <c r="J54" s="12"/>
      <c r="K54" s="12"/>
      <c r="L54" s="12"/>
      <c r="M54" s="12"/>
      <c r="N54" s="12"/>
      <c r="O54" s="12"/>
      <c r="P54" s="12"/>
      <c r="Q54" s="12"/>
      <c r="R54" s="12"/>
      <c r="S54" s="12"/>
      <c r="T54" s="12"/>
      <c r="U54" s="13">
        <f>SUM(D54:T54)</f>
        <v>0</v>
      </c>
      <c r="V54" s="13">
        <f>IF($D$12="CO1",D54,0)+IF($E$12="CO1",E54,0)+IF($F$12="CO1",F54,0)+IF($G$12="CO1",G54,0)+IF($H$12="CO1",H54,0)+IF($I$12="CO1",I54,0)+IF($J$12="CO1",J54,0)+IF($K$12="CO1",K54,0)+IF($L$12="CO1",L54,0)+IF($M$12="CO1",M54,0)+IF($N$12="CO1",N54,0)+IF($O$12="CO1",O54,0)+IF($P$12="CO1",P54,0)+IF($Q$12="CO1",Q54,0)+IF($R$12="CO1",R54,0)+IF($S$12="CO1",S54,0)+IF($T$12="CO1",T54,0)</f>
        <v>0</v>
      </c>
      <c r="W54" s="13">
        <f>IF($D$12="CO2",D54,0)+IF($E$12="CO2",E54,0)+IF($F$12="CO2",F54,0)+IF($G$12="CO2",G54,0)+IF($H$12="CO2",H54,0)+IF($I$12="CO2",I54,0)+IF($J$12="CO2",J54,0)+IF($K$12="CO2",K54,0)+IF($L$12="CO2",L54,0)+IF($M$12="CO2",M54,0)+IF($N$12="CO2",N54,0)+IF($O$12="CO2",O54,0)+IF($P$12="CO2",P54,0)+IF($Q$12="CO2",Q54,0)+IF($R$12="CO2",R54,0)+IF($S$12="CO2",S54,0)+IF($T$12="CO2",T54,0)</f>
        <v>0</v>
      </c>
      <c r="X54" s="13">
        <f>IF($D$12="CO3",D54,0)+IF($E$12="CO3",E54,0)+IF($F$12="CO3",F54,0)+IF($G$12="CO3",G54,0)+IF($H$12="CO3",H54,0)+IF($I$12="CO3",I54,0)+IF($J$12="CO3",J54,0)+IF($K$12="CO3",K54,0)+IF($L$12="CO3",L54,0)+IF($M$12="CO3",M54,0)+IF($N$12="CO3",N54,0)+IF($O$12="CO3",O54,0)+IF($P$12="CO3",P54,0)+IF($Q$12="CO3",Q54,0)+IF($R$12="CO3",R54,0)+IF($S$12="CO3",S54,0)+IF($T$12="CO3",T54,0)</f>
        <v>0</v>
      </c>
      <c r="Y54" s="13">
        <f>IF($D$12="CO4",D54,0)+IF($E$12="CO4",E54,0)+IF($F$12="CO4",F54,0)+IF($G$12="CO4",G54,0)+IF($H$12="CO4",H54,0)+IF($I$12="CO4",I54,0)+IF($J$12="CO4",J54,0)+IF($K$12="CO4",K54,0)+IF($L$12="CO4",L54,0)+IF($M$12="CO4",M54,0)+IF($N$12="CO4",N54,0)+IF($O$12="CO4",O54,0)+IF($P$12="CO4",P54,0)+IF($Q$12="CO4",Q54,0)+IF($R$12="CO4",R54,0)+IF($S$12="CO4",S54,0)+IF($T$12="CO4",T54,0)</f>
        <v>0</v>
      </c>
      <c r="Z54" s="13">
        <f>IF($D$12="CO5",D54,0)+IF($E$12="CO5",E54,0)+IF($F$12="CO5",F54,0)+IF($G$12="CO5",G54,0)+IF($H$12="CO5",H54,0)+IF($I$12="CO5",I54,0)+IF($J$12="CO5",J54,0)+IF($K$12="CO5",K54,0)+IF($L$12="CO5",L54,0)+IF($M$12="CO5",M54,0)+IF($N$12="CO5",N54,0)+IF($O$12="CO5",O54,0)+IF($P$12="CO5",P54,0)+IF($Q$12="CO5",Q54,0)+IF($R$12="CO5",R54,0)+IF($S$12="CO5",S54,0)+IF($T$12="CO5",T54,0)</f>
        <v>0</v>
      </c>
      <c r="AA54" s="13">
        <f>IF($D$12="CO6",D54,0)+IF($E$12="CO6",E54,0)+IF($F$12="CO6",F54,0)+IF($G$12="CO6",G54,0)+IF($H$12="CO6",H54,0)+IF($I$12="CO6",I54,0)+IF($J$12="CO6",J54,0)+IF($K$12="CO6",K54,0)+IF($L$12="CO6",L54,0)+IF($M$12="CO6",M54,0)+IF($N$12="CO6",N54,0)+IF($O$12="CO6",O54,0)+IF($P$12="CO6",P54,0)+IF($Q$12="CO6",Q54,0)+IF($R$12="CO6",R54,0)+IF($S$12="CO6",S54,0)+IF($T$12="CO6",T54,0)</f>
        <v>0</v>
      </c>
      <c r="AB54" s="13">
        <f>IF($D$12="CO7",D54,0)+IF($E$12="CO7",E54,0)+IF($F$12="CO7",F54,0)+IF($G$12="CO7",G54,0)+IF($H$12="CO7",H54,0)+IF($I$12="CO7",I54,0)+IF($J$12="CO7",J54,0)+IF($K$12="CO7",K54,0)+IF($L$12="CO7",L54,0)+IF($M$12="CO7",M54,0)+IF($N$12="CO7",N54,0)+IF($O$12="CO7",O54,0)+IF($P$12="CO7",P54,0)+IF($Q$12="CO7",Q54,0)+IF($R$12="CO7",R54,0)+IF($S$12="CO7",S54,0)+IF($T$12="CO7",T54,0)</f>
        <v>0</v>
      </c>
      <c r="AC54" s="23">
        <f t="shared" si="24"/>
        <v>0</v>
      </c>
      <c r="AD54" s="23">
        <f t="shared" si="26"/>
        <v>0</v>
      </c>
      <c r="AE54" s="23">
        <f t="shared" si="17"/>
        <v>0</v>
      </c>
      <c r="AF54" s="23">
        <f t="shared" si="18"/>
        <v>0</v>
      </c>
      <c r="AG54" s="23">
        <f t="shared" si="19"/>
        <v>0</v>
      </c>
      <c r="AH54" s="13" t="e">
        <f t="shared" si="27"/>
        <v>#DIV/0!</v>
      </c>
      <c r="AI54" s="13" t="e">
        <f t="shared" si="28"/>
        <v>#DIV/0!</v>
      </c>
      <c r="AJ54" s="10" t="e">
        <f t="shared" si="29"/>
        <v>#DIV/0!</v>
      </c>
      <c r="AK54" s="6" t="e">
        <f t="shared" si="30"/>
        <v>#DIV/0!</v>
      </c>
      <c r="AL54" s="6" t="e">
        <f t="shared" si="31"/>
        <v>#DIV/0!</v>
      </c>
      <c r="AM54" s="6" t="e">
        <f t="shared" si="32"/>
        <v>#DIV/0!</v>
      </c>
      <c r="AN54" s="6" t="e">
        <f t="shared" si="33"/>
        <v>#DIV/0!</v>
      </c>
      <c r="AO54" s="57" t="e">
        <f t="shared" si="34"/>
        <v>#DIV/0!</v>
      </c>
      <c r="AP54" s="57" t="e">
        <f t="shared" si="20"/>
        <v>#DIV/0!</v>
      </c>
      <c r="AQ54" s="57" t="e">
        <f t="shared" si="21"/>
        <v>#DIV/0!</v>
      </c>
      <c r="AR54" s="57" t="e">
        <f t="shared" si="22"/>
        <v>#DIV/0!</v>
      </c>
      <c r="AS54" s="57" t="e">
        <f t="shared" si="23"/>
        <v>#DIV/0!</v>
      </c>
    </row>
    <row r="55" spans="1:45" ht="33" hidden="1" customHeight="1">
      <c r="A55" s="22">
        <v>0</v>
      </c>
      <c r="B55" s="22">
        <f>'INTERNAL TEST-1  '!B55</f>
        <v>0</v>
      </c>
      <c r="C55" s="202">
        <f>'INTERNAL TEST-1  '!C55</f>
        <v>0</v>
      </c>
      <c r="D55" s="12"/>
      <c r="E55" s="12"/>
      <c r="F55" s="12"/>
      <c r="G55" s="12"/>
      <c r="H55" s="12"/>
      <c r="I55" s="12"/>
      <c r="J55" s="12"/>
      <c r="K55" s="12"/>
      <c r="L55" s="12"/>
      <c r="M55" s="12"/>
      <c r="N55" s="12"/>
      <c r="O55" s="12"/>
      <c r="P55" s="12"/>
      <c r="Q55" s="12"/>
      <c r="R55" s="12"/>
      <c r="S55" s="12"/>
      <c r="T55" s="12"/>
      <c r="U55" s="13">
        <f t="shared" si="25"/>
        <v>0</v>
      </c>
      <c r="V55" s="13">
        <f>IF($D$12="CO1",D55,0)+IF($E$12="CO1",E55,0)+IF($F$12="CO1",F55,0)+IF($G$12="CO1",G55,0)+IF($H$12="CO1",H55,0)+IF($I$12="CO1",I55,0)+IF($J$12="CO1",J55,0)+IF($K$12="CO1",K55,0)+IF($L$12="CO1",L55,0)+IF($M$12="CO1",M55,0)+IF($N$12="CO1",N55,0)+IF($O$12="CO1",O55,0)+IF($P$12="CO1",P55,0)+IF($Q$12="CO1",Q55,0)+IF($R$12="CO1",R55,0)+IF($S$12="CO1",S55,0)+IF($T$12="CO1",T55,0)</f>
        <v>0</v>
      </c>
      <c r="W55" s="13">
        <f>IF($D$12="CO2",D55,0)+IF($E$12="CO2",E55,0)+IF($F$12="CO2",F55,0)+IF($G$12="CO2",G55,0)+IF($H$12="CO2",H55,0)+IF($I$12="CO2",I55,0)+IF($J$12="CO2",J55,0)+IF($K$12="CO2",K55,0)+IF($L$12="CO2",L55,0)+IF($M$12="CO2",M55,0)+IF($N$12="CO2",N55,0)+IF($O$12="CO2",O55,0)+IF($P$12="CO2",P55,0)+IF($Q$12="CO2",Q55,0)+IF($R$12="CO2",R55,0)+IF($S$12="CO2",S55,0)+IF($T$12="CO2",T55,0)</f>
        <v>0</v>
      </c>
      <c r="X55" s="13">
        <f>IF($D$12="CO3",D55,0)+IF($E$12="CO3",E55,0)+IF($F$12="CO3",F55,0)+IF($G$12="CO3",G55,0)+IF($H$12="CO3",H55,0)+IF($I$12="CO3",I55,0)+IF($J$12="CO3",J55,0)+IF($K$12="CO3",K55,0)+IF($L$12="CO3",L55,0)+IF($M$12="CO3",M55,0)+IF($N$12="CO3",N55,0)+IF($O$12="CO3",O55,0)+IF($P$12="CO3",P55,0)+IF($Q$12="CO3",Q55,0)+IF($R$12="CO3",R55,0)+IF($S$12="CO3",S55,0)+IF($T$12="CO3",T55,0)</f>
        <v>0</v>
      </c>
      <c r="Y55" s="13">
        <f>IF($D$12="CO4",D55,0)+IF($E$12="CO4",E55,0)+IF($F$12="CO4",F55,0)+IF($G$12="CO4",G55,0)+IF($H$12="CO4",H55,0)+IF($I$12="CO4",I55,0)+IF($J$12="CO4",J55,0)+IF($K$12="CO4",K55,0)+IF($L$12="CO4",L55,0)+IF($M$12="CO4",M55,0)+IF($N$12="CO4",N55,0)+IF($O$12="CO4",O55,0)+IF($P$12="CO4",P55,0)+IF($Q$12="CO4",Q55,0)+IF($R$12="CO4",R55,0)+IF($S$12="CO4",S55,0)+IF($T$12="CO4",T55,0)</f>
        <v>0</v>
      </c>
      <c r="Z55" s="13">
        <f>IF($D$12="CO5",D55,0)+IF($E$12="CO5",E55,0)+IF($F$12="CO5",F55,0)+IF($G$12="CO5",G55,0)+IF($H$12="CO5",H55,0)+IF($I$12="CO5",I55,0)+IF($J$12="CO5",J55,0)+IF($K$12="CO5",K55,0)+IF($L$12="CO5",L55,0)+IF($M$12="CO5",M55,0)+IF($N$12="CO5",N55,0)+IF($O$12="CO5",O55,0)+IF($P$12="CO5",P55,0)+IF($Q$12="CO5",Q55,0)+IF($R$12="CO5",R55,0)+IF($S$12="CO5",S55,0)+IF($T$12="CO5",T55,0)</f>
        <v>0</v>
      </c>
      <c r="AA55" s="13">
        <f>IF($D$12="CO6",D55,0)+IF($E$12="CO6",E55,0)+IF($F$12="CO6",F55,0)+IF($G$12="CO6",G55,0)+IF($H$12="CO6",H55,0)+IF($I$12="CO6",I55,0)+IF($J$12="CO6",J55,0)+IF($K$12="CO6",K55,0)+IF($L$12="CO6",L55,0)+IF($M$12="CO6",M55,0)+IF($N$12="CO6",N55,0)+IF($O$12="CO6",O55,0)+IF($P$12="CO6",P55,0)+IF($Q$12="CO6",Q55,0)+IF($R$12="CO6",R55,0)+IF($S$12="CO6",S55,0)+IF($T$12="CO6",T55,0)</f>
        <v>0</v>
      </c>
      <c r="AB55" s="13">
        <f>IF($D$12="CO7",D55,0)+IF($E$12="CO7",E55,0)+IF($F$12="CO7",F55,0)+IF($G$12="CO7",G55,0)+IF($H$12="CO7",H55,0)+IF($I$12="CO7",I55,0)+IF($J$12="CO7",J55,0)+IF($K$12="CO7",K55,0)+IF($L$12="CO7",L55,0)+IF($M$12="CO7",M55,0)+IF($N$12="CO7",N55,0)+IF($O$12="CO7",O55,0)+IF($P$12="CO7",P55,0)+IF($Q$12="CO7",Q55,0)+IF($R$12="CO7",R55,0)+IF($S$12="CO7",S55,0)+IF($T$12="CO7",T55,0)</f>
        <v>0</v>
      </c>
      <c r="AC55" s="23">
        <f t="shared" si="24"/>
        <v>0</v>
      </c>
      <c r="AD55" s="23">
        <f t="shared" si="26"/>
        <v>0</v>
      </c>
      <c r="AE55" s="23">
        <f t="shared" si="17"/>
        <v>0</v>
      </c>
      <c r="AF55" s="23">
        <f t="shared" si="18"/>
        <v>0</v>
      </c>
      <c r="AG55" s="23">
        <f t="shared" si="19"/>
        <v>0</v>
      </c>
      <c r="AH55" s="13" t="e">
        <f t="shared" si="27"/>
        <v>#DIV/0!</v>
      </c>
      <c r="AI55" s="13" t="e">
        <f t="shared" si="28"/>
        <v>#DIV/0!</v>
      </c>
      <c r="AJ55" s="10" t="e">
        <f t="shared" si="29"/>
        <v>#DIV/0!</v>
      </c>
      <c r="AK55" s="6" t="e">
        <f t="shared" si="30"/>
        <v>#DIV/0!</v>
      </c>
      <c r="AL55" s="6" t="e">
        <f t="shared" si="31"/>
        <v>#DIV/0!</v>
      </c>
      <c r="AM55" s="6" t="e">
        <f t="shared" si="32"/>
        <v>#DIV/0!</v>
      </c>
      <c r="AN55" s="6" t="e">
        <f t="shared" si="33"/>
        <v>#DIV/0!</v>
      </c>
      <c r="AO55" s="57" t="e">
        <f t="shared" si="34"/>
        <v>#DIV/0!</v>
      </c>
      <c r="AP55" s="57" t="e">
        <f t="shared" si="20"/>
        <v>#DIV/0!</v>
      </c>
      <c r="AQ55" s="57" t="e">
        <f t="shared" si="21"/>
        <v>#DIV/0!</v>
      </c>
      <c r="AR55" s="57" t="e">
        <f t="shared" si="22"/>
        <v>#DIV/0!</v>
      </c>
      <c r="AS55" s="57" t="e">
        <f t="shared" si="23"/>
        <v>#DIV/0!</v>
      </c>
    </row>
    <row r="56" spans="1:45" ht="33" hidden="1" customHeight="1">
      <c r="A56" s="22">
        <v>0</v>
      </c>
      <c r="B56" s="22">
        <f>'INTERNAL TEST-1  '!B56</f>
        <v>0</v>
      </c>
      <c r="C56" s="202">
        <f>'INTERNAL TEST-1  '!C56</f>
        <v>0</v>
      </c>
      <c r="D56" s="12"/>
      <c r="E56" s="12"/>
      <c r="F56" s="12"/>
      <c r="G56" s="12"/>
      <c r="H56" s="12"/>
      <c r="I56" s="12"/>
      <c r="J56" s="12"/>
      <c r="K56" s="12"/>
      <c r="L56" s="12"/>
      <c r="M56" s="12"/>
      <c r="N56" s="12"/>
      <c r="O56" s="12"/>
      <c r="P56" s="12"/>
      <c r="Q56" s="12"/>
      <c r="R56" s="12"/>
      <c r="S56" s="12"/>
      <c r="T56" s="12"/>
      <c r="U56" s="13">
        <f t="shared" si="25"/>
        <v>0</v>
      </c>
      <c r="V56" s="13">
        <f t="shared" si="1"/>
        <v>0</v>
      </c>
      <c r="W56" s="13">
        <f t="shared" si="2"/>
        <v>0</v>
      </c>
      <c r="X56" s="13">
        <f t="shared" si="3"/>
        <v>0</v>
      </c>
      <c r="Y56" s="13">
        <f t="shared" si="4"/>
        <v>0</v>
      </c>
      <c r="Z56" s="13">
        <f t="shared" si="5"/>
        <v>0</v>
      </c>
      <c r="AA56" s="13">
        <f t="shared" si="6"/>
        <v>0</v>
      </c>
      <c r="AB56" s="13">
        <f t="shared" si="7"/>
        <v>0</v>
      </c>
      <c r="AC56" s="23">
        <f t="shared" si="24"/>
        <v>0</v>
      </c>
      <c r="AD56" s="23">
        <f t="shared" si="26"/>
        <v>0</v>
      </c>
      <c r="AE56" s="23">
        <f t="shared" si="17"/>
        <v>0</v>
      </c>
      <c r="AF56" s="23">
        <f t="shared" si="18"/>
        <v>0</v>
      </c>
      <c r="AG56" s="23">
        <f t="shared" si="19"/>
        <v>0</v>
      </c>
      <c r="AH56" s="13" t="e">
        <f t="shared" si="27"/>
        <v>#DIV/0!</v>
      </c>
      <c r="AI56" s="13" t="e">
        <f t="shared" si="28"/>
        <v>#DIV/0!</v>
      </c>
      <c r="AJ56" s="10" t="e">
        <f t="shared" si="29"/>
        <v>#DIV/0!</v>
      </c>
      <c r="AK56" s="6" t="e">
        <f t="shared" si="30"/>
        <v>#DIV/0!</v>
      </c>
      <c r="AL56" s="6" t="e">
        <f t="shared" si="31"/>
        <v>#DIV/0!</v>
      </c>
      <c r="AM56" s="6" t="e">
        <f t="shared" si="32"/>
        <v>#DIV/0!</v>
      </c>
      <c r="AN56" s="6" t="e">
        <f t="shared" si="33"/>
        <v>#DIV/0!</v>
      </c>
      <c r="AO56" s="57" t="e">
        <f t="shared" si="34"/>
        <v>#DIV/0!</v>
      </c>
      <c r="AP56" s="57" t="e">
        <f t="shared" si="20"/>
        <v>#DIV/0!</v>
      </c>
      <c r="AQ56" s="57" t="e">
        <f t="shared" si="21"/>
        <v>#DIV/0!</v>
      </c>
      <c r="AR56" s="57" t="e">
        <f t="shared" si="22"/>
        <v>#DIV/0!</v>
      </c>
      <c r="AS56" s="57" t="e">
        <f t="shared" si="23"/>
        <v>#DIV/0!</v>
      </c>
    </row>
    <row r="57" spans="1:45" ht="33" hidden="1" customHeight="1">
      <c r="A57" s="22">
        <v>0</v>
      </c>
      <c r="B57" s="22">
        <f>'INTERNAL TEST-1  '!B57</f>
        <v>0</v>
      </c>
      <c r="C57" s="202">
        <f>'INTERNAL TEST-1  '!C57</f>
        <v>0</v>
      </c>
      <c r="D57" s="12"/>
      <c r="E57" s="12"/>
      <c r="F57" s="12"/>
      <c r="G57" s="12"/>
      <c r="H57" s="12"/>
      <c r="I57" s="12"/>
      <c r="J57" s="12"/>
      <c r="K57" s="12"/>
      <c r="L57" s="12"/>
      <c r="M57" s="12"/>
      <c r="N57" s="12"/>
      <c r="O57" s="12"/>
      <c r="P57" s="12"/>
      <c r="Q57" s="12"/>
      <c r="R57" s="12"/>
      <c r="S57" s="12"/>
      <c r="T57" s="12"/>
      <c r="U57" s="13">
        <f t="shared" si="25"/>
        <v>0</v>
      </c>
      <c r="V57" s="13">
        <f t="shared" si="1"/>
        <v>0</v>
      </c>
      <c r="W57" s="13">
        <f t="shared" si="2"/>
        <v>0</v>
      </c>
      <c r="X57" s="13">
        <f t="shared" si="3"/>
        <v>0</v>
      </c>
      <c r="Y57" s="13">
        <f t="shared" si="4"/>
        <v>0</v>
      </c>
      <c r="Z57" s="13">
        <f t="shared" si="5"/>
        <v>0</v>
      </c>
      <c r="AA57" s="13">
        <f t="shared" si="6"/>
        <v>0</v>
      </c>
      <c r="AB57" s="13">
        <f t="shared" si="7"/>
        <v>0</v>
      </c>
      <c r="AC57" s="23">
        <f t="shared" si="24"/>
        <v>0</v>
      </c>
      <c r="AD57" s="23">
        <f t="shared" si="26"/>
        <v>0</v>
      </c>
      <c r="AE57" s="23">
        <f t="shared" si="17"/>
        <v>0</v>
      </c>
      <c r="AF57" s="23">
        <f t="shared" si="18"/>
        <v>0</v>
      </c>
      <c r="AG57" s="23">
        <f t="shared" si="19"/>
        <v>0</v>
      </c>
      <c r="AH57" s="13" t="e">
        <f t="shared" si="27"/>
        <v>#DIV/0!</v>
      </c>
      <c r="AI57" s="13" t="e">
        <f t="shared" si="28"/>
        <v>#DIV/0!</v>
      </c>
      <c r="AJ57" s="10" t="e">
        <f t="shared" si="29"/>
        <v>#DIV/0!</v>
      </c>
      <c r="AK57" s="6" t="e">
        <f t="shared" si="30"/>
        <v>#DIV/0!</v>
      </c>
      <c r="AL57" s="6" t="e">
        <f t="shared" si="31"/>
        <v>#DIV/0!</v>
      </c>
      <c r="AM57" s="6" t="e">
        <f t="shared" si="32"/>
        <v>#DIV/0!</v>
      </c>
      <c r="AN57" s="6" t="e">
        <f t="shared" si="33"/>
        <v>#DIV/0!</v>
      </c>
      <c r="AO57" s="57" t="e">
        <f t="shared" si="34"/>
        <v>#DIV/0!</v>
      </c>
      <c r="AP57" s="57" t="e">
        <f t="shared" si="20"/>
        <v>#DIV/0!</v>
      </c>
      <c r="AQ57" s="57" t="e">
        <f t="shared" si="21"/>
        <v>#DIV/0!</v>
      </c>
      <c r="AR57" s="57" t="e">
        <f t="shared" si="22"/>
        <v>#DIV/0!</v>
      </c>
      <c r="AS57" s="57" t="e">
        <f t="shared" si="23"/>
        <v>#DIV/0!</v>
      </c>
    </row>
    <row r="58" spans="1:45" ht="33" hidden="1" customHeight="1">
      <c r="A58" s="22">
        <v>0</v>
      </c>
      <c r="B58" s="22">
        <f>'INTERNAL TEST-1  '!B58</f>
        <v>0</v>
      </c>
      <c r="C58" s="202">
        <f>'INTERNAL TEST-1  '!C58</f>
        <v>0</v>
      </c>
      <c r="D58" s="12"/>
      <c r="E58" s="12"/>
      <c r="F58" s="12"/>
      <c r="G58" s="12"/>
      <c r="H58" s="12"/>
      <c r="I58" s="12"/>
      <c r="J58" s="12"/>
      <c r="K58" s="12"/>
      <c r="L58" s="12"/>
      <c r="M58" s="12"/>
      <c r="N58" s="12"/>
      <c r="O58" s="12"/>
      <c r="P58" s="12"/>
      <c r="Q58" s="12"/>
      <c r="R58" s="12"/>
      <c r="S58" s="12"/>
      <c r="T58" s="12"/>
      <c r="U58" s="13">
        <f t="shared" si="25"/>
        <v>0</v>
      </c>
      <c r="V58" s="13">
        <f t="shared" si="1"/>
        <v>0</v>
      </c>
      <c r="W58" s="13">
        <f t="shared" si="2"/>
        <v>0</v>
      </c>
      <c r="X58" s="13">
        <f t="shared" si="3"/>
        <v>0</v>
      </c>
      <c r="Y58" s="13">
        <f t="shared" si="4"/>
        <v>0</v>
      </c>
      <c r="Z58" s="13">
        <f t="shared" si="5"/>
        <v>0</v>
      </c>
      <c r="AA58" s="13">
        <f t="shared" si="6"/>
        <v>0</v>
      </c>
      <c r="AB58" s="13">
        <f t="shared" si="7"/>
        <v>0</v>
      </c>
      <c r="AC58" s="23">
        <f t="shared" si="24"/>
        <v>0</v>
      </c>
      <c r="AD58" s="23">
        <f t="shared" si="26"/>
        <v>0</v>
      </c>
      <c r="AE58" s="23">
        <f t="shared" si="17"/>
        <v>0</v>
      </c>
      <c r="AF58" s="23">
        <f t="shared" si="18"/>
        <v>0</v>
      </c>
      <c r="AG58" s="23">
        <f t="shared" si="19"/>
        <v>0</v>
      </c>
      <c r="AH58" s="13" t="e">
        <f t="shared" si="27"/>
        <v>#DIV/0!</v>
      </c>
      <c r="AI58" s="13" t="e">
        <f t="shared" si="28"/>
        <v>#DIV/0!</v>
      </c>
      <c r="AJ58" s="10" t="e">
        <f t="shared" si="29"/>
        <v>#DIV/0!</v>
      </c>
      <c r="AK58" s="6" t="e">
        <f t="shared" si="30"/>
        <v>#DIV/0!</v>
      </c>
      <c r="AL58" s="6" t="e">
        <f t="shared" si="31"/>
        <v>#DIV/0!</v>
      </c>
      <c r="AM58" s="6" t="e">
        <f t="shared" si="32"/>
        <v>#DIV/0!</v>
      </c>
      <c r="AN58" s="6" t="e">
        <f t="shared" si="33"/>
        <v>#DIV/0!</v>
      </c>
      <c r="AO58" s="57" t="e">
        <f t="shared" si="34"/>
        <v>#DIV/0!</v>
      </c>
      <c r="AP58" s="57" t="e">
        <f t="shared" si="20"/>
        <v>#DIV/0!</v>
      </c>
      <c r="AQ58" s="57" t="e">
        <f t="shared" si="21"/>
        <v>#DIV/0!</v>
      </c>
      <c r="AR58" s="57" t="e">
        <f t="shared" si="22"/>
        <v>#DIV/0!</v>
      </c>
      <c r="AS58" s="57" t="e">
        <f t="shared" si="23"/>
        <v>#DIV/0!</v>
      </c>
    </row>
    <row r="59" spans="1:45" ht="33" hidden="1" customHeight="1">
      <c r="A59" s="22">
        <v>0</v>
      </c>
      <c r="B59" s="22">
        <f>'INTERNAL TEST-1  '!B59</f>
        <v>0</v>
      </c>
      <c r="C59" s="202">
        <f>'INTERNAL TEST-1  '!C59</f>
        <v>0</v>
      </c>
      <c r="D59" s="12"/>
      <c r="E59" s="12"/>
      <c r="F59" s="12"/>
      <c r="G59" s="12"/>
      <c r="H59" s="12"/>
      <c r="I59" s="12"/>
      <c r="J59" s="12"/>
      <c r="K59" s="12"/>
      <c r="L59" s="12"/>
      <c r="M59" s="12"/>
      <c r="N59" s="12"/>
      <c r="O59" s="12"/>
      <c r="P59" s="12"/>
      <c r="Q59" s="12"/>
      <c r="R59" s="12"/>
      <c r="S59" s="12"/>
      <c r="T59" s="12"/>
      <c r="U59" s="13">
        <f t="shared" si="25"/>
        <v>0</v>
      </c>
      <c r="V59" s="13">
        <f t="shared" si="1"/>
        <v>0</v>
      </c>
      <c r="W59" s="13">
        <f t="shared" si="2"/>
        <v>0</v>
      </c>
      <c r="X59" s="13">
        <f t="shared" si="3"/>
        <v>0</v>
      </c>
      <c r="Y59" s="13">
        <f t="shared" si="4"/>
        <v>0</v>
      </c>
      <c r="Z59" s="13">
        <f t="shared" si="5"/>
        <v>0</v>
      </c>
      <c r="AA59" s="13">
        <f t="shared" si="6"/>
        <v>0</v>
      </c>
      <c r="AB59" s="13">
        <f t="shared" si="7"/>
        <v>0</v>
      </c>
      <c r="AC59" s="23">
        <f t="shared" si="24"/>
        <v>0</v>
      </c>
      <c r="AD59" s="23">
        <f t="shared" si="26"/>
        <v>0</v>
      </c>
      <c r="AE59" s="23">
        <f t="shared" si="17"/>
        <v>0</v>
      </c>
      <c r="AF59" s="23">
        <f t="shared" si="18"/>
        <v>0</v>
      </c>
      <c r="AG59" s="23">
        <f t="shared" si="19"/>
        <v>0</v>
      </c>
      <c r="AH59" s="13" t="e">
        <f t="shared" si="27"/>
        <v>#DIV/0!</v>
      </c>
      <c r="AI59" s="13" t="e">
        <f t="shared" si="28"/>
        <v>#DIV/0!</v>
      </c>
      <c r="AJ59" s="10" t="e">
        <f t="shared" si="29"/>
        <v>#DIV/0!</v>
      </c>
      <c r="AK59" s="6" t="e">
        <f t="shared" si="30"/>
        <v>#DIV/0!</v>
      </c>
      <c r="AL59" s="6" t="e">
        <f t="shared" si="31"/>
        <v>#DIV/0!</v>
      </c>
      <c r="AM59" s="6" t="e">
        <f t="shared" si="32"/>
        <v>#DIV/0!</v>
      </c>
      <c r="AN59" s="6" t="e">
        <f t="shared" si="33"/>
        <v>#DIV/0!</v>
      </c>
      <c r="AO59" s="57" t="e">
        <f t="shared" si="34"/>
        <v>#DIV/0!</v>
      </c>
      <c r="AP59" s="57" t="e">
        <f t="shared" si="20"/>
        <v>#DIV/0!</v>
      </c>
      <c r="AQ59" s="57" t="e">
        <f t="shared" si="21"/>
        <v>#DIV/0!</v>
      </c>
      <c r="AR59" s="57" t="e">
        <f t="shared" si="22"/>
        <v>#DIV/0!</v>
      </c>
      <c r="AS59" s="57" t="e">
        <f t="shared" si="23"/>
        <v>#DIV/0!</v>
      </c>
    </row>
    <row r="60" spans="1:45" ht="33" hidden="1" customHeight="1">
      <c r="A60" s="22">
        <v>0</v>
      </c>
      <c r="B60" s="22">
        <f>'INTERNAL TEST-1  '!B60</f>
        <v>0</v>
      </c>
      <c r="C60" s="202">
        <f>'INTERNAL TEST-1  '!C60</f>
        <v>0</v>
      </c>
      <c r="D60" s="12"/>
      <c r="E60" s="12"/>
      <c r="F60" s="12"/>
      <c r="G60" s="12"/>
      <c r="H60" s="12"/>
      <c r="I60" s="12"/>
      <c r="J60" s="12"/>
      <c r="K60" s="12"/>
      <c r="L60" s="12"/>
      <c r="M60" s="12"/>
      <c r="N60" s="12"/>
      <c r="O60" s="12"/>
      <c r="P60" s="12"/>
      <c r="Q60" s="12"/>
      <c r="R60" s="12"/>
      <c r="S60" s="12"/>
      <c r="T60" s="12"/>
      <c r="U60" s="13">
        <f t="shared" si="25"/>
        <v>0</v>
      </c>
      <c r="V60" s="13">
        <f t="shared" si="1"/>
        <v>0</v>
      </c>
      <c r="W60" s="13">
        <f t="shared" si="2"/>
        <v>0</v>
      </c>
      <c r="X60" s="13">
        <f t="shared" si="3"/>
        <v>0</v>
      </c>
      <c r="Y60" s="13">
        <f t="shared" si="4"/>
        <v>0</v>
      </c>
      <c r="Z60" s="13">
        <f t="shared" si="5"/>
        <v>0</v>
      </c>
      <c r="AA60" s="13">
        <f t="shared" si="6"/>
        <v>0</v>
      </c>
      <c r="AB60" s="13">
        <f t="shared" si="7"/>
        <v>0</v>
      </c>
      <c r="AC60" s="23">
        <f t="shared" si="24"/>
        <v>0</v>
      </c>
      <c r="AD60" s="23">
        <f t="shared" si="26"/>
        <v>0</v>
      </c>
      <c r="AE60" s="23">
        <f t="shared" si="17"/>
        <v>0</v>
      </c>
      <c r="AF60" s="23">
        <f t="shared" si="18"/>
        <v>0</v>
      </c>
      <c r="AG60" s="23">
        <f t="shared" si="19"/>
        <v>0</v>
      </c>
      <c r="AH60" s="13" t="e">
        <f t="shared" si="27"/>
        <v>#DIV/0!</v>
      </c>
      <c r="AI60" s="13" t="e">
        <f t="shared" si="28"/>
        <v>#DIV/0!</v>
      </c>
      <c r="AJ60" s="10" t="e">
        <f t="shared" si="29"/>
        <v>#DIV/0!</v>
      </c>
      <c r="AK60" s="6" t="e">
        <f t="shared" si="30"/>
        <v>#DIV/0!</v>
      </c>
      <c r="AL60" s="6" t="e">
        <f t="shared" si="31"/>
        <v>#DIV/0!</v>
      </c>
      <c r="AM60" s="6" t="e">
        <f t="shared" si="32"/>
        <v>#DIV/0!</v>
      </c>
      <c r="AN60" s="6" t="e">
        <f t="shared" si="33"/>
        <v>#DIV/0!</v>
      </c>
      <c r="AO60" s="57" t="e">
        <f t="shared" si="34"/>
        <v>#DIV/0!</v>
      </c>
      <c r="AP60" s="57" t="e">
        <f t="shared" si="20"/>
        <v>#DIV/0!</v>
      </c>
      <c r="AQ60" s="57" t="e">
        <f t="shared" si="21"/>
        <v>#DIV/0!</v>
      </c>
      <c r="AR60" s="57" t="e">
        <f t="shared" si="22"/>
        <v>#DIV/0!</v>
      </c>
      <c r="AS60" s="57" t="e">
        <f t="shared" si="23"/>
        <v>#DIV/0!</v>
      </c>
    </row>
    <row r="61" spans="1:45" ht="33" hidden="1" customHeight="1">
      <c r="A61" s="22">
        <v>0</v>
      </c>
      <c r="B61" s="22">
        <f>'INTERNAL TEST-1  '!B61</f>
        <v>0</v>
      </c>
      <c r="C61" s="202">
        <f>'INTERNAL TEST-1  '!C61</f>
        <v>0</v>
      </c>
      <c r="D61" s="12"/>
      <c r="E61" s="12"/>
      <c r="F61" s="12"/>
      <c r="G61" s="12"/>
      <c r="H61" s="12"/>
      <c r="I61" s="12"/>
      <c r="J61" s="12"/>
      <c r="K61" s="12"/>
      <c r="L61" s="12"/>
      <c r="M61" s="12"/>
      <c r="N61" s="12"/>
      <c r="O61" s="12"/>
      <c r="P61" s="12"/>
      <c r="Q61" s="12"/>
      <c r="R61" s="12"/>
      <c r="S61" s="12"/>
      <c r="T61" s="12"/>
      <c r="U61" s="13">
        <f t="shared" si="25"/>
        <v>0</v>
      </c>
      <c r="V61" s="13">
        <f t="shared" si="1"/>
        <v>0</v>
      </c>
      <c r="W61" s="13">
        <f t="shared" si="2"/>
        <v>0</v>
      </c>
      <c r="X61" s="13">
        <f t="shared" si="3"/>
        <v>0</v>
      </c>
      <c r="Y61" s="13">
        <f t="shared" si="4"/>
        <v>0</v>
      </c>
      <c r="Z61" s="13">
        <f t="shared" si="5"/>
        <v>0</v>
      </c>
      <c r="AA61" s="13">
        <f t="shared" si="6"/>
        <v>0</v>
      </c>
      <c r="AB61" s="13">
        <f t="shared" si="7"/>
        <v>0</v>
      </c>
      <c r="AC61" s="23">
        <f t="shared" si="24"/>
        <v>0</v>
      </c>
      <c r="AD61" s="23">
        <f t="shared" si="26"/>
        <v>0</v>
      </c>
      <c r="AE61" s="23">
        <f t="shared" si="17"/>
        <v>0</v>
      </c>
      <c r="AF61" s="23">
        <f t="shared" si="18"/>
        <v>0</v>
      </c>
      <c r="AG61" s="23">
        <f t="shared" si="19"/>
        <v>0</v>
      </c>
      <c r="AH61" s="13" t="e">
        <f t="shared" si="27"/>
        <v>#DIV/0!</v>
      </c>
      <c r="AI61" s="13" t="e">
        <f t="shared" si="28"/>
        <v>#DIV/0!</v>
      </c>
      <c r="AJ61" s="10" t="e">
        <f t="shared" si="29"/>
        <v>#DIV/0!</v>
      </c>
      <c r="AK61" s="6" t="e">
        <f t="shared" si="30"/>
        <v>#DIV/0!</v>
      </c>
      <c r="AL61" s="6" t="e">
        <f t="shared" si="31"/>
        <v>#DIV/0!</v>
      </c>
      <c r="AM61" s="6" t="e">
        <f t="shared" si="32"/>
        <v>#DIV/0!</v>
      </c>
      <c r="AN61" s="6" t="e">
        <f t="shared" si="33"/>
        <v>#DIV/0!</v>
      </c>
      <c r="AO61" s="57" t="e">
        <f t="shared" si="34"/>
        <v>#DIV/0!</v>
      </c>
      <c r="AP61" s="57" t="e">
        <f t="shared" si="20"/>
        <v>#DIV/0!</v>
      </c>
      <c r="AQ61" s="57" t="e">
        <f t="shared" si="21"/>
        <v>#DIV/0!</v>
      </c>
      <c r="AR61" s="57" t="e">
        <f t="shared" si="22"/>
        <v>#DIV/0!</v>
      </c>
      <c r="AS61" s="57" t="e">
        <f t="shared" si="23"/>
        <v>#DIV/0!</v>
      </c>
    </row>
    <row r="62" spans="1:45" ht="33" hidden="1" customHeight="1">
      <c r="A62" s="22">
        <v>0</v>
      </c>
      <c r="B62" s="22">
        <f>'INTERNAL TEST-1  '!B62</f>
        <v>0</v>
      </c>
      <c r="C62" s="202">
        <f>'INTERNAL TEST-1  '!C62</f>
        <v>0</v>
      </c>
      <c r="D62" s="12"/>
      <c r="E62" s="12"/>
      <c r="F62" s="12"/>
      <c r="G62" s="12"/>
      <c r="H62" s="12"/>
      <c r="I62" s="12"/>
      <c r="J62" s="12"/>
      <c r="K62" s="12"/>
      <c r="L62" s="12"/>
      <c r="M62" s="12"/>
      <c r="N62" s="12"/>
      <c r="O62" s="12"/>
      <c r="P62" s="12"/>
      <c r="Q62" s="12"/>
      <c r="R62" s="12"/>
      <c r="S62" s="12"/>
      <c r="T62" s="12"/>
      <c r="U62" s="13">
        <f t="shared" si="25"/>
        <v>0</v>
      </c>
      <c r="V62" s="13">
        <f t="shared" si="1"/>
        <v>0</v>
      </c>
      <c r="W62" s="13">
        <f t="shared" si="2"/>
        <v>0</v>
      </c>
      <c r="X62" s="13">
        <f t="shared" si="3"/>
        <v>0</v>
      </c>
      <c r="Y62" s="13">
        <f t="shared" si="4"/>
        <v>0</v>
      </c>
      <c r="Z62" s="13">
        <f t="shared" si="5"/>
        <v>0</v>
      </c>
      <c r="AA62" s="13">
        <f t="shared" si="6"/>
        <v>0</v>
      </c>
      <c r="AB62" s="13">
        <f t="shared" si="7"/>
        <v>0</v>
      </c>
      <c r="AC62" s="23">
        <f t="shared" si="24"/>
        <v>0</v>
      </c>
      <c r="AD62" s="23">
        <f t="shared" si="26"/>
        <v>0</v>
      </c>
      <c r="AE62" s="23">
        <f t="shared" si="17"/>
        <v>0</v>
      </c>
      <c r="AF62" s="23">
        <f t="shared" si="18"/>
        <v>0</v>
      </c>
      <c r="AG62" s="23">
        <f t="shared" si="19"/>
        <v>0</v>
      </c>
      <c r="AH62" s="13" t="e">
        <f t="shared" si="27"/>
        <v>#DIV/0!</v>
      </c>
      <c r="AI62" s="13" t="e">
        <f t="shared" si="28"/>
        <v>#DIV/0!</v>
      </c>
      <c r="AJ62" s="10" t="e">
        <f t="shared" si="29"/>
        <v>#DIV/0!</v>
      </c>
      <c r="AK62" s="6" t="e">
        <f t="shared" si="30"/>
        <v>#DIV/0!</v>
      </c>
      <c r="AL62" s="6" t="e">
        <f t="shared" si="31"/>
        <v>#DIV/0!</v>
      </c>
      <c r="AM62" s="6" t="e">
        <f t="shared" si="32"/>
        <v>#DIV/0!</v>
      </c>
      <c r="AN62" s="6" t="e">
        <f t="shared" si="33"/>
        <v>#DIV/0!</v>
      </c>
      <c r="AO62" s="57" t="e">
        <f t="shared" si="34"/>
        <v>#DIV/0!</v>
      </c>
      <c r="AP62" s="57" t="e">
        <f t="shared" si="20"/>
        <v>#DIV/0!</v>
      </c>
      <c r="AQ62" s="57" t="e">
        <f t="shared" si="21"/>
        <v>#DIV/0!</v>
      </c>
      <c r="AR62" s="57" t="e">
        <f t="shared" si="22"/>
        <v>#DIV/0!</v>
      </c>
      <c r="AS62" s="57" t="e">
        <f t="shared" si="23"/>
        <v>#DIV/0!</v>
      </c>
    </row>
    <row r="63" spans="1:45" ht="33" hidden="1" customHeight="1">
      <c r="A63" s="22">
        <v>0</v>
      </c>
      <c r="B63" s="22">
        <f>'INTERNAL TEST-1  '!B63</f>
        <v>0</v>
      </c>
      <c r="C63" s="202">
        <f>'INTERNAL TEST-1  '!C63</f>
        <v>0</v>
      </c>
      <c r="D63" s="12"/>
      <c r="E63" s="12"/>
      <c r="F63" s="12"/>
      <c r="G63" s="12"/>
      <c r="H63" s="12"/>
      <c r="I63" s="12"/>
      <c r="J63" s="12"/>
      <c r="K63" s="12"/>
      <c r="L63" s="12"/>
      <c r="M63" s="12"/>
      <c r="N63" s="12"/>
      <c r="O63" s="12"/>
      <c r="P63" s="12"/>
      <c r="Q63" s="12"/>
      <c r="R63" s="12"/>
      <c r="S63" s="12"/>
      <c r="T63" s="12"/>
      <c r="U63" s="13">
        <f t="shared" si="25"/>
        <v>0</v>
      </c>
      <c r="V63" s="13">
        <f t="shared" si="1"/>
        <v>0</v>
      </c>
      <c r="W63" s="13">
        <f t="shared" si="2"/>
        <v>0</v>
      </c>
      <c r="X63" s="13">
        <f t="shared" si="3"/>
        <v>0</v>
      </c>
      <c r="Y63" s="13">
        <f t="shared" si="4"/>
        <v>0</v>
      </c>
      <c r="Z63" s="13">
        <f t="shared" si="5"/>
        <v>0</v>
      </c>
      <c r="AA63" s="13">
        <f t="shared" si="6"/>
        <v>0</v>
      </c>
      <c r="AB63" s="13">
        <f t="shared" si="7"/>
        <v>0</v>
      </c>
      <c r="AC63" s="23">
        <f t="shared" si="24"/>
        <v>0</v>
      </c>
      <c r="AD63" s="23">
        <f t="shared" si="26"/>
        <v>0</v>
      </c>
      <c r="AE63" s="23">
        <f t="shared" si="17"/>
        <v>0</v>
      </c>
      <c r="AF63" s="23">
        <f t="shared" si="18"/>
        <v>0</v>
      </c>
      <c r="AG63" s="23">
        <f t="shared" si="19"/>
        <v>0</v>
      </c>
      <c r="AH63" s="13" t="e">
        <f t="shared" si="27"/>
        <v>#DIV/0!</v>
      </c>
      <c r="AI63" s="13" t="e">
        <f t="shared" si="28"/>
        <v>#DIV/0!</v>
      </c>
      <c r="AJ63" s="10" t="e">
        <f t="shared" si="29"/>
        <v>#DIV/0!</v>
      </c>
      <c r="AK63" s="6" t="e">
        <f t="shared" si="30"/>
        <v>#DIV/0!</v>
      </c>
      <c r="AL63" s="6" t="e">
        <f t="shared" si="31"/>
        <v>#DIV/0!</v>
      </c>
      <c r="AM63" s="6" t="e">
        <f t="shared" si="32"/>
        <v>#DIV/0!</v>
      </c>
      <c r="AN63" s="6" t="e">
        <f t="shared" si="33"/>
        <v>#DIV/0!</v>
      </c>
      <c r="AO63" s="57" t="e">
        <f t="shared" si="34"/>
        <v>#DIV/0!</v>
      </c>
      <c r="AP63" s="57" t="e">
        <f t="shared" si="20"/>
        <v>#DIV/0!</v>
      </c>
      <c r="AQ63" s="57" t="e">
        <f t="shared" si="21"/>
        <v>#DIV/0!</v>
      </c>
      <c r="AR63" s="57" t="e">
        <f t="shared" si="22"/>
        <v>#DIV/0!</v>
      </c>
      <c r="AS63" s="57" t="e">
        <f t="shared" si="23"/>
        <v>#DIV/0!</v>
      </c>
    </row>
    <row r="64" spans="1:45" ht="33" hidden="1" customHeight="1">
      <c r="A64" s="22">
        <v>0</v>
      </c>
      <c r="B64" s="22">
        <f>'INTERNAL TEST-1  '!B64</f>
        <v>0</v>
      </c>
      <c r="C64" s="202">
        <f>'INTERNAL TEST-1  '!C64</f>
        <v>0</v>
      </c>
      <c r="D64" s="12"/>
      <c r="E64" s="12"/>
      <c r="F64" s="12"/>
      <c r="G64" s="12"/>
      <c r="H64" s="12"/>
      <c r="I64" s="12"/>
      <c r="J64" s="12"/>
      <c r="K64" s="12"/>
      <c r="L64" s="12"/>
      <c r="M64" s="12"/>
      <c r="N64" s="12"/>
      <c r="O64" s="12"/>
      <c r="P64" s="12"/>
      <c r="Q64" s="12"/>
      <c r="R64" s="12"/>
      <c r="S64" s="12"/>
      <c r="T64" s="12"/>
      <c r="U64" s="13">
        <f t="shared" si="25"/>
        <v>0</v>
      </c>
      <c r="V64" s="13">
        <f t="shared" si="1"/>
        <v>0</v>
      </c>
      <c r="W64" s="13">
        <f t="shared" si="2"/>
        <v>0</v>
      </c>
      <c r="X64" s="13">
        <f t="shared" si="3"/>
        <v>0</v>
      </c>
      <c r="Y64" s="13">
        <f t="shared" si="4"/>
        <v>0</v>
      </c>
      <c r="Z64" s="13">
        <f t="shared" si="5"/>
        <v>0</v>
      </c>
      <c r="AA64" s="13">
        <f t="shared" si="6"/>
        <v>0</v>
      </c>
      <c r="AB64" s="13">
        <f t="shared" si="7"/>
        <v>0</v>
      </c>
      <c r="AC64" s="23">
        <f t="shared" si="24"/>
        <v>0</v>
      </c>
      <c r="AD64" s="23">
        <f t="shared" si="26"/>
        <v>0</v>
      </c>
      <c r="AE64" s="23">
        <f t="shared" si="17"/>
        <v>0</v>
      </c>
      <c r="AF64" s="23">
        <f t="shared" si="18"/>
        <v>0</v>
      </c>
      <c r="AG64" s="23">
        <f t="shared" si="19"/>
        <v>0</v>
      </c>
      <c r="AH64" s="13" t="e">
        <f t="shared" si="27"/>
        <v>#DIV/0!</v>
      </c>
      <c r="AI64" s="13" t="e">
        <f t="shared" si="28"/>
        <v>#DIV/0!</v>
      </c>
      <c r="AJ64" s="10" t="e">
        <f t="shared" si="29"/>
        <v>#DIV/0!</v>
      </c>
      <c r="AK64" s="6" t="e">
        <f t="shared" si="30"/>
        <v>#DIV/0!</v>
      </c>
      <c r="AL64" s="6" t="e">
        <f t="shared" si="31"/>
        <v>#DIV/0!</v>
      </c>
      <c r="AM64" s="6" t="e">
        <f t="shared" si="32"/>
        <v>#DIV/0!</v>
      </c>
      <c r="AN64" s="6" t="e">
        <f t="shared" si="33"/>
        <v>#DIV/0!</v>
      </c>
      <c r="AO64" s="57" t="e">
        <f t="shared" si="34"/>
        <v>#DIV/0!</v>
      </c>
      <c r="AP64" s="57" t="e">
        <f t="shared" si="20"/>
        <v>#DIV/0!</v>
      </c>
      <c r="AQ64" s="57" t="e">
        <f t="shared" si="21"/>
        <v>#DIV/0!</v>
      </c>
      <c r="AR64" s="57" t="e">
        <f t="shared" si="22"/>
        <v>#DIV/0!</v>
      </c>
      <c r="AS64" s="57" t="e">
        <f t="shared" si="23"/>
        <v>#DIV/0!</v>
      </c>
    </row>
    <row r="65" spans="1:45" ht="33" hidden="1" customHeight="1">
      <c r="A65" s="22">
        <v>0</v>
      </c>
      <c r="B65" s="22">
        <f>'INTERNAL TEST-1  '!B65</f>
        <v>0</v>
      </c>
      <c r="C65" s="202">
        <f>'INTERNAL TEST-1  '!C65</f>
        <v>0</v>
      </c>
      <c r="D65" s="12"/>
      <c r="E65" s="12"/>
      <c r="F65" s="12"/>
      <c r="G65" s="12"/>
      <c r="H65" s="12"/>
      <c r="I65" s="12"/>
      <c r="J65" s="12"/>
      <c r="K65" s="12"/>
      <c r="L65" s="12"/>
      <c r="M65" s="12"/>
      <c r="N65" s="12"/>
      <c r="O65" s="12"/>
      <c r="P65" s="12"/>
      <c r="Q65" s="12"/>
      <c r="R65" s="12"/>
      <c r="S65" s="12"/>
      <c r="T65" s="12"/>
      <c r="U65" s="13">
        <f t="shared" si="25"/>
        <v>0</v>
      </c>
      <c r="V65" s="13">
        <f t="shared" si="1"/>
        <v>0</v>
      </c>
      <c r="W65" s="13">
        <f t="shared" si="2"/>
        <v>0</v>
      </c>
      <c r="X65" s="13">
        <f t="shared" si="3"/>
        <v>0</v>
      </c>
      <c r="Y65" s="13">
        <f t="shared" si="4"/>
        <v>0</v>
      </c>
      <c r="Z65" s="13">
        <f t="shared" si="5"/>
        <v>0</v>
      </c>
      <c r="AA65" s="13">
        <f t="shared" si="6"/>
        <v>0</v>
      </c>
      <c r="AB65" s="13">
        <f t="shared" si="7"/>
        <v>0</v>
      </c>
      <c r="AC65" s="23">
        <f t="shared" si="24"/>
        <v>0</v>
      </c>
      <c r="AD65" s="23">
        <f t="shared" si="26"/>
        <v>0</v>
      </c>
      <c r="AE65" s="23">
        <f t="shared" si="17"/>
        <v>0</v>
      </c>
      <c r="AF65" s="23">
        <f t="shared" si="18"/>
        <v>0</v>
      </c>
      <c r="AG65" s="23">
        <f t="shared" si="19"/>
        <v>0</v>
      </c>
      <c r="AH65" s="13" t="e">
        <f t="shared" si="27"/>
        <v>#DIV/0!</v>
      </c>
      <c r="AI65" s="13" t="e">
        <f t="shared" si="28"/>
        <v>#DIV/0!</v>
      </c>
      <c r="AJ65" s="10" t="e">
        <f t="shared" si="29"/>
        <v>#DIV/0!</v>
      </c>
      <c r="AK65" s="6" t="e">
        <f t="shared" si="30"/>
        <v>#DIV/0!</v>
      </c>
      <c r="AL65" s="6" t="e">
        <f t="shared" si="31"/>
        <v>#DIV/0!</v>
      </c>
      <c r="AM65" s="6" t="e">
        <f t="shared" si="32"/>
        <v>#DIV/0!</v>
      </c>
      <c r="AN65" s="6" t="e">
        <f t="shared" si="33"/>
        <v>#DIV/0!</v>
      </c>
      <c r="AO65" s="57" t="e">
        <f t="shared" si="34"/>
        <v>#DIV/0!</v>
      </c>
      <c r="AP65" s="57" t="e">
        <f t="shared" si="20"/>
        <v>#DIV/0!</v>
      </c>
      <c r="AQ65" s="57" t="e">
        <f t="shared" si="21"/>
        <v>#DIV/0!</v>
      </c>
      <c r="AR65" s="57" t="e">
        <f t="shared" si="22"/>
        <v>#DIV/0!</v>
      </c>
      <c r="AS65" s="57" t="e">
        <f t="shared" si="23"/>
        <v>#DIV/0!</v>
      </c>
    </row>
    <row r="66" spans="1:45" ht="33" hidden="1" customHeight="1">
      <c r="A66" s="22">
        <v>0</v>
      </c>
      <c r="B66" s="22">
        <f>'INTERNAL TEST-1  '!B66</f>
        <v>0</v>
      </c>
      <c r="C66" s="202">
        <f>'INTERNAL TEST-1  '!C66</f>
        <v>0</v>
      </c>
      <c r="D66" s="12"/>
      <c r="E66" s="12"/>
      <c r="F66" s="12"/>
      <c r="G66" s="12"/>
      <c r="H66" s="12"/>
      <c r="I66" s="12"/>
      <c r="J66" s="12"/>
      <c r="K66" s="12"/>
      <c r="L66" s="12"/>
      <c r="M66" s="12"/>
      <c r="N66" s="12"/>
      <c r="O66" s="12"/>
      <c r="P66" s="12"/>
      <c r="Q66" s="12"/>
      <c r="R66" s="12"/>
      <c r="S66" s="12"/>
      <c r="T66" s="12"/>
      <c r="U66" s="13">
        <f t="shared" si="25"/>
        <v>0</v>
      </c>
      <c r="V66" s="13">
        <f t="shared" si="1"/>
        <v>0</v>
      </c>
      <c r="W66" s="13">
        <f t="shared" si="2"/>
        <v>0</v>
      </c>
      <c r="X66" s="13">
        <f t="shared" si="3"/>
        <v>0</v>
      </c>
      <c r="Y66" s="13">
        <f t="shared" si="4"/>
        <v>0</v>
      </c>
      <c r="Z66" s="13">
        <f t="shared" si="5"/>
        <v>0</v>
      </c>
      <c r="AA66" s="13">
        <f t="shared" si="6"/>
        <v>0</v>
      </c>
      <c r="AB66" s="13">
        <f t="shared" si="7"/>
        <v>0</v>
      </c>
      <c r="AC66" s="23">
        <f t="shared" si="24"/>
        <v>0</v>
      </c>
      <c r="AD66" s="23">
        <f t="shared" si="26"/>
        <v>0</v>
      </c>
      <c r="AE66" s="23">
        <f t="shared" si="17"/>
        <v>0</v>
      </c>
      <c r="AF66" s="23">
        <f t="shared" si="18"/>
        <v>0</v>
      </c>
      <c r="AG66" s="23">
        <f t="shared" si="19"/>
        <v>0</v>
      </c>
      <c r="AH66" s="13" t="e">
        <f t="shared" si="27"/>
        <v>#DIV/0!</v>
      </c>
      <c r="AI66" s="13" t="e">
        <f t="shared" si="28"/>
        <v>#DIV/0!</v>
      </c>
      <c r="AJ66" s="10" t="e">
        <f t="shared" si="29"/>
        <v>#DIV/0!</v>
      </c>
      <c r="AK66" s="6" t="e">
        <f t="shared" si="30"/>
        <v>#DIV/0!</v>
      </c>
      <c r="AL66" s="6" t="e">
        <f t="shared" si="31"/>
        <v>#DIV/0!</v>
      </c>
      <c r="AM66" s="6" t="e">
        <f t="shared" si="32"/>
        <v>#DIV/0!</v>
      </c>
      <c r="AN66" s="6" t="e">
        <f t="shared" si="33"/>
        <v>#DIV/0!</v>
      </c>
      <c r="AO66" s="57" t="e">
        <f t="shared" si="34"/>
        <v>#DIV/0!</v>
      </c>
      <c r="AP66" s="57" t="e">
        <f t="shared" si="20"/>
        <v>#DIV/0!</v>
      </c>
      <c r="AQ66" s="57" t="e">
        <f t="shared" si="21"/>
        <v>#DIV/0!</v>
      </c>
      <c r="AR66" s="57" t="e">
        <f t="shared" si="22"/>
        <v>#DIV/0!</v>
      </c>
      <c r="AS66" s="57" t="e">
        <f t="shared" si="23"/>
        <v>#DIV/0!</v>
      </c>
    </row>
    <row r="67" spans="1:45" ht="33" hidden="1" customHeight="1">
      <c r="A67" s="22">
        <v>0</v>
      </c>
      <c r="B67" s="22">
        <f>'INTERNAL TEST-1  '!B67</f>
        <v>0</v>
      </c>
      <c r="C67" s="202">
        <f>'INTERNAL TEST-1  '!C67</f>
        <v>0</v>
      </c>
      <c r="D67" s="12"/>
      <c r="E67" s="12"/>
      <c r="F67" s="12"/>
      <c r="G67" s="12"/>
      <c r="H67" s="12"/>
      <c r="I67" s="12"/>
      <c r="J67" s="12"/>
      <c r="K67" s="12"/>
      <c r="L67" s="12"/>
      <c r="M67" s="12"/>
      <c r="N67" s="12"/>
      <c r="O67" s="12"/>
      <c r="P67" s="12"/>
      <c r="Q67" s="12"/>
      <c r="R67" s="12"/>
      <c r="S67" s="12"/>
      <c r="T67" s="12"/>
      <c r="U67" s="13">
        <f t="shared" si="25"/>
        <v>0</v>
      </c>
      <c r="V67" s="13">
        <f t="shared" si="1"/>
        <v>0</v>
      </c>
      <c r="W67" s="13">
        <f t="shared" si="2"/>
        <v>0</v>
      </c>
      <c r="X67" s="13">
        <f t="shared" si="3"/>
        <v>0</v>
      </c>
      <c r="Y67" s="13">
        <f t="shared" si="4"/>
        <v>0</v>
      </c>
      <c r="Z67" s="13">
        <f t="shared" si="5"/>
        <v>0</v>
      </c>
      <c r="AA67" s="13">
        <f t="shared" si="6"/>
        <v>0</v>
      </c>
      <c r="AB67" s="13">
        <f t="shared" si="7"/>
        <v>0</v>
      </c>
      <c r="AC67" s="23">
        <f t="shared" si="24"/>
        <v>0</v>
      </c>
      <c r="AD67" s="23">
        <f t="shared" si="26"/>
        <v>0</v>
      </c>
      <c r="AE67" s="23">
        <f t="shared" si="17"/>
        <v>0</v>
      </c>
      <c r="AF67" s="23">
        <f t="shared" si="18"/>
        <v>0</v>
      </c>
      <c r="AG67" s="23">
        <f t="shared" si="19"/>
        <v>0</v>
      </c>
      <c r="AH67" s="13" t="e">
        <f t="shared" si="27"/>
        <v>#DIV/0!</v>
      </c>
      <c r="AI67" s="13" t="e">
        <f t="shared" si="28"/>
        <v>#DIV/0!</v>
      </c>
      <c r="AJ67" s="10" t="e">
        <f t="shared" si="29"/>
        <v>#DIV/0!</v>
      </c>
      <c r="AK67" s="6" t="e">
        <f t="shared" si="30"/>
        <v>#DIV/0!</v>
      </c>
      <c r="AL67" s="6" t="e">
        <f t="shared" si="31"/>
        <v>#DIV/0!</v>
      </c>
      <c r="AM67" s="6" t="e">
        <f t="shared" si="32"/>
        <v>#DIV/0!</v>
      </c>
      <c r="AN67" s="6" t="e">
        <f t="shared" si="33"/>
        <v>#DIV/0!</v>
      </c>
      <c r="AO67" s="57" t="e">
        <f t="shared" si="34"/>
        <v>#DIV/0!</v>
      </c>
      <c r="AP67" s="57" t="e">
        <f t="shared" si="20"/>
        <v>#DIV/0!</v>
      </c>
      <c r="AQ67" s="57" t="e">
        <f t="shared" si="21"/>
        <v>#DIV/0!</v>
      </c>
      <c r="AR67" s="57" t="e">
        <f t="shared" si="22"/>
        <v>#DIV/0!</v>
      </c>
      <c r="AS67" s="57" t="e">
        <f t="shared" si="23"/>
        <v>#DIV/0!</v>
      </c>
    </row>
    <row r="68" spans="1:45" ht="33" hidden="1" customHeight="1">
      <c r="A68" s="22">
        <v>0</v>
      </c>
      <c r="B68" s="22">
        <f>'INTERNAL TEST-1  '!B68</f>
        <v>0</v>
      </c>
      <c r="C68" s="202">
        <f>'INTERNAL TEST-1  '!C68</f>
        <v>0</v>
      </c>
      <c r="D68" s="12"/>
      <c r="E68" s="12"/>
      <c r="F68" s="12"/>
      <c r="G68" s="12"/>
      <c r="H68" s="12"/>
      <c r="I68" s="12"/>
      <c r="J68" s="12"/>
      <c r="K68" s="12"/>
      <c r="L68" s="12"/>
      <c r="M68" s="12"/>
      <c r="N68" s="12"/>
      <c r="O68" s="12"/>
      <c r="P68" s="12"/>
      <c r="Q68" s="12"/>
      <c r="R68" s="12"/>
      <c r="S68" s="12"/>
      <c r="T68" s="12"/>
      <c r="U68" s="13">
        <f t="shared" si="25"/>
        <v>0</v>
      </c>
      <c r="V68" s="13">
        <f t="shared" si="1"/>
        <v>0</v>
      </c>
      <c r="W68" s="13">
        <f t="shared" si="2"/>
        <v>0</v>
      </c>
      <c r="X68" s="13">
        <f t="shared" si="3"/>
        <v>0</v>
      </c>
      <c r="Y68" s="13">
        <f t="shared" si="4"/>
        <v>0</v>
      </c>
      <c r="Z68" s="13">
        <f t="shared" si="5"/>
        <v>0</v>
      </c>
      <c r="AA68" s="13">
        <f t="shared" si="6"/>
        <v>0</v>
      </c>
      <c r="AB68" s="13">
        <f t="shared" si="7"/>
        <v>0</v>
      </c>
      <c r="AC68" s="23">
        <f t="shared" si="24"/>
        <v>0</v>
      </c>
      <c r="AD68" s="23">
        <f t="shared" si="26"/>
        <v>0</v>
      </c>
      <c r="AE68" s="23">
        <f t="shared" si="17"/>
        <v>0</v>
      </c>
      <c r="AF68" s="23">
        <f t="shared" si="18"/>
        <v>0</v>
      </c>
      <c r="AG68" s="23">
        <f t="shared" si="19"/>
        <v>0</v>
      </c>
      <c r="AH68" s="13" t="e">
        <f t="shared" si="27"/>
        <v>#DIV/0!</v>
      </c>
      <c r="AI68" s="13" t="e">
        <f t="shared" si="28"/>
        <v>#DIV/0!</v>
      </c>
      <c r="AJ68" s="10" t="e">
        <f t="shared" si="29"/>
        <v>#DIV/0!</v>
      </c>
      <c r="AK68" s="6" t="e">
        <f t="shared" si="30"/>
        <v>#DIV/0!</v>
      </c>
      <c r="AL68" s="6" t="e">
        <f t="shared" si="31"/>
        <v>#DIV/0!</v>
      </c>
      <c r="AM68" s="6" t="e">
        <f t="shared" si="32"/>
        <v>#DIV/0!</v>
      </c>
      <c r="AN68" s="6" t="e">
        <f t="shared" si="33"/>
        <v>#DIV/0!</v>
      </c>
      <c r="AO68" s="57" t="e">
        <f t="shared" si="34"/>
        <v>#DIV/0!</v>
      </c>
      <c r="AP68" s="57" t="e">
        <f t="shared" si="20"/>
        <v>#DIV/0!</v>
      </c>
      <c r="AQ68" s="57" t="e">
        <f t="shared" si="21"/>
        <v>#DIV/0!</v>
      </c>
      <c r="AR68" s="57" t="e">
        <f t="shared" si="22"/>
        <v>#DIV/0!</v>
      </c>
      <c r="AS68" s="57" t="e">
        <f t="shared" si="23"/>
        <v>#DIV/0!</v>
      </c>
    </row>
    <row r="69" spans="1:45" ht="33" hidden="1" customHeight="1">
      <c r="A69" s="22">
        <v>0</v>
      </c>
      <c r="B69" s="22">
        <f>'INTERNAL TEST-1  '!B69</f>
        <v>0</v>
      </c>
      <c r="C69" s="202">
        <f>'INTERNAL TEST-1  '!C69</f>
        <v>0</v>
      </c>
      <c r="D69" s="12"/>
      <c r="E69" s="12"/>
      <c r="F69" s="12"/>
      <c r="G69" s="12"/>
      <c r="H69" s="12"/>
      <c r="I69" s="12"/>
      <c r="J69" s="12"/>
      <c r="K69" s="12"/>
      <c r="L69" s="12"/>
      <c r="M69" s="12"/>
      <c r="N69" s="12"/>
      <c r="O69" s="57"/>
      <c r="P69" s="57"/>
      <c r="Q69" s="12"/>
      <c r="R69" s="12"/>
      <c r="S69" s="12"/>
      <c r="T69" s="12"/>
      <c r="U69" s="13">
        <f t="shared" ref="U69:U138" si="35">SUM(D69:T69)</f>
        <v>0</v>
      </c>
      <c r="V69" s="13">
        <f t="shared" si="1"/>
        <v>0</v>
      </c>
      <c r="W69" s="13">
        <f t="shared" si="2"/>
        <v>0</v>
      </c>
      <c r="X69" s="13">
        <f t="shared" si="3"/>
        <v>0</v>
      </c>
      <c r="Y69" s="13">
        <f t="shared" si="4"/>
        <v>0</v>
      </c>
      <c r="Z69" s="13">
        <f t="shared" si="5"/>
        <v>0</v>
      </c>
      <c r="AA69" s="13">
        <f t="shared" si="6"/>
        <v>0</v>
      </c>
      <c r="AB69" s="13">
        <f t="shared" si="7"/>
        <v>0</v>
      </c>
      <c r="AC69" s="23">
        <f t="shared" si="24"/>
        <v>0</v>
      </c>
      <c r="AD69" s="23">
        <f t="shared" si="26"/>
        <v>0</v>
      </c>
      <c r="AE69" s="23">
        <f t="shared" si="17"/>
        <v>0</v>
      </c>
      <c r="AF69" s="23">
        <f t="shared" si="18"/>
        <v>0</v>
      </c>
      <c r="AG69" s="23">
        <f t="shared" si="19"/>
        <v>0</v>
      </c>
      <c r="AH69" s="13" t="e">
        <f t="shared" si="27"/>
        <v>#DIV/0!</v>
      </c>
      <c r="AI69" s="13" t="e">
        <f t="shared" si="28"/>
        <v>#DIV/0!</v>
      </c>
      <c r="AJ69" s="10" t="e">
        <f t="shared" si="29"/>
        <v>#DIV/0!</v>
      </c>
      <c r="AK69" s="6" t="e">
        <f t="shared" si="30"/>
        <v>#DIV/0!</v>
      </c>
      <c r="AL69" s="6" t="e">
        <f t="shared" si="31"/>
        <v>#DIV/0!</v>
      </c>
      <c r="AM69" s="6" t="e">
        <f t="shared" si="32"/>
        <v>#DIV/0!</v>
      </c>
      <c r="AN69" s="6" t="e">
        <f t="shared" si="33"/>
        <v>#DIV/0!</v>
      </c>
      <c r="AO69" s="57" t="e">
        <f t="shared" si="34"/>
        <v>#DIV/0!</v>
      </c>
      <c r="AP69" s="57" t="e">
        <f t="shared" si="20"/>
        <v>#DIV/0!</v>
      </c>
      <c r="AQ69" s="57" t="e">
        <f t="shared" si="21"/>
        <v>#DIV/0!</v>
      </c>
      <c r="AR69" s="57" t="e">
        <f t="shared" si="22"/>
        <v>#DIV/0!</v>
      </c>
      <c r="AS69" s="57" t="e">
        <f t="shared" si="23"/>
        <v>#DIV/0!</v>
      </c>
    </row>
    <row r="70" spans="1:45" ht="33" hidden="1" customHeight="1">
      <c r="A70" s="22">
        <v>0</v>
      </c>
      <c r="B70" s="22">
        <f>'INTERNAL TEST-1  '!B70</f>
        <v>0</v>
      </c>
      <c r="C70" s="202">
        <f>'INTERNAL TEST-1  '!C70</f>
        <v>0</v>
      </c>
      <c r="D70" s="12"/>
      <c r="E70" s="12"/>
      <c r="F70" s="12"/>
      <c r="G70" s="12"/>
      <c r="H70" s="12"/>
      <c r="I70" s="12"/>
      <c r="J70" s="12"/>
      <c r="K70" s="12"/>
      <c r="L70" s="12"/>
      <c r="M70" s="12"/>
      <c r="N70" s="12"/>
      <c r="O70" s="57"/>
      <c r="P70" s="57"/>
      <c r="Q70" s="12"/>
      <c r="R70" s="12"/>
      <c r="S70" s="12"/>
      <c r="T70" s="12"/>
      <c r="U70" s="13">
        <f t="shared" si="35"/>
        <v>0</v>
      </c>
      <c r="V70" s="13">
        <f t="shared" si="1"/>
        <v>0</v>
      </c>
      <c r="W70" s="13">
        <f t="shared" si="2"/>
        <v>0</v>
      </c>
      <c r="X70" s="13">
        <f t="shared" si="3"/>
        <v>0</v>
      </c>
      <c r="Y70" s="13">
        <f t="shared" si="4"/>
        <v>0</v>
      </c>
      <c r="Z70" s="13">
        <f t="shared" si="5"/>
        <v>0</v>
      </c>
      <c r="AA70" s="13">
        <f t="shared" si="6"/>
        <v>0</v>
      </c>
      <c r="AB70" s="13">
        <f t="shared" si="7"/>
        <v>0</v>
      </c>
      <c r="AC70" s="23">
        <f t="shared" si="24"/>
        <v>0</v>
      </c>
      <c r="AD70" s="23">
        <f t="shared" si="26"/>
        <v>0</v>
      </c>
      <c r="AE70" s="23">
        <f t="shared" si="17"/>
        <v>0</v>
      </c>
      <c r="AF70" s="23">
        <f t="shared" si="18"/>
        <v>0</v>
      </c>
      <c r="AG70" s="23">
        <f t="shared" si="19"/>
        <v>0</v>
      </c>
      <c r="AH70" s="13" t="e">
        <f t="shared" si="27"/>
        <v>#DIV/0!</v>
      </c>
      <c r="AI70" s="13" t="e">
        <f t="shared" si="28"/>
        <v>#DIV/0!</v>
      </c>
      <c r="AJ70" s="10" t="e">
        <f t="shared" si="29"/>
        <v>#DIV/0!</v>
      </c>
      <c r="AK70" s="6" t="e">
        <f t="shared" si="30"/>
        <v>#DIV/0!</v>
      </c>
      <c r="AL70" s="6" t="e">
        <f t="shared" si="31"/>
        <v>#DIV/0!</v>
      </c>
      <c r="AM70" s="6" t="e">
        <f t="shared" si="32"/>
        <v>#DIV/0!</v>
      </c>
      <c r="AN70" s="6" t="e">
        <f t="shared" si="33"/>
        <v>#DIV/0!</v>
      </c>
      <c r="AO70" s="57" t="e">
        <f t="shared" si="34"/>
        <v>#DIV/0!</v>
      </c>
      <c r="AP70" s="57" t="e">
        <f t="shared" si="20"/>
        <v>#DIV/0!</v>
      </c>
      <c r="AQ70" s="57" t="e">
        <f t="shared" si="21"/>
        <v>#DIV/0!</v>
      </c>
      <c r="AR70" s="57" t="e">
        <f t="shared" si="22"/>
        <v>#DIV/0!</v>
      </c>
      <c r="AS70" s="57" t="e">
        <f t="shared" si="23"/>
        <v>#DIV/0!</v>
      </c>
    </row>
    <row r="71" spans="1:45" ht="33" hidden="1" customHeight="1">
      <c r="A71" s="22">
        <v>0</v>
      </c>
      <c r="B71" s="22">
        <f>'INTERNAL TEST-1  '!B71</f>
        <v>0</v>
      </c>
      <c r="C71" s="202">
        <f>'INTERNAL TEST-1  '!C71</f>
        <v>0</v>
      </c>
      <c r="D71" s="12"/>
      <c r="E71" s="12"/>
      <c r="F71" s="12"/>
      <c r="G71" s="12"/>
      <c r="H71" s="12"/>
      <c r="I71" s="12"/>
      <c r="J71" s="12"/>
      <c r="K71" s="12"/>
      <c r="L71" s="12"/>
      <c r="M71" s="12"/>
      <c r="N71" s="12"/>
      <c r="O71" s="57"/>
      <c r="P71" s="57"/>
      <c r="Q71" s="12"/>
      <c r="R71" s="12"/>
      <c r="S71" s="12"/>
      <c r="T71" s="12"/>
      <c r="U71" s="13">
        <f t="shared" si="35"/>
        <v>0</v>
      </c>
      <c r="V71" s="13">
        <f t="shared" si="1"/>
        <v>0</v>
      </c>
      <c r="W71" s="13">
        <f t="shared" si="2"/>
        <v>0</v>
      </c>
      <c r="X71" s="13">
        <f t="shared" si="3"/>
        <v>0</v>
      </c>
      <c r="Y71" s="13">
        <f t="shared" si="4"/>
        <v>0</v>
      </c>
      <c r="Z71" s="13">
        <f t="shared" si="5"/>
        <v>0</v>
      </c>
      <c r="AA71" s="13">
        <f t="shared" si="6"/>
        <v>0</v>
      </c>
      <c r="AB71" s="13">
        <f t="shared" si="7"/>
        <v>0</v>
      </c>
      <c r="AC71" s="23">
        <f t="shared" si="24"/>
        <v>0</v>
      </c>
      <c r="AD71" s="23">
        <f t="shared" si="26"/>
        <v>0</v>
      </c>
      <c r="AE71" s="23">
        <f t="shared" si="17"/>
        <v>0</v>
      </c>
      <c r="AF71" s="23">
        <f t="shared" si="18"/>
        <v>0</v>
      </c>
      <c r="AG71" s="23">
        <f t="shared" si="19"/>
        <v>0</v>
      </c>
      <c r="AH71" s="13" t="e">
        <f t="shared" si="27"/>
        <v>#DIV/0!</v>
      </c>
      <c r="AI71" s="13" t="e">
        <f t="shared" si="28"/>
        <v>#DIV/0!</v>
      </c>
      <c r="AJ71" s="10" t="e">
        <f t="shared" si="29"/>
        <v>#DIV/0!</v>
      </c>
      <c r="AK71" s="6" t="e">
        <f t="shared" si="30"/>
        <v>#DIV/0!</v>
      </c>
      <c r="AL71" s="6" t="e">
        <f t="shared" si="31"/>
        <v>#DIV/0!</v>
      </c>
      <c r="AM71" s="6" t="e">
        <f t="shared" si="32"/>
        <v>#DIV/0!</v>
      </c>
      <c r="AN71" s="6" t="e">
        <f t="shared" si="33"/>
        <v>#DIV/0!</v>
      </c>
      <c r="AO71" s="57" t="e">
        <f t="shared" si="34"/>
        <v>#DIV/0!</v>
      </c>
      <c r="AP71" s="57" t="e">
        <f t="shared" si="20"/>
        <v>#DIV/0!</v>
      </c>
      <c r="AQ71" s="57" t="e">
        <f t="shared" si="21"/>
        <v>#DIV/0!</v>
      </c>
      <c r="AR71" s="57" t="e">
        <f t="shared" si="22"/>
        <v>#DIV/0!</v>
      </c>
      <c r="AS71" s="57" t="e">
        <f t="shared" si="23"/>
        <v>#DIV/0!</v>
      </c>
    </row>
    <row r="72" spans="1:45" ht="33" hidden="1" customHeight="1">
      <c r="A72" s="22">
        <v>0</v>
      </c>
      <c r="B72" s="22">
        <f>'INTERNAL TEST-1  '!B72</f>
        <v>0</v>
      </c>
      <c r="C72" s="202">
        <f>'INTERNAL TEST-1  '!C72</f>
        <v>0</v>
      </c>
      <c r="D72" s="12"/>
      <c r="E72" s="12"/>
      <c r="F72" s="12"/>
      <c r="G72" s="12"/>
      <c r="H72" s="12"/>
      <c r="I72" s="12"/>
      <c r="J72" s="12"/>
      <c r="K72" s="12"/>
      <c r="L72" s="12"/>
      <c r="M72" s="12"/>
      <c r="N72" s="12"/>
      <c r="O72" s="57"/>
      <c r="P72" s="57"/>
      <c r="Q72" s="12"/>
      <c r="R72" s="12"/>
      <c r="S72" s="12"/>
      <c r="T72" s="12"/>
      <c r="U72" s="13">
        <f t="shared" si="35"/>
        <v>0</v>
      </c>
      <c r="V72" s="13">
        <f t="shared" si="1"/>
        <v>0</v>
      </c>
      <c r="W72" s="13">
        <f t="shared" si="2"/>
        <v>0</v>
      </c>
      <c r="X72" s="13">
        <f t="shared" si="3"/>
        <v>0</v>
      </c>
      <c r="Y72" s="13">
        <f t="shared" si="4"/>
        <v>0</v>
      </c>
      <c r="Z72" s="13">
        <f t="shared" si="5"/>
        <v>0</v>
      </c>
      <c r="AA72" s="13">
        <f t="shared" si="6"/>
        <v>0</v>
      </c>
      <c r="AB72" s="13">
        <f t="shared" si="7"/>
        <v>0</v>
      </c>
      <c r="AC72" s="23">
        <f t="shared" si="24"/>
        <v>0</v>
      </c>
      <c r="AD72" s="23">
        <f t="shared" si="26"/>
        <v>0</v>
      </c>
      <c r="AE72" s="23">
        <f t="shared" si="17"/>
        <v>0</v>
      </c>
      <c r="AF72" s="23">
        <f t="shared" si="18"/>
        <v>0</v>
      </c>
      <c r="AG72" s="23">
        <f t="shared" si="19"/>
        <v>0</v>
      </c>
      <c r="AH72" s="13" t="e">
        <f t="shared" si="27"/>
        <v>#DIV/0!</v>
      </c>
      <c r="AI72" s="13" t="e">
        <f t="shared" si="28"/>
        <v>#DIV/0!</v>
      </c>
      <c r="AJ72" s="10" t="e">
        <f t="shared" si="29"/>
        <v>#DIV/0!</v>
      </c>
      <c r="AK72" s="6" t="e">
        <f t="shared" si="30"/>
        <v>#DIV/0!</v>
      </c>
      <c r="AL72" s="6" t="e">
        <f t="shared" si="31"/>
        <v>#DIV/0!</v>
      </c>
      <c r="AM72" s="6" t="e">
        <f t="shared" si="32"/>
        <v>#DIV/0!</v>
      </c>
      <c r="AN72" s="6" t="e">
        <f t="shared" si="33"/>
        <v>#DIV/0!</v>
      </c>
      <c r="AO72" s="57" t="e">
        <f t="shared" si="34"/>
        <v>#DIV/0!</v>
      </c>
      <c r="AP72" s="57" t="e">
        <f t="shared" si="20"/>
        <v>#DIV/0!</v>
      </c>
      <c r="AQ72" s="57" t="e">
        <f t="shared" si="21"/>
        <v>#DIV/0!</v>
      </c>
      <c r="AR72" s="57" t="e">
        <f t="shared" si="22"/>
        <v>#DIV/0!</v>
      </c>
      <c r="AS72" s="57" t="e">
        <f t="shared" si="23"/>
        <v>#DIV/0!</v>
      </c>
    </row>
    <row r="73" spans="1:45" ht="33" hidden="1" customHeight="1">
      <c r="A73" s="22">
        <v>0</v>
      </c>
      <c r="B73" s="22">
        <f>'INTERNAL TEST-1  '!B73</f>
        <v>0</v>
      </c>
      <c r="C73" s="202">
        <f>'INTERNAL TEST-1  '!C73</f>
        <v>0</v>
      </c>
      <c r="D73" s="12"/>
      <c r="E73" s="12"/>
      <c r="F73" s="12"/>
      <c r="G73" s="12"/>
      <c r="H73" s="12"/>
      <c r="I73" s="12"/>
      <c r="J73" s="12"/>
      <c r="K73" s="12"/>
      <c r="L73" s="12"/>
      <c r="M73" s="12"/>
      <c r="N73" s="12"/>
      <c r="O73" s="57"/>
      <c r="P73" s="57"/>
      <c r="Q73" s="12"/>
      <c r="R73" s="12"/>
      <c r="S73" s="12"/>
      <c r="T73" s="12"/>
      <c r="U73" s="13">
        <f t="shared" si="35"/>
        <v>0</v>
      </c>
      <c r="V73" s="13">
        <f t="shared" si="1"/>
        <v>0</v>
      </c>
      <c r="W73" s="13">
        <f t="shared" si="2"/>
        <v>0</v>
      </c>
      <c r="X73" s="13">
        <f t="shared" si="3"/>
        <v>0</v>
      </c>
      <c r="Y73" s="13">
        <f t="shared" si="4"/>
        <v>0</v>
      </c>
      <c r="Z73" s="13">
        <f t="shared" si="5"/>
        <v>0</v>
      </c>
      <c r="AA73" s="13">
        <f t="shared" si="6"/>
        <v>0</v>
      </c>
      <c r="AB73" s="13">
        <f t="shared" si="7"/>
        <v>0</v>
      </c>
      <c r="AC73" s="23">
        <f t="shared" si="24"/>
        <v>0</v>
      </c>
      <c r="AD73" s="23">
        <f t="shared" si="26"/>
        <v>0</v>
      </c>
      <c r="AE73" s="23">
        <f t="shared" si="17"/>
        <v>0</v>
      </c>
      <c r="AF73" s="23">
        <f t="shared" si="18"/>
        <v>0</v>
      </c>
      <c r="AG73" s="23">
        <f t="shared" si="19"/>
        <v>0</v>
      </c>
      <c r="AH73" s="13" t="e">
        <f t="shared" si="27"/>
        <v>#DIV/0!</v>
      </c>
      <c r="AI73" s="13" t="e">
        <f t="shared" si="28"/>
        <v>#DIV/0!</v>
      </c>
      <c r="AJ73" s="10" t="e">
        <f t="shared" si="29"/>
        <v>#DIV/0!</v>
      </c>
      <c r="AK73" s="6" t="e">
        <f t="shared" si="30"/>
        <v>#DIV/0!</v>
      </c>
      <c r="AL73" s="6" t="e">
        <f t="shared" si="31"/>
        <v>#DIV/0!</v>
      </c>
      <c r="AM73" s="6" t="e">
        <f t="shared" si="32"/>
        <v>#DIV/0!</v>
      </c>
      <c r="AN73" s="6" t="e">
        <f t="shared" si="33"/>
        <v>#DIV/0!</v>
      </c>
      <c r="AO73" s="57" t="e">
        <f t="shared" si="34"/>
        <v>#DIV/0!</v>
      </c>
      <c r="AP73" s="57" t="e">
        <f t="shared" si="20"/>
        <v>#DIV/0!</v>
      </c>
      <c r="AQ73" s="57" t="e">
        <f t="shared" si="21"/>
        <v>#DIV/0!</v>
      </c>
      <c r="AR73" s="57" t="e">
        <f t="shared" si="22"/>
        <v>#DIV/0!</v>
      </c>
      <c r="AS73" s="57" t="e">
        <f t="shared" si="23"/>
        <v>#DIV/0!</v>
      </c>
    </row>
    <row r="74" spans="1:45" ht="33" hidden="1" customHeight="1">
      <c r="A74" s="22">
        <v>0</v>
      </c>
      <c r="B74" s="22">
        <f>'INTERNAL TEST-1  '!B74</f>
        <v>0</v>
      </c>
      <c r="C74" s="202">
        <f>'INTERNAL TEST-1  '!C74</f>
        <v>0</v>
      </c>
      <c r="D74" s="12"/>
      <c r="E74" s="12"/>
      <c r="F74" s="12"/>
      <c r="G74" s="12"/>
      <c r="H74" s="12"/>
      <c r="I74" s="12"/>
      <c r="J74" s="12"/>
      <c r="K74" s="12"/>
      <c r="L74" s="12"/>
      <c r="M74" s="12"/>
      <c r="N74" s="12"/>
      <c r="O74" s="57"/>
      <c r="P74" s="57"/>
      <c r="Q74" s="12"/>
      <c r="R74" s="12"/>
      <c r="S74" s="12"/>
      <c r="T74" s="12"/>
      <c r="U74" s="13">
        <f t="shared" si="35"/>
        <v>0</v>
      </c>
      <c r="V74" s="13">
        <f t="shared" si="1"/>
        <v>0</v>
      </c>
      <c r="W74" s="13">
        <f t="shared" si="2"/>
        <v>0</v>
      </c>
      <c r="X74" s="13">
        <f t="shared" si="3"/>
        <v>0</v>
      </c>
      <c r="Y74" s="13">
        <f t="shared" si="4"/>
        <v>0</v>
      </c>
      <c r="Z74" s="13">
        <f t="shared" si="5"/>
        <v>0</v>
      </c>
      <c r="AA74" s="13">
        <f t="shared" si="6"/>
        <v>0</v>
      </c>
      <c r="AB74" s="13">
        <f t="shared" si="7"/>
        <v>0</v>
      </c>
      <c r="AC74" s="23">
        <f t="shared" si="24"/>
        <v>0</v>
      </c>
      <c r="AD74" s="23">
        <f t="shared" si="26"/>
        <v>0</v>
      </c>
      <c r="AE74" s="23">
        <f t="shared" si="17"/>
        <v>0</v>
      </c>
      <c r="AF74" s="23">
        <f t="shared" si="18"/>
        <v>0</v>
      </c>
      <c r="AG74" s="23">
        <f t="shared" si="19"/>
        <v>0</v>
      </c>
      <c r="AH74" s="13" t="e">
        <f t="shared" si="27"/>
        <v>#DIV/0!</v>
      </c>
      <c r="AI74" s="13" t="e">
        <f t="shared" si="28"/>
        <v>#DIV/0!</v>
      </c>
      <c r="AJ74" s="10" t="e">
        <f t="shared" si="29"/>
        <v>#DIV/0!</v>
      </c>
      <c r="AK74" s="6" t="e">
        <f t="shared" si="30"/>
        <v>#DIV/0!</v>
      </c>
      <c r="AL74" s="6" t="e">
        <f t="shared" si="31"/>
        <v>#DIV/0!</v>
      </c>
      <c r="AM74" s="6" t="e">
        <f t="shared" si="32"/>
        <v>#DIV/0!</v>
      </c>
      <c r="AN74" s="6" t="e">
        <f t="shared" si="33"/>
        <v>#DIV/0!</v>
      </c>
      <c r="AO74" s="57" t="e">
        <f t="shared" si="34"/>
        <v>#DIV/0!</v>
      </c>
      <c r="AP74" s="57" t="e">
        <f t="shared" si="20"/>
        <v>#DIV/0!</v>
      </c>
      <c r="AQ74" s="57" t="e">
        <f t="shared" si="21"/>
        <v>#DIV/0!</v>
      </c>
      <c r="AR74" s="57" t="e">
        <f t="shared" si="22"/>
        <v>#DIV/0!</v>
      </c>
      <c r="AS74" s="57" t="e">
        <f t="shared" si="23"/>
        <v>#DIV/0!</v>
      </c>
    </row>
    <row r="75" spans="1:45" ht="33" hidden="1" customHeight="1">
      <c r="A75" s="22">
        <v>0</v>
      </c>
      <c r="B75" s="22">
        <f>'INTERNAL TEST-1  '!B75</f>
        <v>0</v>
      </c>
      <c r="C75" s="202">
        <f>'INTERNAL TEST-1  '!C75</f>
        <v>0</v>
      </c>
      <c r="D75" s="12"/>
      <c r="E75" s="12"/>
      <c r="F75" s="12"/>
      <c r="G75" s="12"/>
      <c r="H75" s="12"/>
      <c r="I75" s="12"/>
      <c r="J75" s="12"/>
      <c r="K75" s="12"/>
      <c r="L75" s="12"/>
      <c r="M75" s="12"/>
      <c r="N75" s="12"/>
      <c r="O75" s="57"/>
      <c r="P75" s="57"/>
      <c r="Q75" s="12"/>
      <c r="R75" s="12"/>
      <c r="S75" s="12"/>
      <c r="T75" s="12"/>
      <c r="U75" s="13">
        <f t="shared" si="35"/>
        <v>0</v>
      </c>
      <c r="V75" s="13">
        <f t="shared" si="1"/>
        <v>0</v>
      </c>
      <c r="W75" s="13">
        <f t="shared" si="2"/>
        <v>0</v>
      </c>
      <c r="X75" s="13">
        <f t="shared" si="3"/>
        <v>0</v>
      </c>
      <c r="Y75" s="13">
        <f t="shared" si="4"/>
        <v>0</v>
      </c>
      <c r="Z75" s="13">
        <f t="shared" si="5"/>
        <v>0</v>
      </c>
      <c r="AA75" s="13">
        <f t="shared" si="6"/>
        <v>0</v>
      </c>
      <c r="AB75" s="13">
        <f t="shared" si="7"/>
        <v>0</v>
      </c>
      <c r="AC75" s="23">
        <f t="shared" si="24"/>
        <v>0</v>
      </c>
      <c r="AD75" s="23">
        <f t="shared" si="26"/>
        <v>0</v>
      </c>
      <c r="AE75" s="23">
        <f t="shared" si="17"/>
        <v>0</v>
      </c>
      <c r="AF75" s="23">
        <f t="shared" si="18"/>
        <v>0</v>
      </c>
      <c r="AG75" s="23">
        <f t="shared" si="19"/>
        <v>0</v>
      </c>
      <c r="AH75" s="13" t="e">
        <f t="shared" si="27"/>
        <v>#DIV/0!</v>
      </c>
      <c r="AI75" s="13" t="e">
        <f t="shared" si="28"/>
        <v>#DIV/0!</v>
      </c>
      <c r="AJ75" s="10" t="e">
        <f t="shared" si="29"/>
        <v>#DIV/0!</v>
      </c>
      <c r="AK75" s="6" t="e">
        <f t="shared" si="30"/>
        <v>#DIV/0!</v>
      </c>
      <c r="AL75" s="6" t="e">
        <f t="shared" si="31"/>
        <v>#DIV/0!</v>
      </c>
      <c r="AM75" s="6" t="e">
        <f t="shared" si="32"/>
        <v>#DIV/0!</v>
      </c>
      <c r="AN75" s="6" t="e">
        <f t="shared" si="33"/>
        <v>#DIV/0!</v>
      </c>
      <c r="AO75" s="57" t="e">
        <f t="shared" si="34"/>
        <v>#DIV/0!</v>
      </c>
      <c r="AP75" s="57" t="e">
        <f t="shared" si="20"/>
        <v>#DIV/0!</v>
      </c>
      <c r="AQ75" s="57" t="e">
        <f t="shared" si="21"/>
        <v>#DIV/0!</v>
      </c>
      <c r="AR75" s="57" t="e">
        <f t="shared" si="22"/>
        <v>#DIV/0!</v>
      </c>
      <c r="AS75" s="57" t="e">
        <f t="shared" si="23"/>
        <v>#DIV/0!</v>
      </c>
    </row>
    <row r="76" spans="1:45" ht="33" hidden="1" customHeight="1">
      <c r="A76" s="22">
        <v>0</v>
      </c>
      <c r="B76" s="22">
        <f>'INTERNAL TEST-1  '!B76</f>
        <v>0</v>
      </c>
      <c r="C76" s="202">
        <f>'INTERNAL TEST-1  '!C76</f>
        <v>0</v>
      </c>
      <c r="D76" s="12"/>
      <c r="E76" s="12"/>
      <c r="F76" s="12"/>
      <c r="G76" s="12"/>
      <c r="H76" s="12"/>
      <c r="I76" s="12"/>
      <c r="J76" s="12"/>
      <c r="K76" s="12"/>
      <c r="L76" s="12"/>
      <c r="M76" s="12"/>
      <c r="N76" s="12"/>
      <c r="O76" s="57"/>
      <c r="P76" s="57"/>
      <c r="Q76" s="12"/>
      <c r="R76" s="12"/>
      <c r="S76" s="12"/>
      <c r="T76" s="12"/>
      <c r="U76" s="13">
        <f t="shared" si="35"/>
        <v>0</v>
      </c>
      <c r="V76" s="13">
        <f t="shared" si="1"/>
        <v>0</v>
      </c>
      <c r="W76" s="13">
        <f t="shared" si="2"/>
        <v>0</v>
      </c>
      <c r="X76" s="13">
        <f t="shared" si="3"/>
        <v>0</v>
      </c>
      <c r="Y76" s="13">
        <f t="shared" si="4"/>
        <v>0</v>
      </c>
      <c r="Z76" s="13">
        <f t="shared" si="5"/>
        <v>0</v>
      </c>
      <c r="AA76" s="13">
        <f t="shared" si="6"/>
        <v>0</v>
      </c>
      <c r="AB76" s="13">
        <f t="shared" si="7"/>
        <v>0</v>
      </c>
      <c r="AC76" s="23">
        <f t="shared" si="24"/>
        <v>0</v>
      </c>
      <c r="AD76" s="23">
        <f t="shared" si="26"/>
        <v>0</v>
      </c>
      <c r="AE76" s="23">
        <f t="shared" si="17"/>
        <v>0</v>
      </c>
      <c r="AF76" s="23">
        <f t="shared" si="18"/>
        <v>0</v>
      </c>
      <c r="AG76" s="23">
        <f t="shared" si="19"/>
        <v>0</v>
      </c>
      <c r="AH76" s="13" t="e">
        <f t="shared" si="27"/>
        <v>#DIV/0!</v>
      </c>
      <c r="AI76" s="13" t="e">
        <f t="shared" si="28"/>
        <v>#DIV/0!</v>
      </c>
      <c r="AJ76" s="10" t="e">
        <f t="shared" si="29"/>
        <v>#DIV/0!</v>
      </c>
      <c r="AK76" s="6" t="e">
        <f t="shared" si="30"/>
        <v>#DIV/0!</v>
      </c>
      <c r="AL76" s="6" t="e">
        <f t="shared" si="31"/>
        <v>#DIV/0!</v>
      </c>
      <c r="AM76" s="6" t="e">
        <f t="shared" si="32"/>
        <v>#DIV/0!</v>
      </c>
      <c r="AN76" s="6" t="e">
        <f t="shared" si="33"/>
        <v>#DIV/0!</v>
      </c>
      <c r="AO76" s="57" t="e">
        <f t="shared" si="34"/>
        <v>#DIV/0!</v>
      </c>
      <c r="AP76" s="57" t="e">
        <f t="shared" si="20"/>
        <v>#DIV/0!</v>
      </c>
      <c r="AQ76" s="57" t="e">
        <f t="shared" si="21"/>
        <v>#DIV/0!</v>
      </c>
      <c r="AR76" s="57" t="e">
        <f t="shared" si="22"/>
        <v>#DIV/0!</v>
      </c>
      <c r="AS76" s="57" t="e">
        <f t="shared" si="23"/>
        <v>#DIV/0!</v>
      </c>
    </row>
    <row r="77" spans="1:45" ht="33" hidden="1" customHeight="1">
      <c r="A77" s="22">
        <v>0</v>
      </c>
      <c r="B77" s="22">
        <f>'INTERNAL TEST-1  '!B77</f>
        <v>0</v>
      </c>
      <c r="C77" s="202">
        <f>'INTERNAL TEST-1  '!C77</f>
        <v>0</v>
      </c>
      <c r="D77" s="12"/>
      <c r="E77" s="12"/>
      <c r="F77" s="12"/>
      <c r="G77" s="12"/>
      <c r="H77" s="12"/>
      <c r="I77" s="12"/>
      <c r="J77" s="12"/>
      <c r="K77" s="12"/>
      <c r="L77" s="12"/>
      <c r="M77" s="12"/>
      <c r="N77" s="12"/>
      <c r="O77" s="57"/>
      <c r="P77" s="57"/>
      <c r="Q77" s="12"/>
      <c r="R77" s="12"/>
      <c r="S77" s="12"/>
      <c r="T77" s="12"/>
      <c r="U77" s="13">
        <f t="shared" si="35"/>
        <v>0</v>
      </c>
      <c r="V77" s="13">
        <f t="shared" si="1"/>
        <v>0</v>
      </c>
      <c r="W77" s="13">
        <f t="shared" si="2"/>
        <v>0</v>
      </c>
      <c r="X77" s="13">
        <f t="shared" si="3"/>
        <v>0</v>
      </c>
      <c r="Y77" s="13">
        <f t="shared" si="4"/>
        <v>0</v>
      </c>
      <c r="Z77" s="13">
        <f t="shared" si="5"/>
        <v>0</v>
      </c>
      <c r="AA77" s="13">
        <f t="shared" si="6"/>
        <v>0</v>
      </c>
      <c r="AB77" s="13">
        <f t="shared" si="7"/>
        <v>0</v>
      </c>
      <c r="AC77" s="23">
        <f t="shared" si="24"/>
        <v>0</v>
      </c>
      <c r="AD77" s="23">
        <f t="shared" si="26"/>
        <v>0</v>
      </c>
      <c r="AE77" s="23">
        <f t="shared" si="17"/>
        <v>0</v>
      </c>
      <c r="AF77" s="23">
        <f t="shared" si="18"/>
        <v>0</v>
      </c>
      <c r="AG77" s="23">
        <f t="shared" si="19"/>
        <v>0</v>
      </c>
      <c r="AH77" s="13" t="e">
        <f t="shared" si="27"/>
        <v>#DIV/0!</v>
      </c>
      <c r="AI77" s="13" t="e">
        <f t="shared" si="28"/>
        <v>#DIV/0!</v>
      </c>
      <c r="AJ77" s="10" t="e">
        <f t="shared" si="29"/>
        <v>#DIV/0!</v>
      </c>
      <c r="AK77" s="6" t="e">
        <f t="shared" si="30"/>
        <v>#DIV/0!</v>
      </c>
      <c r="AL77" s="6" t="e">
        <f t="shared" si="31"/>
        <v>#DIV/0!</v>
      </c>
      <c r="AM77" s="6" t="e">
        <f t="shared" si="32"/>
        <v>#DIV/0!</v>
      </c>
      <c r="AN77" s="6" t="e">
        <f t="shared" si="33"/>
        <v>#DIV/0!</v>
      </c>
      <c r="AO77" s="57" t="e">
        <f t="shared" si="34"/>
        <v>#DIV/0!</v>
      </c>
      <c r="AP77" s="57" t="e">
        <f t="shared" si="20"/>
        <v>#DIV/0!</v>
      </c>
      <c r="AQ77" s="57" t="e">
        <f t="shared" si="21"/>
        <v>#DIV/0!</v>
      </c>
      <c r="AR77" s="57" t="e">
        <f t="shared" si="22"/>
        <v>#DIV/0!</v>
      </c>
      <c r="AS77" s="57" t="e">
        <f t="shared" si="23"/>
        <v>#DIV/0!</v>
      </c>
    </row>
    <row r="78" spans="1:45" ht="33" hidden="1" customHeight="1">
      <c r="A78" s="22">
        <v>0</v>
      </c>
      <c r="B78" s="22">
        <f>'INTERNAL TEST-1  '!B78</f>
        <v>0</v>
      </c>
      <c r="C78" s="202">
        <f>'INTERNAL TEST-1  '!C78</f>
        <v>0</v>
      </c>
      <c r="D78" s="12"/>
      <c r="E78" s="12"/>
      <c r="F78" s="12"/>
      <c r="G78" s="12"/>
      <c r="H78" s="12"/>
      <c r="I78" s="12"/>
      <c r="J78" s="12"/>
      <c r="K78" s="12"/>
      <c r="L78" s="12"/>
      <c r="M78" s="12"/>
      <c r="N78" s="12"/>
      <c r="O78" s="57"/>
      <c r="P78" s="57"/>
      <c r="Q78" s="12"/>
      <c r="R78" s="12"/>
      <c r="S78" s="12"/>
      <c r="T78" s="12"/>
      <c r="U78" s="13">
        <f t="shared" si="35"/>
        <v>0</v>
      </c>
      <c r="V78" s="13">
        <f t="shared" ref="V78:V139" si="36">IF($D$12="CO1",D78,0)+IF($E$12="CO1",E78,0)+IF($F$12="CO1",F78,0)+IF($G$12="CO1",G78,0)+IF($H$12="CO1",H78,0)+IF($I$12="CO1",I78,0)+IF($J$12="CO1",J78,0)+IF($K$12="CO1",K78,0)+IF($L$12="CO1",L78,0)+IF($M$12="CO1",M78,0)+IF($N$12="CO1",N78,0)+IF($O$12="CO1",O78,0)+IF($P$12="CO1",P78,0)+IF($Q$12="CO1",Q78,0)+IF($R$12="CO1",R78,0)+IF($S$12="CO1",S78,0)+IF($T$12="CO1",T78,0)</f>
        <v>0</v>
      </c>
      <c r="W78" s="13">
        <f t="shared" ref="W78:W139" si="37">IF($D$12="CO2",D78,0)+IF($E$12="CO2",E78,0)+IF($F$12="CO2",F78,0)+IF($G$12="CO2",G78,0)+IF($H$12="CO2",H78,0)+IF($I$12="CO2",I78,0)+IF($J$12="CO2",J78,0)+IF($K$12="CO2",K78,0)+IF($L$12="CO2",L78,0)+IF($M$12="CO2",M78,0)+IF($N$12="CO2",N78,0)+IF($O$12="CO2",O78,0)+IF($P$12="CO2",P78,0)+IF($Q$12="CO2",Q78,0)+IF($R$12="CO2",R78,0)+IF($S$12="CO2",S78,0)+IF($T$12="CO2",T78,0)</f>
        <v>0</v>
      </c>
      <c r="X78" s="13">
        <f t="shared" ref="X78:X139" si="38">IF($D$12="CO3",D78,0)+IF($E$12="CO3",E78,0)+IF($F$12="CO3",F78,0)+IF($G$12="CO3",G78,0)+IF($H$12="CO3",H78,0)+IF($I$12="CO3",I78,0)+IF($J$12="CO3",J78,0)+IF($K$12="CO3",K78,0)+IF($L$12="CO3",L78,0)+IF($M$12="CO3",M78,0)+IF($N$12="CO3",N78,0)+IF($O$12="CO3",O78,0)+IF($P$12="CO3",P78,0)+IF($Q$12="CO3",Q78,0)+IF($R$12="CO3",R78,0)+IF($S$12="CO3",S78,0)+IF($T$12="CO3",T78,0)</f>
        <v>0</v>
      </c>
      <c r="Y78" s="13">
        <f t="shared" ref="Y78:Y139" si="39">IF($D$12="CO4",D78,0)+IF($E$12="CO4",E78,0)+IF($F$12="CO4",F78,0)+IF($G$12="CO4",G78,0)+IF($H$12="CO4",H78,0)+IF($I$12="CO4",I78,0)+IF($J$12="CO4",J78,0)+IF($K$12="CO4",K78,0)+IF($L$12="CO4",L78,0)+IF($M$12="CO4",M78,0)+IF($N$12="CO4",N78,0)+IF($O$12="CO4",O78,0)+IF($P$12="CO4",P78,0)+IF($Q$12="CO4",Q78,0)+IF($R$12="CO4",R78,0)+IF($S$12="CO4",S78,0)+IF($T$12="CO4",T78,0)</f>
        <v>0</v>
      </c>
      <c r="Z78" s="13">
        <f t="shared" ref="Z78:Z139" si="40">IF($D$12="CO5",D78,0)+IF($E$12="CO5",E78,0)+IF($F$12="CO5",F78,0)+IF($G$12="CO5",G78,0)+IF($H$12="CO5",H78,0)+IF($I$12="CO5",I78,0)+IF($J$12="CO5",J78,0)+IF($K$12="CO5",K78,0)+IF($L$12="CO5",L78,0)+IF($M$12="CO5",M78,0)+IF($N$12="CO5",N78,0)+IF($O$12="CO5",O78,0)+IF($P$12="CO5",P78,0)+IF($Q$12="CO5",Q78,0)+IF($R$12="CO5",R78,0)+IF($S$12="CO5",S78,0)+IF($T$12="CO5",T78,0)</f>
        <v>0</v>
      </c>
      <c r="AA78" s="13">
        <f t="shared" ref="AA78:AA139" si="41">IF($D$12="CO6",D78,0)+IF($E$12="CO6",E78,0)+IF($F$12="CO6",F78,0)+IF($G$12="CO6",G78,0)+IF($H$12="CO6",H78,0)+IF($I$12="CO6",I78,0)+IF($J$12="CO6",J78,0)+IF($K$12="CO6",K78,0)+IF($L$12="CO6",L78,0)+IF($M$12="CO6",M78,0)+IF($N$12="CO6",N78,0)+IF($O$12="CO6",O78,0)+IF($P$12="CO6",P78,0)+IF($Q$12="CO6",Q78,0)+IF($R$12="CO6",R78,0)+IF($S$12="CO6",S78,0)+IF($T$12="CO6",T78,0)</f>
        <v>0</v>
      </c>
      <c r="AB78" s="13">
        <f t="shared" ref="AB78:AB139" si="42">IF($D$12="CO7",D78,0)+IF($E$12="CO7",E78,0)+IF($F$12="CO7",F78,0)+IF($G$12="CO7",G78,0)+IF($H$12="CO7",H78,0)+IF($I$12="CO7",I78,0)+IF($J$12="CO7",J78,0)+IF($K$12="CO7",K78,0)+IF($L$12="CO7",L78,0)+IF($M$12="CO7",M78,0)+IF($N$12="CO7",N78,0)+IF($O$12="CO7",O78,0)+IF($P$12="CO7",P78,0)+IF($Q$12="CO7",Q78,0)+IF($R$12="CO7",R78,0)+IF($S$12="CO7",S78,0)+IF($T$12="CO7",T78,0)</f>
        <v>0</v>
      </c>
      <c r="AC78" s="23">
        <f t="shared" si="24"/>
        <v>0</v>
      </c>
      <c r="AD78" s="23">
        <f t="shared" ref="AD78:AD109" si="43">IF($D$12="CO9",D78,0)+IF($E$12="CO9",E78,0)+IF($F$12="CO9",F78,0)+IF($G$12="CO9",G78,0)+IF($H$12="CO9",H78,0)+IF($I$12="CO9",I78,0)+IF($J$12="CO9",J78,0)+IF($K$12="CO9",K78,0)+IF($L$12="CO9",L78,0)+IF($M$12="CO9",M78,0)+IF($N$12="CO9",N78,0)+IF($O$12="CO9",O78,0)+IF($P$12="CO9",P78,0)+IF($Q$12="CO9",Q78,0)+IF($R$12="CO9",R78,0)+IF($S$12="CO9",S78,0)+IF($T$12="CO9",T78,0)</f>
        <v>0</v>
      </c>
      <c r="AE78" s="23">
        <f t="shared" si="17"/>
        <v>0</v>
      </c>
      <c r="AF78" s="23">
        <f t="shared" si="18"/>
        <v>0</v>
      </c>
      <c r="AG78" s="23">
        <f t="shared" si="19"/>
        <v>0</v>
      </c>
      <c r="AH78" s="13" t="e">
        <f t="shared" ref="AH78:AH109" si="44">ROUND(V78/(IF($D$12="CO1",$D$13,0)+IF($E$12="CO1",$E$13,0)+IF($F$12="CO1",$F$13,0)+IF($G$12="CO1",$G$13,0)+IF($H$12="CO1",$H$13,0)+IF($I$12="CO1",$I$13,0)+IF($J$12="CO1",$J$13,0)+IF($K$12="CO1",$K$13,0)+IF($L$12="CO1",$L$13,0)+IF($M$12="CO1",$M$13,0)+IF($N$12="CO1",$N$13,0)+IF($O$12="CO1",$O$13,0)+IF($P$12="CO1",$P$13,0)+IF($Q$12="CO1",$Q$13,0)+IF($R$12="CO1",$R$13,0)+IF($S$12="CO1",$S$13,0)+IF($T$12="CO1",$T$13,0))*100,2)</f>
        <v>#DIV/0!</v>
      </c>
      <c r="AI78" s="13" t="e">
        <f t="shared" ref="AI78:AI109" si="45">ROUND(W78/(IF($D$12="CO2",$D$13,0)+IF($E$12="CO2",$E$13,0)+IF($F$12="CO2",$F$13,0)+IF($G$12="CO2",$G$13,0)+IF($H$12="CO2",$H$13,0)+IF($I$12="CO2",$I$13,0)+IF($J$12="CO2",$J$13,0)+IF($K$12="CO2",$K$13,0)+IF($L$12="CO2",$L$13,0)+IF($M$12="CO2",$M$13,0)+IF($N$12="CO2",$N$13,0)+IF($O$12="CO2",$O$13,0)+IF($P$12="CO2",$P$13,0)+IF($Q$12="CO2",$Q$13,0)+IF($R$12="CO2",$R$13,0)+IF($S$12="CO2",$S$13,0)+IF($T$12="CO2",$T$13,0))*100,2)</f>
        <v>#DIV/0!</v>
      </c>
      <c r="AJ78" s="10" t="e">
        <f t="shared" ref="AJ78:AJ109" si="46">ROUND(X78/(IF($D$12="CO3",$D$13,0)+IF($E$12="CO3",$E$13,0)+IF($F$12="CO3",$F$13,0)+IF($G$12="CO3",$G$13,0)+IF($H$12="CO3",$H$13,0)+IF($I$12="CO3",$I$13,0)+IF($J$12="CO3",$J$13,0)+IF($K$12="CO3",$K$13,0)+IF($L$12="CO3",$L$13,0)+IF($M$12="CO3",$M$13,0)+IF($N$12="CO3",$N$13,0)+IF($O$12="CO3",$O$13,0)+IF($P$12="CO3",$P$13,0)+IF($Q$12="CO3",$Q$13,0)+IF($R$12="CO3",$R$13,0)+IF($S$12="CO3",$S$13,0)+IF($T$12="CO3",$T$13,0))*100,2)</f>
        <v>#DIV/0!</v>
      </c>
      <c r="AK78" s="6" t="e">
        <f t="shared" ref="AK78:AK109" si="47">ROUND(Y78/(IF($D$12="CO4",$D$13,0)+IF($E$12="CO4",$E$13,0)+IF($F$12="CO4",$F$13,0)+IF($G$12="CO4",$G$13,0)+IF($H$12="CO4",$H$13,0)+IF($I$12="CO4",$I$13,0)+IF($J$12="CO4",$J$13,0)+IF($K$12="CO4",$K$13,0)+IF($L$12="CO4",$L$13,0)+IF($M$12="CO4",$M$13,0)+IF($N$12="CO4",$N$13,0)+IF($O$12="CO4",$O$13,0)+IF($P$12="CO4",$P$13,0)+IF($Q$12="CO4",$Q$13,0)+IF($R$12="CO4",$R$13,0)+IF($S$12="CO4",$S$13,0)+IF($T$12="CO4",$T$13,0))*100,2)</f>
        <v>#DIV/0!</v>
      </c>
      <c r="AL78" s="6" t="e">
        <f t="shared" ref="AL78:AL109" si="48">ROUND(Z78/(IF($D$12="CO5",$D$13,0)+IF($E$12="CO5",$E$13,0)+IF($F$12="CO5",$F$13,0)+IF($G$12="CO5",$G$13,0)+IF($H$12="CO5",$H$13,0)+IF($I$12="CO5",$I$13,0)+IF($J$12="CO5",$J$13,0)+IF($K$12="CO5",$K$13,0)+IF($L$12="CO5",$L$13,0)+IF($M$12="CO5",$M$13,0)+IF($N$12="CO5",$N$13,0)+IF($O$12="CO5",$O$13,0)+IF($P$12="CO5",$P$13,0)+IF($Q$12="CO5",$Q$13,0)+IF($R$12="CO5",$R$13,0)+IF($S$12="CO5",$S$13,0)+IF($T$12="CO5",$T$13,0))*100,2)</f>
        <v>#DIV/0!</v>
      </c>
      <c r="AM78" s="6" t="e">
        <f t="shared" ref="AM78:AM109" si="49">ROUND(AA78/(IF($D$12="CO6",$D$13,0)+IF($E$12="CO6",$E$13,0)+IF($F$12="CO6",$F$13,0)+IF($G$12="CO6",$G$13,0)+IF($H$12="CO6",$H$13,0)+IF($I$12="CO6",$I$13,0)+IF($J$12="CO6",$J$13,0)+IF($K$12="CO6",$K$13,0)+IF($L$12="CO6",$L$13,0)+IF($M$12="CO6",$M$13,0)+IF($N$12="CO6",$N$13,0)+IF($O$12="CO6",$O$13,0)+IF($P$12="CO6",$P$13,0)+IF($Q$12="CO6",$Q$13,0)+IF($R$12="CO6",$R$13,0)+IF($S$12="CO6",$S$13,0)+IF($T$12="CO6",$T$13,0))*100,2)</f>
        <v>#DIV/0!</v>
      </c>
      <c r="AN78" s="6" t="e">
        <f t="shared" ref="AN78:AN109" si="50">ROUND(AB78/(IF($D$12="CO7",$D$13,0)+IF($E$12="CO7",$E$13,0)+IF($F$12="CO7",$F$13,0)+IF($G$12="CO7",$G$13,0)+IF($H$12="CO7",$H$13,0)+IF($I$12="CO7",$I$13,0)+IF($J$12="CO7",$J$13,0)+IF($K$12="CO7",$K$13,0)+IF($L$12="CO7",$L$13,0)+IF($M$12="CO7",$M$13,0)+IF($N$12="CO7",$N$13,0)+IF($O$12="CO7",$O$13,0)+IF($P$12="CO7",$P$13,0)+IF($Q$12="CO7",$Q$13,0)+IF($R$12="CO7",$R$13,0)+IF($S$12="CO7",$S$13,0)+IF($T$12="CO7",$T$13,0))*100,2)</f>
        <v>#DIV/0!</v>
      </c>
      <c r="AO78" s="57" t="e">
        <f t="shared" ref="AO78:AO109" si="51">ROUND(AC78/(IF($D$12="CO8",$D$13,0)+IF($E$12="CO8",$E$13,0)+IF($F$12="CO8",$F$13,0)+IF($G$12="CO8",$G$13,0)+IF($H$12="CO8",$H$13,0)+IF($I$12="CO8",$I$13,0)+IF($J$12="CO8",$J$13,0)+IF($K$12="CO8",$K$13,0)+IF($L$12="CO8",$L$13,0)+IF($M$12="CO8",$M$13,0)+IF($N$12="CO8",$N$13,0)+IF($O$12="CO8",$O$13,0)+IF($P$12="CO8",$P$13,0)+IF($Q$12="CO8",$Q$13,0)+IF($R$12="CO8",$R$13,0)+IF($S$12="CO8",$S$13,0)+IF($T$12="CO8",$T$13,0))*100,2)</f>
        <v>#DIV/0!</v>
      </c>
      <c r="AP78" s="57" t="e">
        <f t="shared" si="20"/>
        <v>#DIV/0!</v>
      </c>
      <c r="AQ78" s="57" t="e">
        <f t="shared" si="21"/>
        <v>#DIV/0!</v>
      </c>
      <c r="AR78" s="57" t="e">
        <f t="shared" si="22"/>
        <v>#DIV/0!</v>
      </c>
      <c r="AS78" s="57" t="e">
        <f t="shared" si="23"/>
        <v>#DIV/0!</v>
      </c>
    </row>
    <row r="79" spans="1:45" ht="33" hidden="1" customHeight="1">
      <c r="A79" s="22">
        <v>0</v>
      </c>
      <c r="B79" s="22">
        <f>'INTERNAL TEST-1  '!B79</f>
        <v>0</v>
      </c>
      <c r="C79" s="202">
        <f>'INTERNAL TEST-1  '!C79</f>
        <v>0</v>
      </c>
      <c r="D79" s="12"/>
      <c r="E79" s="12"/>
      <c r="F79" s="12"/>
      <c r="G79" s="12"/>
      <c r="H79" s="12"/>
      <c r="I79" s="12"/>
      <c r="J79" s="12"/>
      <c r="K79" s="12"/>
      <c r="L79" s="12"/>
      <c r="M79" s="12"/>
      <c r="N79" s="12"/>
      <c r="O79" s="57"/>
      <c r="P79" s="57"/>
      <c r="Q79" s="12"/>
      <c r="R79" s="12"/>
      <c r="S79" s="12"/>
      <c r="T79" s="12"/>
      <c r="U79" s="13">
        <f t="shared" si="35"/>
        <v>0</v>
      </c>
      <c r="V79" s="13">
        <f t="shared" si="36"/>
        <v>0</v>
      </c>
      <c r="W79" s="13">
        <f t="shared" si="37"/>
        <v>0</v>
      </c>
      <c r="X79" s="13">
        <f t="shared" si="38"/>
        <v>0</v>
      </c>
      <c r="Y79" s="13">
        <f t="shared" si="39"/>
        <v>0</v>
      </c>
      <c r="Z79" s="13">
        <f t="shared" si="40"/>
        <v>0</v>
      </c>
      <c r="AA79" s="13">
        <f t="shared" si="41"/>
        <v>0</v>
      </c>
      <c r="AB79" s="13">
        <f t="shared" si="42"/>
        <v>0</v>
      </c>
      <c r="AC79" s="23">
        <f t="shared" si="24"/>
        <v>0</v>
      </c>
      <c r="AD79" s="23">
        <f t="shared" si="43"/>
        <v>0</v>
      </c>
      <c r="AE79" s="23">
        <f t="shared" ref="AE79:AE139" si="52">IF($D$12="CO10",D79,0)+IF($E$12="CO10",E79,0)+IF($F$12="CO10",F79,0)+IF($G$12="CO10",G79,0)+IF($H$12="CO10",H79,0)+IF($I$12="CO10",I79,0)+IF($J$12="CO10",J79,0)+IF($K$12="CO10",K79,0)+IF($L$12="CO10",L79,0)+IF($M$12="CO10",M79,0)+IF($N$12="CO10",N79,0)+IF($O$12="CO10",O79,0)+IF($P$12="CO10",P79,0)+IF($Q$12="CO10",Q79,0)+IF($R$12="CO10",R79,0)+IF($S$12="CO10",S79,0)+IF($T$12="CO10",T79,0)</f>
        <v>0</v>
      </c>
      <c r="AF79" s="23">
        <f t="shared" ref="AF79:AF139" si="53">IF($D$12="CO11",D79,0)+IF($E$12="CO11",E79,0)+IF($F$12="CO11",F79,0)+IF($G$12="CO11",G79,0)+IF($H$12="CO11",H79,0)+IF($I$12="CO11",I79,0)+IF($J$12="CO11",J79,0)+IF($K$12="CO11",K79,0)+IF($L$12="CO11",L79,0)+IF($M$12="CO11",M79,0)+IF($N$12="CO11",N79,0)+IF($O$12="CO11",O79,0)+IF($P$12="CO11",P79,0)+IF($Q$12="CO11",Q79,0)+IF($R$12="CO11",R79,0)+IF($S$12="CO11",S79,0)+IF($T$12="CO11",T79,0)</f>
        <v>0</v>
      </c>
      <c r="AG79" s="23">
        <f t="shared" ref="AG79:AG139" si="54">IF($D$12="CO12",D79,0)+IF($E$12="CO12",E79,0)+IF($F$12="CO12",F79,0)+IF($G$12="CO12",G79,0)+IF($H$12="CO12",H79,0)+IF($I$12="CO12",I79,0)+IF($J$12="CO12",J79,0)+IF($K$12="CO12",K79,0)+IF($L$12="CO12",L79,0)+IF($M$12="CO12",M79,0)+IF($N$12="CO12",N79,0)+IF($O$12="CO12",O79,0)+IF($P$12="CO12",P79,0)+IF($Q$12="CO12",Q79,0)+IF($R$12="CO12",R79,0)+IF($S$12="CO12",S79,0)+IF($T$12="CO12",T79,0)</f>
        <v>0</v>
      </c>
      <c r="AH79" s="13" t="e">
        <f t="shared" si="44"/>
        <v>#DIV/0!</v>
      </c>
      <c r="AI79" s="13" t="e">
        <f t="shared" si="45"/>
        <v>#DIV/0!</v>
      </c>
      <c r="AJ79" s="10" t="e">
        <f t="shared" si="46"/>
        <v>#DIV/0!</v>
      </c>
      <c r="AK79" s="6" t="e">
        <f t="shared" si="47"/>
        <v>#DIV/0!</v>
      </c>
      <c r="AL79" s="6" t="e">
        <f t="shared" si="48"/>
        <v>#DIV/0!</v>
      </c>
      <c r="AM79" s="6" t="e">
        <f t="shared" si="49"/>
        <v>#DIV/0!</v>
      </c>
      <c r="AN79" s="6" t="e">
        <f t="shared" si="50"/>
        <v>#DIV/0!</v>
      </c>
      <c r="AO79" s="57" t="e">
        <f t="shared" si="51"/>
        <v>#DIV/0!</v>
      </c>
      <c r="AP79" s="57" t="e">
        <f t="shared" ref="AP79:AP139" si="55">ROUND(AD79/(IF($D$12="CO9",$D$13,0)+IF($E$12="CO9",$E$13,0)+IF($F$12="CO9",$F$13,0)+IF($G$12="CO9",$G$13,0)+IF($H$12="CO9",$H$13,0)+IF($I$12="CO9",$I$13,0)+IF($J$12="CO9",$J$13,0)+IF($K$12="CO9",$K$13,0)+IF($L$12="CO9",$L$13,0)+IF($M$12="CO9",$M$13,0)+IF($N$12="CO9",$N$13,0)+IF($O$12="CO9",$O$13,0)+IF($P$12="CO9",$P$13,0)+IF($Q$12="CO9",$Q$13,0)+IF($R$12="CO9",$R$13,0)+IF($S$12="CO9",$S$13,0)+IF($T$12="CO9",$T$13,0))*100,2)</f>
        <v>#DIV/0!</v>
      </c>
      <c r="AQ79" s="57" t="e">
        <f t="shared" ref="AQ79:AQ139" si="56">ROUND(AE79/(IF($D$12="CO10",$D$13,0)+IF($E$12="CO10",$E$13,0)+IF($F$12="CO10",$F$13,0)+IF($G$12="CO10",$G$13,0)+IF($H$12="CO10",$H$13,0)+IF($I$12="CO10",$I$13,0)+IF($J$12="CO10",$J$13,0)+IF($K$12="CO10",$K$13,0)+IF($L$12="CO10",$L$13,0)+IF($M$12="CO10",$M$13,0)+IF($N$12="CO10",$N$13,0)+IF($O$12="CO10",$O$13,0)+IF($P$12="CO10",$P$13,0)+IF($Q$12="CO10",$Q$13,0)+IF($R$12="CO10",$R$13,0)+IF($S$12="CO10",$S$13,0)+IF($T$12="CO10",$T$13,0))*100,2)</f>
        <v>#DIV/0!</v>
      </c>
      <c r="AR79" s="57" t="e">
        <f t="shared" ref="AR79:AR139" si="57">ROUND(AF79/(IF($D$12="CO11",$D$13,0)+IF($E$12="CO11",$E$13,0)+IF($F$12="CO11",$F$13,0)+IF($G$12="CO11",$G$13,0)+IF($H$12="CO11",$H$13,0)+IF($I$12="CO11",$I$13,0)+IF($J$12="CO11",$J$13,0)+IF($K$12="CO11",$K$13,0)+IF($L$12="CO11",$L$13,0)+IF($M$12="CO11",$M$13,0)+IF($N$12="CO11",$N$13,0)+IF($O$12="CO11",$O$13,0)+IF($P$12="CO11",$P$13,0)+IF($Q$12="CO11",$Q$13,0)+IF($R$12="CO11",$R$13,0)+IF($S$12="CO11",$S$13,0)+IF($T$12="CO11",$T$13,0))*100,2)</f>
        <v>#DIV/0!</v>
      </c>
      <c r="AS79" s="57" t="e">
        <f t="shared" ref="AS79:AS139" si="58">ROUND(AG79/(IF($D$12="CO12",$D$13,0)+IF($E$12="CO12",$E$13,0)+IF($F$12="CO12",$F$13,0)+IF($G$12="CO12",$G$13,0)+IF($H$12="CO12",$H$13,0)+IF($I$12="CO12",$I$13,0)+IF($J$12="CO12",$J$13,0)+IF($K$12="CO12",$K$13,0)+IF($L$12="CO12",$L$13,0)+IF($M$12="CO12",$M$13,0)+IF($N$12="CO12",$N$13,0)+IF($O$12="CO12",$O$13,0)+IF($P$12="CO12",$P$13,0)+IF($Q$12="CO12",$Q$13,0)+IF($R$12="CO12",$R$13,0)+IF($S$12="CO12",$S$13,0)+IF($T$12="CO12",$T$13,0))*100,2)</f>
        <v>#DIV/0!</v>
      </c>
    </row>
    <row r="80" spans="1:45" ht="33" hidden="1" customHeight="1">
      <c r="A80" s="22">
        <v>0</v>
      </c>
      <c r="B80" s="22">
        <f>'INTERNAL TEST-1  '!B80</f>
        <v>0</v>
      </c>
      <c r="C80" s="202">
        <f>'INTERNAL TEST-1  '!C80</f>
        <v>0</v>
      </c>
      <c r="D80" s="12"/>
      <c r="E80" s="12"/>
      <c r="F80" s="12"/>
      <c r="G80" s="12"/>
      <c r="H80" s="12"/>
      <c r="I80" s="12"/>
      <c r="J80" s="12"/>
      <c r="K80" s="12"/>
      <c r="L80" s="12"/>
      <c r="M80" s="12"/>
      <c r="N80" s="12"/>
      <c r="O80" s="57"/>
      <c r="P80" s="57"/>
      <c r="Q80" s="12"/>
      <c r="R80" s="12"/>
      <c r="S80" s="12"/>
      <c r="T80" s="12"/>
      <c r="U80" s="13">
        <f t="shared" si="35"/>
        <v>0</v>
      </c>
      <c r="V80" s="13">
        <f t="shared" si="36"/>
        <v>0</v>
      </c>
      <c r="W80" s="13">
        <f t="shared" si="37"/>
        <v>0</v>
      </c>
      <c r="X80" s="13">
        <f t="shared" si="38"/>
        <v>0</v>
      </c>
      <c r="Y80" s="13">
        <f t="shared" si="39"/>
        <v>0</v>
      </c>
      <c r="Z80" s="13">
        <f t="shared" si="40"/>
        <v>0</v>
      </c>
      <c r="AA80" s="13">
        <f t="shared" si="41"/>
        <v>0</v>
      </c>
      <c r="AB80" s="13">
        <f t="shared" si="42"/>
        <v>0</v>
      </c>
      <c r="AC80" s="23">
        <f t="shared" ref="AC80:AC139" si="59">IF($D$12="CO8",D80,0)+IF($E$12="CO8",E80,0)+IF($F$12="CO8",F80,0)+IF($G$12="CO8",G80,0)+IF($H$12="CO8",H80,0)+IF($I$12="CO8",I80,0)+IF($J$12="CO8",J80,0)+IF($K$12="CO8",K80,0)+IF($L$12="CO8",L80,0)+IF($M$12="CO8",M80,0)+IF($N$12="CO8",N80,0)+IF($O$12="CO8",O80,0)+IF($P$12="CO8",P80,0)+IF($Q$12="CO8",Q80,0)+IF($R$12="CO8",R80,0)+IF($S$12="CO8",S80,0)+IF($T$12="CO8",T80,0)</f>
        <v>0</v>
      </c>
      <c r="AD80" s="23">
        <f t="shared" si="43"/>
        <v>0</v>
      </c>
      <c r="AE80" s="23">
        <f t="shared" si="52"/>
        <v>0</v>
      </c>
      <c r="AF80" s="23">
        <f t="shared" si="53"/>
        <v>0</v>
      </c>
      <c r="AG80" s="23">
        <f t="shared" si="54"/>
        <v>0</v>
      </c>
      <c r="AH80" s="13" t="e">
        <f t="shared" si="44"/>
        <v>#DIV/0!</v>
      </c>
      <c r="AI80" s="13" t="e">
        <f t="shared" si="45"/>
        <v>#DIV/0!</v>
      </c>
      <c r="AJ80" s="10" t="e">
        <f t="shared" si="46"/>
        <v>#DIV/0!</v>
      </c>
      <c r="AK80" s="6" t="e">
        <f t="shared" si="47"/>
        <v>#DIV/0!</v>
      </c>
      <c r="AL80" s="6" t="e">
        <f t="shared" si="48"/>
        <v>#DIV/0!</v>
      </c>
      <c r="AM80" s="6" t="e">
        <f t="shared" si="49"/>
        <v>#DIV/0!</v>
      </c>
      <c r="AN80" s="6" t="e">
        <f t="shared" si="50"/>
        <v>#DIV/0!</v>
      </c>
      <c r="AO80" s="57" t="e">
        <f t="shared" si="51"/>
        <v>#DIV/0!</v>
      </c>
      <c r="AP80" s="57" t="e">
        <f t="shared" si="55"/>
        <v>#DIV/0!</v>
      </c>
      <c r="AQ80" s="57" t="e">
        <f t="shared" si="56"/>
        <v>#DIV/0!</v>
      </c>
      <c r="AR80" s="57" t="e">
        <f t="shared" si="57"/>
        <v>#DIV/0!</v>
      </c>
      <c r="AS80" s="57" t="e">
        <f t="shared" si="58"/>
        <v>#DIV/0!</v>
      </c>
    </row>
    <row r="81" spans="1:45" ht="33" hidden="1" customHeight="1">
      <c r="A81" s="22">
        <v>0</v>
      </c>
      <c r="B81" s="22">
        <f>'INTERNAL TEST-1  '!B81</f>
        <v>0</v>
      </c>
      <c r="C81" s="202">
        <f>'INTERNAL TEST-1  '!C81</f>
        <v>0</v>
      </c>
      <c r="D81" s="12"/>
      <c r="E81" s="12"/>
      <c r="F81" s="12"/>
      <c r="G81" s="12"/>
      <c r="H81" s="12"/>
      <c r="I81" s="12"/>
      <c r="J81" s="12"/>
      <c r="K81" s="12"/>
      <c r="L81" s="12"/>
      <c r="M81" s="12"/>
      <c r="N81" s="12"/>
      <c r="O81" s="57"/>
      <c r="P81" s="57"/>
      <c r="Q81" s="12"/>
      <c r="R81" s="12"/>
      <c r="S81" s="12"/>
      <c r="T81" s="12"/>
      <c r="U81" s="13">
        <f t="shared" si="35"/>
        <v>0</v>
      </c>
      <c r="V81" s="13">
        <f t="shared" si="36"/>
        <v>0</v>
      </c>
      <c r="W81" s="13">
        <f t="shared" si="37"/>
        <v>0</v>
      </c>
      <c r="X81" s="13">
        <f t="shared" si="38"/>
        <v>0</v>
      </c>
      <c r="Y81" s="13">
        <f t="shared" si="39"/>
        <v>0</v>
      </c>
      <c r="Z81" s="13">
        <f t="shared" si="40"/>
        <v>0</v>
      </c>
      <c r="AA81" s="13">
        <f t="shared" si="41"/>
        <v>0</v>
      </c>
      <c r="AB81" s="13">
        <f t="shared" si="42"/>
        <v>0</v>
      </c>
      <c r="AC81" s="23">
        <f t="shared" si="59"/>
        <v>0</v>
      </c>
      <c r="AD81" s="23">
        <f t="shared" si="43"/>
        <v>0</v>
      </c>
      <c r="AE81" s="23">
        <f t="shared" si="52"/>
        <v>0</v>
      </c>
      <c r="AF81" s="23">
        <f t="shared" si="53"/>
        <v>0</v>
      </c>
      <c r="AG81" s="23">
        <f t="shared" si="54"/>
        <v>0</v>
      </c>
      <c r="AH81" s="13" t="e">
        <f t="shared" si="44"/>
        <v>#DIV/0!</v>
      </c>
      <c r="AI81" s="13" t="e">
        <f t="shared" si="45"/>
        <v>#DIV/0!</v>
      </c>
      <c r="AJ81" s="10" t="e">
        <f t="shared" si="46"/>
        <v>#DIV/0!</v>
      </c>
      <c r="AK81" s="6" t="e">
        <f t="shared" si="47"/>
        <v>#DIV/0!</v>
      </c>
      <c r="AL81" s="6" t="e">
        <f t="shared" si="48"/>
        <v>#DIV/0!</v>
      </c>
      <c r="AM81" s="6" t="e">
        <f t="shared" si="49"/>
        <v>#DIV/0!</v>
      </c>
      <c r="AN81" s="6" t="e">
        <f t="shared" si="50"/>
        <v>#DIV/0!</v>
      </c>
      <c r="AO81" s="57" t="e">
        <f t="shared" si="51"/>
        <v>#DIV/0!</v>
      </c>
      <c r="AP81" s="57" t="e">
        <f t="shared" si="55"/>
        <v>#DIV/0!</v>
      </c>
      <c r="AQ81" s="57" t="e">
        <f t="shared" si="56"/>
        <v>#DIV/0!</v>
      </c>
      <c r="AR81" s="57" t="e">
        <f t="shared" si="57"/>
        <v>#DIV/0!</v>
      </c>
      <c r="AS81" s="57" t="e">
        <f t="shared" si="58"/>
        <v>#DIV/0!</v>
      </c>
    </row>
    <row r="82" spans="1:45" ht="33" hidden="1" customHeight="1">
      <c r="A82" s="22">
        <v>0</v>
      </c>
      <c r="B82" s="22">
        <f>'INTERNAL TEST-1  '!B82</f>
        <v>0</v>
      </c>
      <c r="C82" s="202">
        <f>'INTERNAL TEST-1  '!C82</f>
        <v>0</v>
      </c>
      <c r="D82" s="12"/>
      <c r="E82" s="12"/>
      <c r="F82" s="12"/>
      <c r="G82" s="12"/>
      <c r="H82" s="12"/>
      <c r="I82" s="12"/>
      <c r="J82" s="12"/>
      <c r="K82" s="12"/>
      <c r="L82" s="12"/>
      <c r="M82" s="12"/>
      <c r="N82" s="12"/>
      <c r="O82" s="57"/>
      <c r="P82" s="57"/>
      <c r="Q82" s="12"/>
      <c r="R82" s="12"/>
      <c r="S82" s="12"/>
      <c r="T82" s="12"/>
      <c r="U82" s="13">
        <f t="shared" si="35"/>
        <v>0</v>
      </c>
      <c r="V82" s="13">
        <f t="shared" si="36"/>
        <v>0</v>
      </c>
      <c r="W82" s="13">
        <f t="shared" si="37"/>
        <v>0</v>
      </c>
      <c r="X82" s="13">
        <f t="shared" si="38"/>
        <v>0</v>
      </c>
      <c r="Y82" s="13">
        <f t="shared" si="39"/>
        <v>0</v>
      </c>
      <c r="Z82" s="13">
        <f t="shared" si="40"/>
        <v>0</v>
      </c>
      <c r="AA82" s="13">
        <f t="shared" si="41"/>
        <v>0</v>
      </c>
      <c r="AB82" s="13">
        <f t="shared" si="42"/>
        <v>0</v>
      </c>
      <c r="AC82" s="23">
        <f t="shared" si="59"/>
        <v>0</v>
      </c>
      <c r="AD82" s="23">
        <f t="shared" si="43"/>
        <v>0</v>
      </c>
      <c r="AE82" s="23">
        <f t="shared" si="52"/>
        <v>0</v>
      </c>
      <c r="AF82" s="23">
        <f t="shared" si="53"/>
        <v>0</v>
      </c>
      <c r="AG82" s="23">
        <f t="shared" si="54"/>
        <v>0</v>
      </c>
      <c r="AH82" s="13" t="e">
        <f t="shared" si="44"/>
        <v>#DIV/0!</v>
      </c>
      <c r="AI82" s="13" t="e">
        <f t="shared" si="45"/>
        <v>#DIV/0!</v>
      </c>
      <c r="AJ82" s="10" t="e">
        <f t="shared" si="46"/>
        <v>#DIV/0!</v>
      </c>
      <c r="AK82" s="6" t="e">
        <f t="shared" si="47"/>
        <v>#DIV/0!</v>
      </c>
      <c r="AL82" s="6" t="e">
        <f t="shared" si="48"/>
        <v>#DIV/0!</v>
      </c>
      <c r="AM82" s="6" t="e">
        <f t="shared" si="49"/>
        <v>#DIV/0!</v>
      </c>
      <c r="AN82" s="6" t="e">
        <f t="shared" si="50"/>
        <v>#DIV/0!</v>
      </c>
      <c r="AO82" s="57" t="e">
        <f t="shared" si="51"/>
        <v>#DIV/0!</v>
      </c>
      <c r="AP82" s="57" t="e">
        <f t="shared" si="55"/>
        <v>#DIV/0!</v>
      </c>
      <c r="AQ82" s="57" t="e">
        <f t="shared" si="56"/>
        <v>#DIV/0!</v>
      </c>
      <c r="AR82" s="57" t="e">
        <f t="shared" si="57"/>
        <v>#DIV/0!</v>
      </c>
      <c r="AS82" s="57" t="e">
        <f t="shared" si="58"/>
        <v>#DIV/0!</v>
      </c>
    </row>
    <row r="83" spans="1:45" ht="33" hidden="1" customHeight="1">
      <c r="A83" s="22">
        <v>0</v>
      </c>
      <c r="B83" s="22">
        <f>'INTERNAL TEST-1  '!B83</f>
        <v>0</v>
      </c>
      <c r="C83" s="202">
        <f>'INTERNAL TEST-1  '!C83</f>
        <v>0</v>
      </c>
      <c r="D83" s="12"/>
      <c r="E83" s="12"/>
      <c r="F83" s="12"/>
      <c r="G83" s="12"/>
      <c r="H83" s="12"/>
      <c r="I83" s="12"/>
      <c r="J83" s="12"/>
      <c r="K83" s="12"/>
      <c r="L83" s="12"/>
      <c r="M83" s="12"/>
      <c r="N83" s="12"/>
      <c r="O83" s="57"/>
      <c r="P83" s="57"/>
      <c r="Q83" s="12"/>
      <c r="R83" s="12"/>
      <c r="S83" s="12"/>
      <c r="T83" s="12"/>
      <c r="U83" s="13">
        <f t="shared" si="35"/>
        <v>0</v>
      </c>
      <c r="V83" s="13">
        <f t="shared" si="36"/>
        <v>0</v>
      </c>
      <c r="W83" s="13">
        <f t="shared" si="37"/>
        <v>0</v>
      </c>
      <c r="X83" s="13">
        <f t="shared" si="38"/>
        <v>0</v>
      </c>
      <c r="Y83" s="13">
        <f t="shared" si="39"/>
        <v>0</v>
      </c>
      <c r="Z83" s="13">
        <f t="shared" si="40"/>
        <v>0</v>
      </c>
      <c r="AA83" s="13">
        <f t="shared" si="41"/>
        <v>0</v>
      </c>
      <c r="AB83" s="13">
        <f t="shared" si="42"/>
        <v>0</v>
      </c>
      <c r="AC83" s="23">
        <f t="shared" si="59"/>
        <v>0</v>
      </c>
      <c r="AD83" s="23">
        <f t="shared" si="43"/>
        <v>0</v>
      </c>
      <c r="AE83" s="23">
        <f t="shared" si="52"/>
        <v>0</v>
      </c>
      <c r="AF83" s="23">
        <f t="shared" si="53"/>
        <v>0</v>
      </c>
      <c r="AG83" s="23">
        <f t="shared" si="54"/>
        <v>0</v>
      </c>
      <c r="AH83" s="13" t="e">
        <f t="shared" si="44"/>
        <v>#DIV/0!</v>
      </c>
      <c r="AI83" s="13" t="e">
        <f t="shared" si="45"/>
        <v>#DIV/0!</v>
      </c>
      <c r="AJ83" s="10" t="e">
        <f t="shared" si="46"/>
        <v>#DIV/0!</v>
      </c>
      <c r="AK83" s="6" t="e">
        <f t="shared" si="47"/>
        <v>#DIV/0!</v>
      </c>
      <c r="AL83" s="6" t="e">
        <f t="shared" si="48"/>
        <v>#DIV/0!</v>
      </c>
      <c r="AM83" s="6" t="e">
        <f t="shared" si="49"/>
        <v>#DIV/0!</v>
      </c>
      <c r="AN83" s="6" t="e">
        <f t="shared" si="50"/>
        <v>#DIV/0!</v>
      </c>
      <c r="AO83" s="57" t="e">
        <f t="shared" si="51"/>
        <v>#DIV/0!</v>
      </c>
      <c r="AP83" s="57" t="e">
        <f t="shared" si="55"/>
        <v>#DIV/0!</v>
      </c>
      <c r="AQ83" s="57" t="e">
        <f t="shared" si="56"/>
        <v>#DIV/0!</v>
      </c>
      <c r="AR83" s="57" t="e">
        <f t="shared" si="57"/>
        <v>#DIV/0!</v>
      </c>
      <c r="AS83" s="57" t="e">
        <f t="shared" si="58"/>
        <v>#DIV/0!</v>
      </c>
    </row>
    <row r="84" spans="1:45" ht="33" hidden="1" customHeight="1">
      <c r="A84" s="22">
        <v>0</v>
      </c>
      <c r="B84" s="22">
        <f>'INTERNAL TEST-1  '!B84</f>
        <v>0</v>
      </c>
      <c r="C84" s="202">
        <f>'INTERNAL TEST-1  '!C84</f>
        <v>0</v>
      </c>
      <c r="D84" s="12"/>
      <c r="E84" s="12"/>
      <c r="F84" s="12"/>
      <c r="G84" s="12"/>
      <c r="H84" s="12"/>
      <c r="I84" s="12"/>
      <c r="J84" s="12"/>
      <c r="K84" s="12"/>
      <c r="L84" s="12"/>
      <c r="M84" s="12"/>
      <c r="N84" s="12"/>
      <c r="O84" s="57"/>
      <c r="P84" s="57"/>
      <c r="Q84" s="12"/>
      <c r="R84" s="12"/>
      <c r="S84" s="12"/>
      <c r="T84" s="12"/>
      <c r="U84" s="13">
        <f t="shared" si="35"/>
        <v>0</v>
      </c>
      <c r="V84" s="13">
        <f t="shared" si="36"/>
        <v>0</v>
      </c>
      <c r="W84" s="13">
        <f t="shared" si="37"/>
        <v>0</v>
      </c>
      <c r="X84" s="13">
        <f t="shared" si="38"/>
        <v>0</v>
      </c>
      <c r="Y84" s="13">
        <f t="shared" si="39"/>
        <v>0</v>
      </c>
      <c r="Z84" s="13">
        <f t="shared" si="40"/>
        <v>0</v>
      </c>
      <c r="AA84" s="13">
        <f t="shared" si="41"/>
        <v>0</v>
      </c>
      <c r="AB84" s="13">
        <f t="shared" si="42"/>
        <v>0</v>
      </c>
      <c r="AC84" s="23">
        <f t="shared" si="59"/>
        <v>0</v>
      </c>
      <c r="AD84" s="23">
        <f t="shared" si="43"/>
        <v>0</v>
      </c>
      <c r="AE84" s="23">
        <f t="shared" si="52"/>
        <v>0</v>
      </c>
      <c r="AF84" s="23">
        <f t="shared" si="53"/>
        <v>0</v>
      </c>
      <c r="AG84" s="23">
        <f t="shared" si="54"/>
        <v>0</v>
      </c>
      <c r="AH84" s="13" t="e">
        <f t="shared" si="44"/>
        <v>#DIV/0!</v>
      </c>
      <c r="AI84" s="13" t="e">
        <f t="shared" si="45"/>
        <v>#DIV/0!</v>
      </c>
      <c r="AJ84" s="10" t="e">
        <f t="shared" si="46"/>
        <v>#DIV/0!</v>
      </c>
      <c r="AK84" s="6" t="e">
        <f t="shared" si="47"/>
        <v>#DIV/0!</v>
      </c>
      <c r="AL84" s="6" t="e">
        <f t="shared" si="48"/>
        <v>#DIV/0!</v>
      </c>
      <c r="AM84" s="6" t="e">
        <f t="shared" si="49"/>
        <v>#DIV/0!</v>
      </c>
      <c r="AN84" s="6" t="e">
        <f t="shared" si="50"/>
        <v>#DIV/0!</v>
      </c>
      <c r="AO84" s="57" t="e">
        <f t="shared" si="51"/>
        <v>#DIV/0!</v>
      </c>
      <c r="AP84" s="57" t="e">
        <f t="shared" si="55"/>
        <v>#DIV/0!</v>
      </c>
      <c r="AQ84" s="57" t="e">
        <f t="shared" si="56"/>
        <v>#DIV/0!</v>
      </c>
      <c r="AR84" s="57" t="e">
        <f t="shared" si="57"/>
        <v>#DIV/0!</v>
      </c>
      <c r="AS84" s="57" t="e">
        <f t="shared" si="58"/>
        <v>#DIV/0!</v>
      </c>
    </row>
    <row r="85" spans="1:45" ht="33" hidden="1" customHeight="1">
      <c r="A85" s="22">
        <v>0</v>
      </c>
      <c r="B85" s="22">
        <f>'INTERNAL TEST-1  '!B85</f>
        <v>0</v>
      </c>
      <c r="C85" s="202">
        <f>'INTERNAL TEST-1  '!C85</f>
        <v>0</v>
      </c>
      <c r="D85" s="12"/>
      <c r="E85" s="12"/>
      <c r="F85" s="12"/>
      <c r="G85" s="12"/>
      <c r="H85" s="12"/>
      <c r="I85" s="12"/>
      <c r="J85" s="12"/>
      <c r="K85" s="12"/>
      <c r="L85" s="12"/>
      <c r="M85" s="12"/>
      <c r="N85" s="12"/>
      <c r="O85" s="57"/>
      <c r="P85" s="57"/>
      <c r="Q85" s="12"/>
      <c r="R85" s="12"/>
      <c r="S85" s="12"/>
      <c r="T85" s="12"/>
      <c r="U85" s="13">
        <f t="shared" si="35"/>
        <v>0</v>
      </c>
      <c r="V85" s="13">
        <f t="shared" si="36"/>
        <v>0</v>
      </c>
      <c r="W85" s="13">
        <f t="shared" si="37"/>
        <v>0</v>
      </c>
      <c r="X85" s="13">
        <f t="shared" si="38"/>
        <v>0</v>
      </c>
      <c r="Y85" s="13">
        <f t="shared" si="39"/>
        <v>0</v>
      </c>
      <c r="Z85" s="13">
        <f t="shared" si="40"/>
        <v>0</v>
      </c>
      <c r="AA85" s="13">
        <f t="shared" si="41"/>
        <v>0</v>
      </c>
      <c r="AB85" s="13">
        <f t="shared" si="42"/>
        <v>0</v>
      </c>
      <c r="AC85" s="23">
        <f t="shared" si="59"/>
        <v>0</v>
      </c>
      <c r="AD85" s="23">
        <f t="shared" si="43"/>
        <v>0</v>
      </c>
      <c r="AE85" s="23">
        <f t="shared" si="52"/>
        <v>0</v>
      </c>
      <c r="AF85" s="23">
        <f t="shared" si="53"/>
        <v>0</v>
      </c>
      <c r="AG85" s="23">
        <f t="shared" si="54"/>
        <v>0</v>
      </c>
      <c r="AH85" s="13" t="e">
        <f t="shared" si="44"/>
        <v>#DIV/0!</v>
      </c>
      <c r="AI85" s="13" t="e">
        <f t="shared" si="45"/>
        <v>#DIV/0!</v>
      </c>
      <c r="AJ85" s="10" t="e">
        <f t="shared" si="46"/>
        <v>#DIV/0!</v>
      </c>
      <c r="AK85" s="6" t="e">
        <f t="shared" si="47"/>
        <v>#DIV/0!</v>
      </c>
      <c r="AL85" s="6" t="e">
        <f t="shared" si="48"/>
        <v>#DIV/0!</v>
      </c>
      <c r="AM85" s="6" t="e">
        <f t="shared" si="49"/>
        <v>#DIV/0!</v>
      </c>
      <c r="AN85" s="6" t="e">
        <f t="shared" si="50"/>
        <v>#DIV/0!</v>
      </c>
      <c r="AO85" s="57" t="e">
        <f t="shared" si="51"/>
        <v>#DIV/0!</v>
      </c>
      <c r="AP85" s="57" t="e">
        <f t="shared" si="55"/>
        <v>#DIV/0!</v>
      </c>
      <c r="AQ85" s="57" t="e">
        <f t="shared" si="56"/>
        <v>#DIV/0!</v>
      </c>
      <c r="AR85" s="57" t="e">
        <f t="shared" si="57"/>
        <v>#DIV/0!</v>
      </c>
      <c r="AS85" s="57" t="e">
        <f t="shared" si="58"/>
        <v>#DIV/0!</v>
      </c>
    </row>
    <row r="86" spans="1:45" ht="33" hidden="1" customHeight="1">
      <c r="A86" s="22">
        <v>0</v>
      </c>
      <c r="B86" s="22">
        <f>'INTERNAL TEST-1  '!B86</f>
        <v>0</v>
      </c>
      <c r="C86" s="202">
        <f>'INTERNAL TEST-1  '!C86</f>
        <v>0</v>
      </c>
      <c r="D86" s="12"/>
      <c r="E86" s="12"/>
      <c r="F86" s="12"/>
      <c r="G86" s="12"/>
      <c r="H86" s="12"/>
      <c r="I86" s="12"/>
      <c r="J86" s="12"/>
      <c r="K86" s="12"/>
      <c r="L86" s="12"/>
      <c r="M86" s="12"/>
      <c r="N86" s="12"/>
      <c r="O86" s="57"/>
      <c r="P86" s="57"/>
      <c r="Q86" s="12"/>
      <c r="R86" s="12"/>
      <c r="S86" s="12"/>
      <c r="T86" s="12"/>
      <c r="U86" s="13">
        <f t="shared" si="35"/>
        <v>0</v>
      </c>
      <c r="V86" s="13">
        <f t="shared" si="36"/>
        <v>0</v>
      </c>
      <c r="W86" s="13">
        <f t="shared" si="37"/>
        <v>0</v>
      </c>
      <c r="X86" s="13">
        <f t="shared" si="38"/>
        <v>0</v>
      </c>
      <c r="Y86" s="13">
        <f t="shared" si="39"/>
        <v>0</v>
      </c>
      <c r="Z86" s="13">
        <f t="shared" si="40"/>
        <v>0</v>
      </c>
      <c r="AA86" s="13">
        <f t="shared" si="41"/>
        <v>0</v>
      </c>
      <c r="AB86" s="13">
        <f t="shared" si="42"/>
        <v>0</v>
      </c>
      <c r="AC86" s="23">
        <f t="shared" si="59"/>
        <v>0</v>
      </c>
      <c r="AD86" s="23">
        <f t="shared" si="43"/>
        <v>0</v>
      </c>
      <c r="AE86" s="23">
        <f t="shared" si="52"/>
        <v>0</v>
      </c>
      <c r="AF86" s="23">
        <f t="shared" si="53"/>
        <v>0</v>
      </c>
      <c r="AG86" s="23">
        <f t="shared" si="54"/>
        <v>0</v>
      </c>
      <c r="AH86" s="13" t="e">
        <f t="shared" si="44"/>
        <v>#DIV/0!</v>
      </c>
      <c r="AI86" s="13" t="e">
        <f t="shared" si="45"/>
        <v>#DIV/0!</v>
      </c>
      <c r="AJ86" s="10" t="e">
        <f t="shared" si="46"/>
        <v>#DIV/0!</v>
      </c>
      <c r="AK86" s="6" t="e">
        <f t="shared" si="47"/>
        <v>#DIV/0!</v>
      </c>
      <c r="AL86" s="6" t="e">
        <f t="shared" si="48"/>
        <v>#DIV/0!</v>
      </c>
      <c r="AM86" s="6" t="e">
        <f t="shared" si="49"/>
        <v>#DIV/0!</v>
      </c>
      <c r="AN86" s="6" t="e">
        <f t="shared" si="50"/>
        <v>#DIV/0!</v>
      </c>
      <c r="AO86" s="57" t="e">
        <f t="shared" si="51"/>
        <v>#DIV/0!</v>
      </c>
      <c r="AP86" s="57" t="e">
        <f t="shared" si="55"/>
        <v>#DIV/0!</v>
      </c>
      <c r="AQ86" s="57" t="e">
        <f t="shared" si="56"/>
        <v>#DIV/0!</v>
      </c>
      <c r="AR86" s="57" t="e">
        <f t="shared" si="57"/>
        <v>#DIV/0!</v>
      </c>
      <c r="AS86" s="57" t="e">
        <f t="shared" si="58"/>
        <v>#DIV/0!</v>
      </c>
    </row>
    <row r="87" spans="1:45" ht="33" hidden="1" customHeight="1">
      <c r="A87" s="22">
        <v>0</v>
      </c>
      <c r="B87" s="22">
        <f>'INTERNAL TEST-1  '!B87</f>
        <v>0</v>
      </c>
      <c r="C87" s="202">
        <f>'INTERNAL TEST-1  '!C87</f>
        <v>0</v>
      </c>
      <c r="D87" s="12"/>
      <c r="E87" s="12"/>
      <c r="F87" s="12"/>
      <c r="G87" s="12"/>
      <c r="H87" s="12"/>
      <c r="I87" s="12"/>
      <c r="J87" s="12"/>
      <c r="K87" s="12"/>
      <c r="L87" s="12"/>
      <c r="M87" s="12"/>
      <c r="N87" s="12"/>
      <c r="O87" s="57"/>
      <c r="P87" s="57"/>
      <c r="Q87" s="12"/>
      <c r="R87" s="12"/>
      <c r="S87" s="12"/>
      <c r="T87" s="12"/>
      <c r="U87" s="13">
        <f t="shared" si="35"/>
        <v>0</v>
      </c>
      <c r="V87" s="13">
        <f t="shared" si="36"/>
        <v>0</v>
      </c>
      <c r="W87" s="13">
        <f t="shared" si="37"/>
        <v>0</v>
      </c>
      <c r="X87" s="13">
        <f t="shared" si="38"/>
        <v>0</v>
      </c>
      <c r="Y87" s="13">
        <f t="shared" si="39"/>
        <v>0</v>
      </c>
      <c r="Z87" s="13">
        <f t="shared" si="40"/>
        <v>0</v>
      </c>
      <c r="AA87" s="13">
        <f t="shared" si="41"/>
        <v>0</v>
      </c>
      <c r="AB87" s="13">
        <f t="shared" si="42"/>
        <v>0</v>
      </c>
      <c r="AC87" s="23">
        <f t="shared" si="59"/>
        <v>0</v>
      </c>
      <c r="AD87" s="23">
        <f t="shared" si="43"/>
        <v>0</v>
      </c>
      <c r="AE87" s="23">
        <f t="shared" si="52"/>
        <v>0</v>
      </c>
      <c r="AF87" s="23">
        <f t="shared" si="53"/>
        <v>0</v>
      </c>
      <c r="AG87" s="23">
        <f t="shared" si="54"/>
        <v>0</v>
      </c>
      <c r="AH87" s="13" t="e">
        <f t="shared" si="44"/>
        <v>#DIV/0!</v>
      </c>
      <c r="AI87" s="13" t="e">
        <f t="shared" si="45"/>
        <v>#DIV/0!</v>
      </c>
      <c r="AJ87" s="10" t="e">
        <f t="shared" si="46"/>
        <v>#DIV/0!</v>
      </c>
      <c r="AK87" s="6" t="e">
        <f t="shared" si="47"/>
        <v>#DIV/0!</v>
      </c>
      <c r="AL87" s="6" t="e">
        <f t="shared" si="48"/>
        <v>#DIV/0!</v>
      </c>
      <c r="AM87" s="6" t="e">
        <f t="shared" si="49"/>
        <v>#DIV/0!</v>
      </c>
      <c r="AN87" s="6" t="e">
        <f t="shared" si="50"/>
        <v>#DIV/0!</v>
      </c>
      <c r="AO87" s="57" t="e">
        <f t="shared" si="51"/>
        <v>#DIV/0!</v>
      </c>
      <c r="AP87" s="57" t="e">
        <f t="shared" si="55"/>
        <v>#DIV/0!</v>
      </c>
      <c r="AQ87" s="57" t="e">
        <f t="shared" si="56"/>
        <v>#DIV/0!</v>
      </c>
      <c r="AR87" s="57" t="e">
        <f t="shared" si="57"/>
        <v>#DIV/0!</v>
      </c>
      <c r="AS87" s="57" t="e">
        <f t="shared" si="58"/>
        <v>#DIV/0!</v>
      </c>
    </row>
    <row r="88" spans="1:45" ht="33" hidden="1" customHeight="1">
      <c r="A88" s="22">
        <v>0</v>
      </c>
      <c r="B88" s="22">
        <f>'INTERNAL TEST-1  '!B88</f>
        <v>0</v>
      </c>
      <c r="C88" s="202">
        <f>'INTERNAL TEST-1  '!C88</f>
        <v>0</v>
      </c>
      <c r="D88" s="12"/>
      <c r="E88" s="12"/>
      <c r="F88" s="12"/>
      <c r="G88" s="12"/>
      <c r="H88" s="12"/>
      <c r="I88" s="12"/>
      <c r="J88" s="12"/>
      <c r="K88" s="12"/>
      <c r="L88" s="12"/>
      <c r="M88" s="12"/>
      <c r="N88" s="12"/>
      <c r="O88" s="57"/>
      <c r="P88" s="57"/>
      <c r="Q88" s="12"/>
      <c r="R88" s="12"/>
      <c r="S88" s="12"/>
      <c r="T88" s="12"/>
      <c r="U88" s="13">
        <f t="shared" si="35"/>
        <v>0</v>
      </c>
      <c r="V88" s="13">
        <f t="shared" si="36"/>
        <v>0</v>
      </c>
      <c r="W88" s="13">
        <f t="shared" si="37"/>
        <v>0</v>
      </c>
      <c r="X88" s="13">
        <f t="shared" si="38"/>
        <v>0</v>
      </c>
      <c r="Y88" s="13">
        <f t="shared" si="39"/>
        <v>0</v>
      </c>
      <c r="Z88" s="13">
        <f t="shared" si="40"/>
        <v>0</v>
      </c>
      <c r="AA88" s="13">
        <f t="shared" si="41"/>
        <v>0</v>
      </c>
      <c r="AB88" s="13">
        <f t="shared" si="42"/>
        <v>0</v>
      </c>
      <c r="AC88" s="23">
        <f t="shared" si="59"/>
        <v>0</v>
      </c>
      <c r="AD88" s="23">
        <f t="shared" si="43"/>
        <v>0</v>
      </c>
      <c r="AE88" s="23">
        <f t="shared" si="52"/>
        <v>0</v>
      </c>
      <c r="AF88" s="23">
        <f t="shared" si="53"/>
        <v>0</v>
      </c>
      <c r="AG88" s="23">
        <f t="shared" si="54"/>
        <v>0</v>
      </c>
      <c r="AH88" s="13" t="e">
        <f t="shared" si="44"/>
        <v>#DIV/0!</v>
      </c>
      <c r="AI88" s="13" t="e">
        <f t="shared" si="45"/>
        <v>#DIV/0!</v>
      </c>
      <c r="AJ88" s="10" t="e">
        <f t="shared" si="46"/>
        <v>#DIV/0!</v>
      </c>
      <c r="AK88" s="6" t="e">
        <f t="shared" si="47"/>
        <v>#DIV/0!</v>
      </c>
      <c r="AL88" s="6" t="e">
        <f t="shared" si="48"/>
        <v>#DIV/0!</v>
      </c>
      <c r="AM88" s="6" t="e">
        <f t="shared" si="49"/>
        <v>#DIV/0!</v>
      </c>
      <c r="AN88" s="6" t="e">
        <f t="shared" si="50"/>
        <v>#DIV/0!</v>
      </c>
      <c r="AO88" s="57" t="e">
        <f t="shared" si="51"/>
        <v>#DIV/0!</v>
      </c>
      <c r="AP88" s="57" t="e">
        <f t="shared" si="55"/>
        <v>#DIV/0!</v>
      </c>
      <c r="AQ88" s="57" t="e">
        <f t="shared" si="56"/>
        <v>#DIV/0!</v>
      </c>
      <c r="AR88" s="57" t="e">
        <f t="shared" si="57"/>
        <v>#DIV/0!</v>
      </c>
      <c r="AS88" s="57" t="e">
        <f t="shared" si="58"/>
        <v>#DIV/0!</v>
      </c>
    </row>
    <row r="89" spans="1:45" ht="33" hidden="1" customHeight="1">
      <c r="A89" s="22">
        <v>0</v>
      </c>
      <c r="B89" s="22">
        <f>'INTERNAL TEST-1  '!B89</f>
        <v>0</v>
      </c>
      <c r="C89" s="202">
        <f>'INTERNAL TEST-1  '!C89</f>
        <v>0</v>
      </c>
      <c r="D89" s="12"/>
      <c r="E89" s="12"/>
      <c r="F89" s="12"/>
      <c r="G89" s="12"/>
      <c r="H89" s="12"/>
      <c r="I89" s="12"/>
      <c r="J89" s="12"/>
      <c r="K89" s="12"/>
      <c r="L89" s="12"/>
      <c r="M89" s="12"/>
      <c r="N89" s="12"/>
      <c r="O89" s="57"/>
      <c r="P89" s="57"/>
      <c r="Q89" s="12"/>
      <c r="R89" s="12"/>
      <c r="S89" s="12"/>
      <c r="T89" s="12"/>
      <c r="U89" s="13">
        <f t="shared" si="35"/>
        <v>0</v>
      </c>
      <c r="V89" s="13">
        <f t="shared" si="36"/>
        <v>0</v>
      </c>
      <c r="W89" s="13">
        <f t="shared" si="37"/>
        <v>0</v>
      </c>
      <c r="X89" s="13">
        <f t="shared" si="38"/>
        <v>0</v>
      </c>
      <c r="Y89" s="13">
        <f t="shared" si="39"/>
        <v>0</v>
      </c>
      <c r="Z89" s="13">
        <f t="shared" si="40"/>
        <v>0</v>
      </c>
      <c r="AA89" s="13">
        <f t="shared" si="41"/>
        <v>0</v>
      </c>
      <c r="AB89" s="13">
        <f t="shared" si="42"/>
        <v>0</v>
      </c>
      <c r="AC89" s="23">
        <f t="shared" si="59"/>
        <v>0</v>
      </c>
      <c r="AD89" s="23">
        <f t="shared" si="43"/>
        <v>0</v>
      </c>
      <c r="AE89" s="23">
        <f t="shared" si="52"/>
        <v>0</v>
      </c>
      <c r="AF89" s="23">
        <f t="shared" si="53"/>
        <v>0</v>
      </c>
      <c r="AG89" s="23">
        <f t="shared" si="54"/>
        <v>0</v>
      </c>
      <c r="AH89" s="13" t="e">
        <f t="shared" si="44"/>
        <v>#DIV/0!</v>
      </c>
      <c r="AI89" s="13" t="e">
        <f t="shared" si="45"/>
        <v>#DIV/0!</v>
      </c>
      <c r="AJ89" s="10" t="e">
        <f t="shared" si="46"/>
        <v>#DIV/0!</v>
      </c>
      <c r="AK89" s="6" t="e">
        <f t="shared" si="47"/>
        <v>#DIV/0!</v>
      </c>
      <c r="AL89" s="6" t="e">
        <f t="shared" si="48"/>
        <v>#DIV/0!</v>
      </c>
      <c r="AM89" s="6" t="e">
        <f t="shared" si="49"/>
        <v>#DIV/0!</v>
      </c>
      <c r="AN89" s="6" t="e">
        <f t="shared" si="50"/>
        <v>#DIV/0!</v>
      </c>
      <c r="AO89" s="57" t="e">
        <f t="shared" si="51"/>
        <v>#DIV/0!</v>
      </c>
      <c r="AP89" s="57" t="e">
        <f t="shared" si="55"/>
        <v>#DIV/0!</v>
      </c>
      <c r="AQ89" s="57" t="e">
        <f t="shared" si="56"/>
        <v>#DIV/0!</v>
      </c>
      <c r="AR89" s="57" t="e">
        <f t="shared" si="57"/>
        <v>#DIV/0!</v>
      </c>
      <c r="AS89" s="57" t="e">
        <f t="shared" si="58"/>
        <v>#DIV/0!</v>
      </c>
    </row>
    <row r="90" spans="1:45" ht="33" hidden="1" customHeight="1">
      <c r="A90" s="22">
        <v>0</v>
      </c>
      <c r="B90" s="22">
        <f>'INTERNAL TEST-1  '!B90</f>
        <v>0</v>
      </c>
      <c r="C90" s="202">
        <f>'INTERNAL TEST-1  '!C90</f>
        <v>0</v>
      </c>
      <c r="D90" s="12"/>
      <c r="E90" s="12"/>
      <c r="F90" s="12"/>
      <c r="G90" s="12"/>
      <c r="H90" s="12"/>
      <c r="I90" s="12"/>
      <c r="J90" s="12"/>
      <c r="K90" s="12"/>
      <c r="L90" s="12"/>
      <c r="M90" s="12"/>
      <c r="N90" s="12"/>
      <c r="O90" s="57"/>
      <c r="P90" s="57"/>
      <c r="Q90" s="12"/>
      <c r="R90" s="12"/>
      <c r="S90" s="12"/>
      <c r="T90" s="12"/>
      <c r="U90" s="13">
        <f t="shared" si="35"/>
        <v>0</v>
      </c>
      <c r="V90" s="13">
        <f t="shared" si="36"/>
        <v>0</v>
      </c>
      <c r="W90" s="13">
        <f t="shared" si="37"/>
        <v>0</v>
      </c>
      <c r="X90" s="13">
        <f t="shared" si="38"/>
        <v>0</v>
      </c>
      <c r="Y90" s="13">
        <f t="shared" si="39"/>
        <v>0</v>
      </c>
      <c r="Z90" s="13">
        <f t="shared" si="40"/>
        <v>0</v>
      </c>
      <c r="AA90" s="13">
        <f t="shared" si="41"/>
        <v>0</v>
      </c>
      <c r="AB90" s="13">
        <f t="shared" si="42"/>
        <v>0</v>
      </c>
      <c r="AC90" s="23">
        <f t="shared" si="59"/>
        <v>0</v>
      </c>
      <c r="AD90" s="23">
        <f t="shared" si="43"/>
        <v>0</v>
      </c>
      <c r="AE90" s="23">
        <f t="shared" si="52"/>
        <v>0</v>
      </c>
      <c r="AF90" s="23">
        <f t="shared" si="53"/>
        <v>0</v>
      </c>
      <c r="AG90" s="23">
        <f t="shared" si="54"/>
        <v>0</v>
      </c>
      <c r="AH90" s="13" t="e">
        <f t="shared" si="44"/>
        <v>#DIV/0!</v>
      </c>
      <c r="AI90" s="13" t="e">
        <f t="shared" si="45"/>
        <v>#DIV/0!</v>
      </c>
      <c r="AJ90" s="10" t="e">
        <f t="shared" si="46"/>
        <v>#DIV/0!</v>
      </c>
      <c r="AK90" s="6" t="e">
        <f t="shared" si="47"/>
        <v>#DIV/0!</v>
      </c>
      <c r="AL90" s="6" t="e">
        <f t="shared" si="48"/>
        <v>#DIV/0!</v>
      </c>
      <c r="AM90" s="6" t="e">
        <f t="shared" si="49"/>
        <v>#DIV/0!</v>
      </c>
      <c r="AN90" s="6" t="e">
        <f t="shared" si="50"/>
        <v>#DIV/0!</v>
      </c>
      <c r="AO90" s="57" t="e">
        <f t="shared" si="51"/>
        <v>#DIV/0!</v>
      </c>
      <c r="AP90" s="57" t="e">
        <f t="shared" si="55"/>
        <v>#DIV/0!</v>
      </c>
      <c r="AQ90" s="57" t="e">
        <f t="shared" si="56"/>
        <v>#DIV/0!</v>
      </c>
      <c r="AR90" s="57" t="e">
        <f t="shared" si="57"/>
        <v>#DIV/0!</v>
      </c>
      <c r="AS90" s="57" t="e">
        <f t="shared" si="58"/>
        <v>#DIV/0!</v>
      </c>
    </row>
    <row r="91" spans="1:45" ht="33" hidden="1" customHeight="1">
      <c r="A91" s="22">
        <v>0</v>
      </c>
      <c r="B91" s="22">
        <f>'INTERNAL TEST-1  '!B91</f>
        <v>0</v>
      </c>
      <c r="C91" s="202">
        <f>'INTERNAL TEST-1  '!C91</f>
        <v>0</v>
      </c>
      <c r="D91" s="12"/>
      <c r="E91" s="12"/>
      <c r="F91" s="12"/>
      <c r="G91" s="12"/>
      <c r="H91" s="12"/>
      <c r="I91" s="12"/>
      <c r="J91" s="12"/>
      <c r="K91" s="12"/>
      <c r="L91" s="12"/>
      <c r="M91" s="12"/>
      <c r="N91" s="12"/>
      <c r="O91" s="57"/>
      <c r="P91" s="57"/>
      <c r="Q91" s="12"/>
      <c r="R91" s="12"/>
      <c r="S91" s="12"/>
      <c r="T91" s="12"/>
      <c r="U91" s="13">
        <f t="shared" si="35"/>
        <v>0</v>
      </c>
      <c r="V91" s="13">
        <f t="shared" si="36"/>
        <v>0</v>
      </c>
      <c r="W91" s="13">
        <f t="shared" si="37"/>
        <v>0</v>
      </c>
      <c r="X91" s="13">
        <f t="shared" si="38"/>
        <v>0</v>
      </c>
      <c r="Y91" s="13">
        <f t="shared" si="39"/>
        <v>0</v>
      </c>
      <c r="Z91" s="13">
        <f t="shared" si="40"/>
        <v>0</v>
      </c>
      <c r="AA91" s="13">
        <f t="shared" si="41"/>
        <v>0</v>
      </c>
      <c r="AB91" s="13">
        <f t="shared" si="42"/>
        <v>0</v>
      </c>
      <c r="AC91" s="23">
        <f t="shared" si="59"/>
        <v>0</v>
      </c>
      <c r="AD91" s="23">
        <f t="shared" si="43"/>
        <v>0</v>
      </c>
      <c r="AE91" s="23">
        <f t="shared" si="52"/>
        <v>0</v>
      </c>
      <c r="AF91" s="23">
        <f t="shared" si="53"/>
        <v>0</v>
      </c>
      <c r="AG91" s="23">
        <f t="shared" si="54"/>
        <v>0</v>
      </c>
      <c r="AH91" s="13" t="e">
        <f t="shared" si="44"/>
        <v>#DIV/0!</v>
      </c>
      <c r="AI91" s="13" t="e">
        <f t="shared" si="45"/>
        <v>#DIV/0!</v>
      </c>
      <c r="AJ91" s="10" t="e">
        <f t="shared" si="46"/>
        <v>#DIV/0!</v>
      </c>
      <c r="AK91" s="6" t="e">
        <f t="shared" si="47"/>
        <v>#DIV/0!</v>
      </c>
      <c r="AL91" s="6" t="e">
        <f t="shared" si="48"/>
        <v>#DIV/0!</v>
      </c>
      <c r="AM91" s="6" t="e">
        <f t="shared" si="49"/>
        <v>#DIV/0!</v>
      </c>
      <c r="AN91" s="6" t="e">
        <f t="shared" si="50"/>
        <v>#DIV/0!</v>
      </c>
      <c r="AO91" s="57" t="e">
        <f t="shared" si="51"/>
        <v>#DIV/0!</v>
      </c>
      <c r="AP91" s="57" t="e">
        <f t="shared" si="55"/>
        <v>#DIV/0!</v>
      </c>
      <c r="AQ91" s="57" t="e">
        <f t="shared" si="56"/>
        <v>#DIV/0!</v>
      </c>
      <c r="AR91" s="57" t="e">
        <f t="shared" si="57"/>
        <v>#DIV/0!</v>
      </c>
      <c r="AS91" s="57" t="e">
        <f t="shared" si="58"/>
        <v>#DIV/0!</v>
      </c>
    </row>
    <row r="92" spans="1:45" ht="33" hidden="1" customHeight="1">
      <c r="A92" s="22">
        <v>0</v>
      </c>
      <c r="B92" s="22">
        <f>'INTERNAL TEST-1  '!B92</f>
        <v>0</v>
      </c>
      <c r="C92" s="202">
        <f>'INTERNAL TEST-1  '!C92</f>
        <v>0</v>
      </c>
      <c r="D92" s="12"/>
      <c r="E92" s="12"/>
      <c r="F92" s="12"/>
      <c r="G92" s="12"/>
      <c r="H92" s="12"/>
      <c r="I92" s="12"/>
      <c r="J92" s="12"/>
      <c r="K92" s="12"/>
      <c r="L92" s="12"/>
      <c r="M92" s="12"/>
      <c r="N92" s="12"/>
      <c r="O92" s="57"/>
      <c r="P92" s="57"/>
      <c r="Q92" s="12"/>
      <c r="R92" s="12"/>
      <c r="S92" s="12"/>
      <c r="T92" s="12"/>
      <c r="U92" s="13">
        <f t="shared" si="35"/>
        <v>0</v>
      </c>
      <c r="V92" s="13">
        <f t="shared" si="36"/>
        <v>0</v>
      </c>
      <c r="W92" s="13">
        <f t="shared" si="37"/>
        <v>0</v>
      </c>
      <c r="X92" s="13">
        <f t="shared" si="38"/>
        <v>0</v>
      </c>
      <c r="Y92" s="13">
        <f t="shared" si="39"/>
        <v>0</v>
      </c>
      <c r="Z92" s="13">
        <f t="shared" si="40"/>
        <v>0</v>
      </c>
      <c r="AA92" s="13">
        <f t="shared" si="41"/>
        <v>0</v>
      </c>
      <c r="AB92" s="13">
        <f t="shared" si="42"/>
        <v>0</v>
      </c>
      <c r="AC92" s="23">
        <f t="shared" si="59"/>
        <v>0</v>
      </c>
      <c r="AD92" s="23">
        <f t="shared" si="43"/>
        <v>0</v>
      </c>
      <c r="AE92" s="23">
        <f t="shared" si="52"/>
        <v>0</v>
      </c>
      <c r="AF92" s="23">
        <f t="shared" si="53"/>
        <v>0</v>
      </c>
      <c r="AG92" s="23">
        <f t="shared" si="54"/>
        <v>0</v>
      </c>
      <c r="AH92" s="13" t="e">
        <f t="shared" si="44"/>
        <v>#DIV/0!</v>
      </c>
      <c r="AI92" s="13" t="e">
        <f t="shared" si="45"/>
        <v>#DIV/0!</v>
      </c>
      <c r="AJ92" s="10" t="e">
        <f t="shared" si="46"/>
        <v>#DIV/0!</v>
      </c>
      <c r="AK92" s="6" t="e">
        <f t="shared" si="47"/>
        <v>#DIV/0!</v>
      </c>
      <c r="AL92" s="6" t="e">
        <f t="shared" si="48"/>
        <v>#DIV/0!</v>
      </c>
      <c r="AM92" s="6" t="e">
        <f t="shared" si="49"/>
        <v>#DIV/0!</v>
      </c>
      <c r="AN92" s="6" t="e">
        <f t="shared" si="50"/>
        <v>#DIV/0!</v>
      </c>
      <c r="AO92" s="57" t="e">
        <f t="shared" si="51"/>
        <v>#DIV/0!</v>
      </c>
      <c r="AP92" s="57" t="e">
        <f t="shared" si="55"/>
        <v>#DIV/0!</v>
      </c>
      <c r="AQ92" s="57" t="e">
        <f t="shared" si="56"/>
        <v>#DIV/0!</v>
      </c>
      <c r="AR92" s="57" t="e">
        <f t="shared" si="57"/>
        <v>#DIV/0!</v>
      </c>
      <c r="AS92" s="57" t="e">
        <f t="shared" si="58"/>
        <v>#DIV/0!</v>
      </c>
    </row>
    <row r="93" spans="1:45" ht="33" hidden="1" customHeight="1">
      <c r="A93" s="22">
        <v>0</v>
      </c>
      <c r="B93" s="22">
        <f>'INTERNAL TEST-1  '!B93</f>
        <v>0</v>
      </c>
      <c r="C93" s="202">
        <f>'INTERNAL TEST-1  '!C93</f>
        <v>0</v>
      </c>
      <c r="D93" s="12"/>
      <c r="E93" s="12"/>
      <c r="F93" s="12"/>
      <c r="G93" s="12"/>
      <c r="H93" s="12"/>
      <c r="I93" s="12"/>
      <c r="J93" s="12"/>
      <c r="K93" s="12"/>
      <c r="L93" s="12"/>
      <c r="M93" s="12"/>
      <c r="N93" s="12"/>
      <c r="O93" s="57"/>
      <c r="P93" s="57"/>
      <c r="Q93" s="12"/>
      <c r="R93" s="12"/>
      <c r="S93" s="12"/>
      <c r="T93" s="12"/>
      <c r="U93" s="13">
        <f t="shared" si="35"/>
        <v>0</v>
      </c>
      <c r="V93" s="13">
        <f t="shared" si="36"/>
        <v>0</v>
      </c>
      <c r="W93" s="13">
        <f t="shared" si="37"/>
        <v>0</v>
      </c>
      <c r="X93" s="13">
        <f t="shared" si="38"/>
        <v>0</v>
      </c>
      <c r="Y93" s="13">
        <f t="shared" si="39"/>
        <v>0</v>
      </c>
      <c r="Z93" s="13">
        <f t="shared" si="40"/>
        <v>0</v>
      </c>
      <c r="AA93" s="13">
        <f t="shared" si="41"/>
        <v>0</v>
      </c>
      <c r="AB93" s="13">
        <f t="shared" si="42"/>
        <v>0</v>
      </c>
      <c r="AC93" s="23">
        <f t="shared" si="59"/>
        <v>0</v>
      </c>
      <c r="AD93" s="23">
        <f t="shared" si="43"/>
        <v>0</v>
      </c>
      <c r="AE93" s="23">
        <f t="shared" si="52"/>
        <v>0</v>
      </c>
      <c r="AF93" s="23">
        <f t="shared" si="53"/>
        <v>0</v>
      </c>
      <c r="AG93" s="23">
        <f t="shared" si="54"/>
        <v>0</v>
      </c>
      <c r="AH93" s="13" t="e">
        <f t="shared" si="44"/>
        <v>#DIV/0!</v>
      </c>
      <c r="AI93" s="13" t="e">
        <f t="shared" si="45"/>
        <v>#DIV/0!</v>
      </c>
      <c r="AJ93" s="10" t="e">
        <f t="shared" si="46"/>
        <v>#DIV/0!</v>
      </c>
      <c r="AK93" s="6" t="e">
        <f t="shared" si="47"/>
        <v>#DIV/0!</v>
      </c>
      <c r="AL93" s="6" t="e">
        <f t="shared" si="48"/>
        <v>#DIV/0!</v>
      </c>
      <c r="AM93" s="6" t="e">
        <f t="shared" si="49"/>
        <v>#DIV/0!</v>
      </c>
      <c r="AN93" s="6" t="e">
        <f t="shared" si="50"/>
        <v>#DIV/0!</v>
      </c>
      <c r="AO93" s="57" t="e">
        <f t="shared" si="51"/>
        <v>#DIV/0!</v>
      </c>
      <c r="AP93" s="57" t="e">
        <f t="shared" si="55"/>
        <v>#DIV/0!</v>
      </c>
      <c r="AQ93" s="57" t="e">
        <f t="shared" si="56"/>
        <v>#DIV/0!</v>
      </c>
      <c r="AR93" s="57" t="e">
        <f t="shared" si="57"/>
        <v>#DIV/0!</v>
      </c>
      <c r="AS93" s="57" t="e">
        <f t="shared" si="58"/>
        <v>#DIV/0!</v>
      </c>
    </row>
    <row r="94" spans="1:45" ht="33" hidden="1" customHeight="1">
      <c r="A94" s="22">
        <v>0</v>
      </c>
      <c r="B94" s="22">
        <f>'INTERNAL TEST-1  '!B94</f>
        <v>0</v>
      </c>
      <c r="C94" s="202">
        <f>'INTERNAL TEST-1  '!C94</f>
        <v>0</v>
      </c>
      <c r="D94" s="12"/>
      <c r="E94" s="12"/>
      <c r="F94" s="12"/>
      <c r="G94" s="12"/>
      <c r="H94" s="12"/>
      <c r="I94" s="12"/>
      <c r="J94" s="12"/>
      <c r="K94" s="12"/>
      <c r="L94" s="12"/>
      <c r="M94" s="12"/>
      <c r="N94" s="12"/>
      <c r="O94" s="57"/>
      <c r="P94" s="57"/>
      <c r="Q94" s="12"/>
      <c r="R94" s="12"/>
      <c r="S94" s="12"/>
      <c r="T94" s="12"/>
      <c r="U94" s="13">
        <f t="shared" si="35"/>
        <v>0</v>
      </c>
      <c r="V94" s="13">
        <f t="shared" si="36"/>
        <v>0</v>
      </c>
      <c r="W94" s="13">
        <f t="shared" si="37"/>
        <v>0</v>
      </c>
      <c r="X94" s="13">
        <f t="shared" si="38"/>
        <v>0</v>
      </c>
      <c r="Y94" s="13">
        <f t="shared" si="39"/>
        <v>0</v>
      </c>
      <c r="Z94" s="13">
        <f t="shared" si="40"/>
        <v>0</v>
      </c>
      <c r="AA94" s="13">
        <f t="shared" si="41"/>
        <v>0</v>
      </c>
      <c r="AB94" s="13">
        <f t="shared" si="42"/>
        <v>0</v>
      </c>
      <c r="AC94" s="23">
        <f t="shared" si="59"/>
        <v>0</v>
      </c>
      <c r="AD94" s="23">
        <f t="shared" si="43"/>
        <v>0</v>
      </c>
      <c r="AE94" s="23">
        <f t="shared" si="52"/>
        <v>0</v>
      </c>
      <c r="AF94" s="23">
        <f t="shared" si="53"/>
        <v>0</v>
      </c>
      <c r="AG94" s="23">
        <f t="shared" si="54"/>
        <v>0</v>
      </c>
      <c r="AH94" s="13" t="e">
        <f t="shared" si="44"/>
        <v>#DIV/0!</v>
      </c>
      <c r="AI94" s="13" t="e">
        <f t="shared" si="45"/>
        <v>#DIV/0!</v>
      </c>
      <c r="AJ94" s="10" t="e">
        <f t="shared" si="46"/>
        <v>#DIV/0!</v>
      </c>
      <c r="AK94" s="6" t="e">
        <f t="shared" si="47"/>
        <v>#DIV/0!</v>
      </c>
      <c r="AL94" s="6" t="e">
        <f t="shared" si="48"/>
        <v>#DIV/0!</v>
      </c>
      <c r="AM94" s="6" t="e">
        <f t="shared" si="49"/>
        <v>#DIV/0!</v>
      </c>
      <c r="AN94" s="6" t="e">
        <f t="shared" si="50"/>
        <v>#DIV/0!</v>
      </c>
      <c r="AO94" s="57" t="e">
        <f t="shared" si="51"/>
        <v>#DIV/0!</v>
      </c>
      <c r="AP94" s="57" t="e">
        <f t="shared" si="55"/>
        <v>#DIV/0!</v>
      </c>
      <c r="AQ94" s="57" t="e">
        <f t="shared" si="56"/>
        <v>#DIV/0!</v>
      </c>
      <c r="AR94" s="57" t="e">
        <f t="shared" si="57"/>
        <v>#DIV/0!</v>
      </c>
      <c r="AS94" s="57" t="e">
        <f t="shared" si="58"/>
        <v>#DIV/0!</v>
      </c>
    </row>
    <row r="95" spans="1:45" ht="33" hidden="1" customHeight="1">
      <c r="A95" s="22">
        <v>0</v>
      </c>
      <c r="B95" s="22">
        <f>'INTERNAL TEST-1  '!B95</f>
        <v>0</v>
      </c>
      <c r="C95" s="202">
        <f>'INTERNAL TEST-1  '!C95</f>
        <v>0</v>
      </c>
      <c r="D95" s="12"/>
      <c r="E95" s="12"/>
      <c r="F95" s="12"/>
      <c r="G95" s="12"/>
      <c r="H95" s="12"/>
      <c r="I95" s="12"/>
      <c r="J95" s="12"/>
      <c r="K95" s="12"/>
      <c r="L95" s="12"/>
      <c r="M95" s="12"/>
      <c r="N95" s="12"/>
      <c r="O95" s="57"/>
      <c r="P95" s="57"/>
      <c r="Q95" s="12"/>
      <c r="R95" s="12"/>
      <c r="S95" s="12"/>
      <c r="T95" s="12"/>
      <c r="U95" s="13">
        <f t="shared" si="35"/>
        <v>0</v>
      </c>
      <c r="V95" s="13">
        <f t="shared" si="36"/>
        <v>0</v>
      </c>
      <c r="W95" s="13">
        <f t="shared" si="37"/>
        <v>0</v>
      </c>
      <c r="X95" s="13">
        <f t="shared" si="38"/>
        <v>0</v>
      </c>
      <c r="Y95" s="13">
        <f t="shared" si="39"/>
        <v>0</v>
      </c>
      <c r="Z95" s="13">
        <f t="shared" si="40"/>
        <v>0</v>
      </c>
      <c r="AA95" s="13">
        <f t="shared" si="41"/>
        <v>0</v>
      </c>
      <c r="AB95" s="13">
        <f t="shared" si="42"/>
        <v>0</v>
      </c>
      <c r="AC95" s="23">
        <f t="shared" si="59"/>
        <v>0</v>
      </c>
      <c r="AD95" s="23">
        <f t="shared" si="43"/>
        <v>0</v>
      </c>
      <c r="AE95" s="23">
        <f t="shared" si="52"/>
        <v>0</v>
      </c>
      <c r="AF95" s="23">
        <f t="shared" si="53"/>
        <v>0</v>
      </c>
      <c r="AG95" s="23">
        <f t="shared" si="54"/>
        <v>0</v>
      </c>
      <c r="AH95" s="13" t="e">
        <f t="shared" si="44"/>
        <v>#DIV/0!</v>
      </c>
      <c r="AI95" s="13" t="e">
        <f t="shared" si="45"/>
        <v>#DIV/0!</v>
      </c>
      <c r="AJ95" s="10" t="e">
        <f t="shared" si="46"/>
        <v>#DIV/0!</v>
      </c>
      <c r="AK95" s="6" t="e">
        <f t="shared" si="47"/>
        <v>#DIV/0!</v>
      </c>
      <c r="AL95" s="6" t="e">
        <f t="shared" si="48"/>
        <v>#DIV/0!</v>
      </c>
      <c r="AM95" s="6" t="e">
        <f t="shared" si="49"/>
        <v>#DIV/0!</v>
      </c>
      <c r="AN95" s="6" t="e">
        <f t="shared" si="50"/>
        <v>#DIV/0!</v>
      </c>
      <c r="AO95" s="57" t="e">
        <f t="shared" si="51"/>
        <v>#DIV/0!</v>
      </c>
      <c r="AP95" s="57" t="e">
        <f t="shared" si="55"/>
        <v>#DIV/0!</v>
      </c>
      <c r="AQ95" s="57" t="e">
        <f t="shared" si="56"/>
        <v>#DIV/0!</v>
      </c>
      <c r="AR95" s="57" t="e">
        <f t="shared" si="57"/>
        <v>#DIV/0!</v>
      </c>
      <c r="AS95" s="57" t="e">
        <f t="shared" si="58"/>
        <v>#DIV/0!</v>
      </c>
    </row>
    <row r="96" spans="1:45" ht="33" hidden="1" customHeight="1">
      <c r="A96" s="22">
        <v>0</v>
      </c>
      <c r="B96" s="22">
        <f>'INTERNAL TEST-1  '!B96</f>
        <v>0</v>
      </c>
      <c r="C96" s="202">
        <f>'INTERNAL TEST-1  '!C96</f>
        <v>0</v>
      </c>
      <c r="D96" s="12"/>
      <c r="E96" s="12"/>
      <c r="F96" s="12"/>
      <c r="G96" s="12"/>
      <c r="H96" s="12"/>
      <c r="I96" s="12"/>
      <c r="J96" s="12"/>
      <c r="K96" s="12"/>
      <c r="L96" s="12"/>
      <c r="M96" s="12"/>
      <c r="N96" s="12"/>
      <c r="O96" s="57"/>
      <c r="P96" s="57"/>
      <c r="Q96" s="12"/>
      <c r="R96" s="12"/>
      <c r="S96" s="12"/>
      <c r="T96" s="12"/>
      <c r="U96" s="13">
        <f t="shared" si="35"/>
        <v>0</v>
      </c>
      <c r="V96" s="13">
        <f t="shared" si="36"/>
        <v>0</v>
      </c>
      <c r="W96" s="13">
        <f t="shared" si="37"/>
        <v>0</v>
      </c>
      <c r="X96" s="13">
        <f t="shared" si="38"/>
        <v>0</v>
      </c>
      <c r="Y96" s="13">
        <f t="shared" si="39"/>
        <v>0</v>
      </c>
      <c r="Z96" s="13">
        <f t="shared" si="40"/>
        <v>0</v>
      </c>
      <c r="AA96" s="13">
        <f t="shared" si="41"/>
        <v>0</v>
      </c>
      <c r="AB96" s="13">
        <f t="shared" si="42"/>
        <v>0</v>
      </c>
      <c r="AC96" s="23">
        <f t="shared" si="59"/>
        <v>0</v>
      </c>
      <c r="AD96" s="23">
        <f t="shared" si="43"/>
        <v>0</v>
      </c>
      <c r="AE96" s="23">
        <f t="shared" si="52"/>
        <v>0</v>
      </c>
      <c r="AF96" s="23">
        <f t="shared" si="53"/>
        <v>0</v>
      </c>
      <c r="AG96" s="23">
        <f t="shared" si="54"/>
        <v>0</v>
      </c>
      <c r="AH96" s="13" t="e">
        <f t="shared" si="44"/>
        <v>#DIV/0!</v>
      </c>
      <c r="AI96" s="13" t="e">
        <f t="shared" si="45"/>
        <v>#DIV/0!</v>
      </c>
      <c r="AJ96" s="10" t="e">
        <f t="shared" si="46"/>
        <v>#DIV/0!</v>
      </c>
      <c r="AK96" s="6" t="e">
        <f t="shared" si="47"/>
        <v>#DIV/0!</v>
      </c>
      <c r="AL96" s="6" t="e">
        <f t="shared" si="48"/>
        <v>#DIV/0!</v>
      </c>
      <c r="AM96" s="6" t="e">
        <f t="shared" si="49"/>
        <v>#DIV/0!</v>
      </c>
      <c r="AN96" s="6" t="e">
        <f t="shared" si="50"/>
        <v>#DIV/0!</v>
      </c>
      <c r="AO96" s="57" t="e">
        <f t="shared" si="51"/>
        <v>#DIV/0!</v>
      </c>
      <c r="AP96" s="57" t="e">
        <f t="shared" si="55"/>
        <v>#DIV/0!</v>
      </c>
      <c r="AQ96" s="57" t="e">
        <f t="shared" si="56"/>
        <v>#DIV/0!</v>
      </c>
      <c r="AR96" s="57" t="e">
        <f t="shared" si="57"/>
        <v>#DIV/0!</v>
      </c>
      <c r="AS96" s="57" t="e">
        <f t="shared" si="58"/>
        <v>#DIV/0!</v>
      </c>
    </row>
    <row r="97" spans="1:45" ht="33" hidden="1" customHeight="1">
      <c r="A97" s="22">
        <v>0</v>
      </c>
      <c r="B97" s="22">
        <f>'INTERNAL TEST-1  '!B97</f>
        <v>0</v>
      </c>
      <c r="C97" s="202">
        <f>'INTERNAL TEST-1  '!C97</f>
        <v>0</v>
      </c>
      <c r="D97" s="12"/>
      <c r="E97" s="12"/>
      <c r="F97" s="12"/>
      <c r="G97" s="12"/>
      <c r="H97" s="12"/>
      <c r="I97" s="12"/>
      <c r="J97" s="12"/>
      <c r="K97" s="12"/>
      <c r="L97" s="12"/>
      <c r="M97" s="12"/>
      <c r="N97" s="12"/>
      <c r="O97" s="57"/>
      <c r="P97" s="57"/>
      <c r="Q97" s="12"/>
      <c r="R97" s="12"/>
      <c r="S97" s="12"/>
      <c r="T97" s="12"/>
      <c r="U97" s="13">
        <f t="shared" si="35"/>
        <v>0</v>
      </c>
      <c r="V97" s="13">
        <f t="shared" si="36"/>
        <v>0</v>
      </c>
      <c r="W97" s="13">
        <f t="shared" si="37"/>
        <v>0</v>
      </c>
      <c r="X97" s="13">
        <f t="shared" si="38"/>
        <v>0</v>
      </c>
      <c r="Y97" s="13">
        <f t="shared" si="39"/>
        <v>0</v>
      </c>
      <c r="Z97" s="13">
        <f t="shared" si="40"/>
        <v>0</v>
      </c>
      <c r="AA97" s="13">
        <f t="shared" si="41"/>
        <v>0</v>
      </c>
      <c r="AB97" s="13">
        <f t="shared" si="42"/>
        <v>0</v>
      </c>
      <c r="AC97" s="23">
        <f t="shared" si="59"/>
        <v>0</v>
      </c>
      <c r="AD97" s="23">
        <f t="shared" si="43"/>
        <v>0</v>
      </c>
      <c r="AE97" s="23">
        <f t="shared" si="52"/>
        <v>0</v>
      </c>
      <c r="AF97" s="23">
        <f t="shared" si="53"/>
        <v>0</v>
      </c>
      <c r="AG97" s="23">
        <f t="shared" si="54"/>
        <v>0</v>
      </c>
      <c r="AH97" s="13" t="e">
        <f t="shared" si="44"/>
        <v>#DIV/0!</v>
      </c>
      <c r="AI97" s="13" t="e">
        <f t="shared" si="45"/>
        <v>#DIV/0!</v>
      </c>
      <c r="AJ97" s="10" t="e">
        <f t="shared" si="46"/>
        <v>#DIV/0!</v>
      </c>
      <c r="AK97" s="6" t="e">
        <f t="shared" si="47"/>
        <v>#DIV/0!</v>
      </c>
      <c r="AL97" s="6" t="e">
        <f t="shared" si="48"/>
        <v>#DIV/0!</v>
      </c>
      <c r="AM97" s="6" t="e">
        <f t="shared" si="49"/>
        <v>#DIV/0!</v>
      </c>
      <c r="AN97" s="6" t="e">
        <f t="shared" si="50"/>
        <v>#DIV/0!</v>
      </c>
      <c r="AO97" s="57" t="e">
        <f t="shared" si="51"/>
        <v>#DIV/0!</v>
      </c>
      <c r="AP97" s="57" t="e">
        <f t="shared" si="55"/>
        <v>#DIV/0!</v>
      </c>
      <c r="AQ97" s="57" t="e">
        <f t="shared" si="56"/>
        <v>#DIV/0!</v>
      </c>
      <c r="AR97" s="57" t="e">
        <f t="shared" si="57"/>
        <v>#DIV/0!</v>
      </c>
      <c r="AS97" s="57" t="e">
        <f t="shared" si="58"/>
        <v>#DIV/0!</v>
      </c>
    </row>
    <row r="98" spans="1:45" ht="33" hidden="1" customHeight="1">
      <c r="A98" s="22">
        <v>0</v>
      </c>
      <c r="B98" s="22">
        <f>'INTERNAL TEST-1  '!B98</f>
        <v>0</v>
      </c>
      <c r="C98" s="202">
        <f>'INTERNAL TEST-1  '!C98</f>
        <v>0</v>
      </c>
      <c r="D98" s="12"/>
      <c r="E98" s="12"/>
      <c r="F98" s="12"/>
      <c r="G98" s="12"/>
      <c r="H98" s="12"/>
      <c r="I98" s="12"/>
      <c r="J98" s="12"/>
      <c r="K98" s="12"/>
      <c r="L98" s="12"/>
      <c r="M98" s="12"/>
      <c r="N98" s="12"/>
      <c r="O98" s="57"/>
      <c r="P98" s="57"/>
      <c r="Q98" s="12"/>
      <c r="R98" s="12"/>
      <c r="S98" s="12"/>
      <c r="T98" s="12"/>
      <c r="U98" s="13">
        <f t="shared" si="35"/>
        <v>0</v>
      </c>
      <c r="V98" s="13">
        <f t="shared" si="36"/>
        <v>0</v>
      </c>
      <c r="W98" s="13">
        <f t="shared" si="37"/>
        <v>0</v>
      </c>
      <c r="X98" s="13">
        <f t="shared" si="38"/>
        <v>0</v>
      </c>
      <c r="Y98" s="13">
        <f t="shared" si="39"/>
        <v>0</v>
      </c>
      <c r="Z98" s="13">
        <f t="shared" si="40"/>
        <v>0</v>
      </c>
      <c r="AA98" s="13">
        <f t="shared" si="41"/>
        <v>0</v>
      </c>
      <c r="AB98" s="13">
        <f t="shared" si="42"/>
        <v>0</v>
      </c>
      <c r="AC98" s="23">
        <f t="shared" si="59"/>
        <v>0</v>
      </c>
      <c r="AD98" s="23">
        <f t="shared" si="43"/>
        <v>0</v>
      </c>
      <c r="AE98" s="23">
        <f t="shared" si="52"/>
        <v>0</v>
      </c>
      <c r="AF98" s="23">
        <f t="shared" si="53"/>
        <v>0</v>
      </c>
      <c r="AG98" s="23">
        <f t="shared" si="54"/>
        <v>0</v>
      </c>
      <c r="AH98" s="13" t="e">
        <f t="shared" si="44"/>
        <v>#DIV/0!</v>
      </c>
      <c r="AI98" s="13" t="e">
        <f t="shared" si="45"/>
        <v>#DIV/0!</v>
      </c>
      <c r="AJ98" s="10" t="e">
        <f t="shared" si="46"/>
        <v>#DIV/0!</v>
      </c>
      <c r="AK98" s="6" t="e">
        <f t="shared" si="47"/>
        <v>#DIV/0!</v>
      </c>
      <c r="AL98" s="6" t="e">
        <f t="shared" si="48"/>
        <v>#DIV/0!</v>
      </c>
      <c r="AM98" s="6" t="e">
        <f t="shared" si="49"/>
        <v>#DIV/0!</v>
      </c>
      <c r="AN98" s="6" t="e">
        <f t="shared" si="50"/>
        <v>#DIV/0!</v>
      </c>
      <c r="AO98" s="57" t="e">
        <f t="shared" si="51"/>
        <v>#DIV/0!</v>
      </c>
      <c r="AP98" s="57" t="e">
        <f t="shared" si="55"/>
        <v>#DIV/0!</v>
      </c>
      <c r="AQ98" s="57" t="e">
        <f t="shared" si="56"/>
        <v>#DIV/0!</v>
      </c>
      <c r="AR98" s="57" t="e">
        <f t="shared" si="57"/>
        <v>#DIV/0!</v>
      </c>
      <c r="AS98" s="57" t="e">
        <f t="shared" si="58"/>
        <v>#DIV/0!</v>
      </c>
    </row>
    <row r="99" spans="1:45" ht="33" hidden="1" customHeight="1">
      <c r="A99" s="22">
        <v>0</v>
      </c>
      <c r="B99" s="22">
        <f>'INTERNAL TEST-1  '!B99</f>
        <v>0</v>
      </c>
      <c r="C99" s="202">
        <f>'INTERNAL TEST-1  '!C99</f>
        <v>0</v>
      </c>
      <c r="D99" s="12"/>
      <c r="E99" s="12"/>
      <c r="F99" s="12"/>
      <c r="G99" s="12"/>
      <c r="H99" s="12"/>
      <c r="I99" s="12"/>
      <c r="J99" s="12"/>
      <c r="K99" s="12"/>
      <c r="L99" s="12"/>
      <c r="M99" s="12"/>
      <c r="N99" s="12"/>
      <c r="O99" s="57"/>
      <c r="P99" s="57"/>
      <c r="Q99" s="12"/>
      <c r="R99" s="12"/>
      <c r="S99" s="12"/>
      <c r="T99" s="12"/>
      <c r="U99" s="13">
        <f t="shared" si="35"/>
        <v>0</v>
      </c>
      <c r="V99" s="13">
        <f t="shared" si="36"/>
        <v>0</v>
      </c>
      <c r="W99" s="13">
        <f t="shared" si="37"/>
        <v>0</v>
      </c>
      <c r="X99" s="13">
        <f t="shared" si="38"/>
        <v>0</v>
      </c>
      <c r="Y99" s="13">
        <f t="shared" si="39"/>
        <v>0</v>
      </c>
      <c r="Z99" s="13">
        <f t="shared" si="40"/>
        <v>0</v>
      </c>
      <c r="AA99" s="13">
        <f t="shared" si="41"/>
        <v>0</v>
      </c>
      <c r="AB99" s="13">
        <f t="shared" si="42"/>
        <v>0</v>
      </c>
      <c r="AC99" s="23">
        <f t="shared" si="59"/>
        <v>0</v>
      </c>
      <c r="AD99" s="23">
        <f t="shared" si="43"/>
        <v>0</v>
      </c>
      <c r="AE99" s="23">
        <f t="shared" si="52"/>
        <v>0</v>
      </c>
      <c r="AF99" s="23">
        <f t="shared" si="53"/>
        <v>0</v>
      </c>
      <c r="AG99" s="23">
        <f t="shared" si="54"/>
        <v>0</v>
      </c>
      <c r="AH99" s="13" t="e">
        <f t="shared" si="44"/>
        <v>#DIV/0!</v>
      </c>
      <c r="AI99" s="13" t="e">
        <f t="shared" si="45"/>
        <v>#DIV/0!</v>
      </c>
      <c r="AJ99" s="10" t="e">
        <f t="shared" si="46"/>
        <v>#DIV/0!</v>
      </c>
      <c r="AK99" s="6" t="e">
        <f t="shared" si="47"/>
        <v>#DIV/0!</v>
      </c>
      <c r="AL99" s="6" t="e">
        <f t="shared" si="48"/>
        <v>#DIV/0!</v>
      </c>
      <c r="AM99" s="6" t="e">
        <f t="shared" si="49"/>
        <v>#DIV/0!</v>
      </c>
      <c r="AN99" s="6" t="e">
        <f t="shared" si="50"/>
        <v>#DIV/0!</v>
      </c>
      <c r="AO99" s="57" t="e">
        <f t="shared" si="51"/>
        <v>#DIV/0!</v>
      </c>
      <c r="AP99" s="57" t="e">
        <f t="shared" si="55"/>
        <v>#DIV/0!</v>
      </c>
      <c r="AQ99" s="57" t="e">
        <f t="shared" si="56"/>
        <v>#DIV/0!</v>
      </c>
      <c r="AR99" s="57" t="e">
        <f t="shared" si="57"/>
        <v>#DIV/0!</v>
      </c>
      <c r="AS99" s="57" t="e">
        <f t="shared" si="58"/>
        <v>#DIV/0!</v>
      </c>
    </row>
    <row r="100" spans="1:45" ht="33" hidden="1" customHeight="1">
      <c r="A100" s="22">
        <v>0</v>
      </c>
      <c r="B100" s="22">
        <f>'INTERNAL TEST-1  '!B100</f>
        <v>0</v>
      </c>
      <c r="C100" s="202">
        <f>'INTERNAL TEST-1  '!C100</f>
        <v>0</v>
      </c>
      <c r="D100" s="12"/>
      <c r="E100" s="12"/>
      <c r="F100" s="12"/>
      <c r="G100" s="12"/>
      <c r="H100" s="12"/>
      <c r="I100" s="12"/>
      <c r="J100" s="12"/>
      <c r="K100" s="12"/>
      <c r="L100" s="12"/>
      <c r="M100" s="12"/>
      <c r="N100" s="12"/>
      <c r="O100" s="57"/>
      <c r="P100" s="57"/>
      <c r="Q100" s="12"/>
      <c r="R100" s="12"/>
      <c r="S100" s="12"/>
      <c r="T100" s="12"/>
      <c r="U100" s="13">
        <f t="shared" si="35"/>
        <v>0</v>
      </c>
      <c r="V100" s="13">
        <f t="shared" si="36"/>
        <v>0</v>
      </c>
      <c r="W100" s="13">
        <f t="shared" si="37"/>
        <v>0</v>
      </c>
      <c r="X100" s="13">
        <f t="shared" si="38"/>
        <v>0</v>
      </c>
      <c r="Y100" s="13">
        <f t="shared" si="39"/>
        <v>0</v>
      </c>
      <c r="Z100" s="13">
        <f t="shared" si="40"/>
        <v>0</v>
      </c>
      <c r="AA100" s="13">
        <f t="shared" si="41"/>
        <v>0</v>
      </c>
      <c r="AB100" s="13">
        <f t="shared" si="42"/>
        <v>0</v>
      </c>
      <c r="AC100" s="23">
        <f t="shared" si="59"/>
        <v>0</v>
      </c>
      <c r="AD100" s="23">
        <f t="shared" si="43"/>
        <v>0</v>
      </c>
      <c r="AE100" s="23">
        <f t="shared" si="52"/>
        <v>0</v>
      </c>
      <c r="AF100" s="23">
        <f t="shared" si="53"/>
        <v>0</v>
      </c>
      <c r="AG100" s="23">
        <f t="shared" si="54"/>
        <v>0</v>
      </c>
      <c r="AH100" s="13" t="e">
        <f t="shared" si="44"/>
        <v>#DIV/0!</v>
      </c>
      <c r="AI100" s="13" t="e">
        <f t="shared" si="45"/>
        <v>#DIV/0!</v>
      </c>
      <c r="AJ100" s="10" t="e">
        <f t="shared" si="46"/>
        <v>#DIV/0!</v>
      </c>
      <c r="AK100" s="6" t="e">
        <f t="shared" si="47"/>
        <v>#DIV/0!</v>
      </c>
      <c r="AL100" s="6" t="e">
        <f t="shared" si="48"/>
        <v>#DIV/0!</v>
      </c>
      <c r="AM100" s="6" t="e">
        <f t="shared" si="49"/>
        <v>#DIV/0!</v>
      </c>
      <c r="AN100" s="6" t="e">
        <f t="shared" si="50"/>
        <v>#DIV/0!</v>
      </c>
      <c r="AO100" s="57" t="e">
        <f t="shared" si="51"/>
        <v>#DIV/0!</v>
      </c>
      <c r="AP100" s="57" t="e">
        <f t="shared" si="55"/>
        <v>#DIV/0!</v>
      </c>
      <c r="AQ100" s="57" t="e">
        <f t="shared" si="56"/>
        <v>#DIV/0!</v>
      </c>
      <c r="AR100" s="57" t="e">
        <f t="shared" si="57"/>
        <v>#DIV/0!</v>
      </c>
      <c r="AS100" s="57" t="e">
        <f t="shared" si="58"/>
        <v>#DIV/0!</v>
      </c>
    </row>
    <row r="101" spans="1:45" ht="33" hidden="1" customHeight="1">
      <c r="A101" s="22">
        <v>0</v>
      </c>
      <c r="B101" s="22">
        <f>'INTERNAL TEST-1  '!B101</f>
        <v>0</v>
      </c>
      <c r="C101" s="202">
        <f>'INTERNAL TEST-1  '!C101</f>
        <v>0</v>
      </c>
      <c r="D101" s="12"/>
      <c r="E101" s="12"/>
      <c r="F101" s="12"/>
      <c r="G101" s="12"/>
      <c r="H101" s="12"/>
      <c r="I101" s="12"/>
      <c r="J101" s="12"/>
      <c r="K101" s="12"/>
      <c r="L101" s="12"/>
      <c r="M101" s="12"/>
      <c r="N101" s="12"/>
      <c r="O101" s="57"/>
      <c r="P101" s="57"/>
      <c r="Q101" s="12"/>
      <c r="R101" s="12"/>
      <c r="S101" s="12"/>
      <c r="T101" s="12"/>
      <c r="U101" s="13">
        <f t="shared" si="35"/>
        <v>0</v>
      </c>
      <c r="V101" s="13">
        <f t="shared" si="36"/>
        <v>0</v>
      </c>
      <c r="W101" s="13">
        <f t="shared" si="37"/>
        <v>0</v>
      </c>
      <c r="X101" s="13">
        <f t="shared" si="38"/>
        <v>0</v>
      </c>
      <c r="Y101" s="13">
        <f t="shared" si="39"/>
        <v>0</v>
      </c>
      <c r="Z101" s="13">
        <f t="shared" si="40"/>
        <v>0</v>
      </c>
      <c r="AA101" s="13">
        <f t="shared" si="41"/>
        <v>0</v>
      </c>
      <c r="AB101" s="13">
        <f t="shared" si="42"/>
        <v>0</v>
      </c>
      <c r="AC101" s="23">
        <f t="shared" si="59"/>
        <v>0</v>
      </c>
      <c r="AD101" s="23">
        <f t="shared" si="43"/>
        <v>0</v>
      </c>
      <c r="AE101" s="23">
        <f t="shared" si="52"/>
        <v>0</v>
      </c>
      <c r="AF101" s="23">
        <f t="shared" si="53"/>
        <v>0</v>
      </c>
      <c r="AG101" s="23">
        <f t="shared" si="54"/>
        <v>0</v>
      </c>
      <c r="AH101" s="13" t="e">
        <f t="shared" si="44"/>
        <v>#DIV/0!</v>
      </c>
      <c r="AI101" s="13" t="e">
        <f t="shared" si="45"/>
        <v>#DIV/0!</v>
      </c>
      <c r="AJ101" s="10" t="e">
        <f t="shared" si="46"/>
        <v>#DIV/0!</v>
      </c>
      <c r="AK101" s="6" t="e">
        <f t="shared" si="47"/>
        <v>#DIV/0!</v>
      </c>
      <c r="AL101" s="6" t="e">
        <f t="shared" si="48"/>
        <v>#DIV/0!</v>
      </c>
      <c r="AM101" s="6" t="e">
        <f t="shared" si="49"/>
        <v>#DIV/0!</v>
      </c>
      <c r="AN101" s="6" t="e">
        <f t="shared" si="50"/>
        <v>#DIV/0!</v>
      </c>
      <c r="AO101" s="57" t="e">
        <f t="shared" si="51"/>
        <v>#DIV/0!</v>
      </c>
      <c r="AP101" s="57" t="e">
        <f t="shared" si="55"/>
        <v>#DIV/0!</v>
      </c>
      <c r="AQ101" s="57" t="e">
        <f t="shared" si="56"/>
        <v>#DIV/0!</v>
      </c>
      <c r="AR101" s="57" t="e">
        <f t="shared" si="57"/>
        <v>#DIV/0!</v>
      </c>
      <c r="AS101" s="57" t="e">
        <f t="shared" si="58"/>
        <v>#DIV/0!</v>
      </c>
    </row>
    <row r="102" spans="1:45" ht="33" hidden="1" customHeight="1">
      <c r="A102" s="22">
        <v>0</v>
      </c>
      <c r="B102" s="22">
        <f>'INTERNAL TEST-1  '!B102</f>
        <v>0</v>
      </c>
      <c r="C102" s="202">
        <f>'INTERNAL TEST-1  '!C102</f>
        <v>0</v>
      </c>
      <c r="D102" s="12"/>
      <c r="E102" s="12"/>
      <c r="F102" s="12"/>
      <c r="G102" s="12"/>
      <c r="H102" s="12"/>
      <c r="I102" s="12"/>
      <c r="J102" s="12"/>
      <c r="K102" s="12"/>
      <c r="L102" s="12"/>
      <c r="M102" s="12"/>
      <c r="N102" s="12"/>
      <c r="O102" s="57"/>
      <c r="P102" s="57"/>
      <c r="Q102" s="12"/>
      <c r="R102" s="12"/>
      <c r="S102" s="12"/>
      <c r="T102" s="12"/>
      <c r="U102" s="13">
        <f t="shared" si="35"/>
        <v>0</v>
      </c>
      <c r="V102" s="13">
        <f t="shared" si="36"/>
        <v>0</v>
      </c>
      <c r="W102" s="13">
        <f t="shared" si="37"/>
        <v>0</v>
      </c>
      <c r="X102" s="13">
        <f t="shared" si="38"/>
        <v>0</v>
      </c>
      <c r="Y102" s="13">
        <f t="shared" si="39"/>
        <v>0</v>
      </c>
      <c r="Z102" s="13">
        <f t="shared" si="40"/>
        <v>0</v>
      </c>
      <c r="AA102" s="13">
        <f t="shared" si="41"/>
        <v>0</v>
      </c>
      <c r="AB102" s="13">
        <f t="shared" si="42"/>
        <v>0</v>
      </c>
      <c r="AC102" s="23">
        <f t="shared" si="59"/>
        <v>0</v>
      </c>
      <c r="AD102" s="23">
        <f t="shared" si="43"/>
        <v>0</v>
      </c>
      <c r="AE102" s="23">
        <f t="shared" si="52"/>
        <v>0</v>
      </c>
      <c r="AF102" s="23">
        <f t="shared" si="53"/>
        <v>0</v>
      </c>
      <c r="AG102" s="23">
        <f t="shared" si="54"/>
        <v>0</v>
      </c>
      <c r="AH102" s="13" t="e">
        <f t="shared" si="44"/>
        <v>#DIV/0!</v>
      </c>
      <c r="AI102" s="13" t="e">
        <f t="shared" si="45"/>
        <v>#DIV/0!</v>
      </c>
      <c r="AJ102" s="10" t="e">
        <f t="shared" si="46"/>
        <v>#DIV/0!</v>
      </c>
      <c r="AK102" s="6" t="e">
        <f t="shared" si="47"/>
        <v>#DIV/0!</v>
      </c>
      <c r="AL102" s="6" t="e">
        <f t="shared" si="48"/>
        <v>#DIV/0!</v>
      </c>
      <c r="AM102" s="6" t="e">
        <f t="shared" si="49"/>
        <v>#DIV/0!</v>
      </c>
      <c r="AN102" s="6" t="e">
        <f t="shared" si="50"/>
        <v>#DIV/0!</v>
      </c>
      <c r="AO102" s="57" t="e">
        <f t="shared" si="51"/>
        <v>#DIV/0!</v>
      </c>
      <c r="AP102" s="57" t="e">
        <f t="shared" si="55"/>
        <v>#DIV/0!</v>
      </c>
      <c r="AQ102" s="57" t="e">
        <f t="shared" si="56"/>
        <v>#DIV/0!</v>
      </c>
      <c r="AR102" s="57" t="e">
        <f t="shared" si="57"/>
        <v>#DIV/0!</v>
      </c>
      <c r="AS102" s="57" t="e">
        <f t="shared" si="58"/>
        <v>#DIV/0!</v>
      </c>
    </row>
    <row r="103" spans="1:45" ht="33" hidden="1" customHeight="1">
      <c r="A103" s="22">
        <v>0</v>
      </c>
      <c r="B103" s="22">
        <f>'INTERNAL TEST-1  '!B103</f>
        <v>0</v>
      </c>
      <c r="C103" s="202">
        <f>'INTERNAL TEST-1  '!C103</f>
        <v>0</v>
      </c>
      <c r="D103" s="12"/>
      <c r="E103" s="12"/>
      <c r="F103" s="12"/>
      <c r="G103" s="12"/>
      <c r="H103" s="12"/>
      <c r="I103" s="12"/>
      <c r="J103" s="12"/>
      <c r="K103" s="12"/>
      <c r="L103" s="12"/>
      <c r="M103" s="12"/>
      <c r="N103" s="12"/>
      <c r="O103" s="57"/>
      <c r="P103" s="57"/>
      <c r="Q103" s="12"/>
      <c r="R103" s="12"/>
      <c r="S103" s="12"/>
      <c r="T103" s="12"/>
      <c r="U103" s="13">
        <f t="shared" si="35"/>
        <v>0</v>
      </c>
      <c r="V103" s="13">
        <f t="shared" si="36"/>
        <v>0</v>
      </c>
      <c r="W103" s="13">
        <f t="shared" si="37"/>
        <v>0</v>
      </c>
      <c r="X103" s="13">
        <f t="shared" si="38"/>
        <v>0</v>
      </c>
      <c r="Y103" s="13">
        <f t="shared" si="39"/>
        <v>0</v>
      </c>
      <c r="Z103" s="13">
        <f t="shared" si="40"/>
        <v>0</v>
      </c>
      <c r="AA103" s="13">
        <f t="shared" si="41"/>
        <v>0</v>
      </c>
      <c r="AB103" s="13">
        <f t="shared" si="42"/>
        <v>0</v>
      </c>
      <c r="AC103" s="23">
        <f t="shared" si="59"/>
        <v>0</v>
      </c>
      <c r="AD103" s="23">
        <f t="shared" si="43"/>
        <v>0</v>
      </c>
      <c r="AE103" s="23">
        <f t="shared" si="52"/>
        <v>0</v>
      </c>
      <c r="AF103" s="23">
        <f t="shared" si="53"/>
        <v>0</v>
      </c>
      <c r="AG103" s="23">
        <f t="shared" si="54"/>
        <v>0</v>
      </c>
      <c r="AH103" s="13" t="e">
        <f t="shared" si="44"/>
        <v>#DIV/0!</v>
      </c>
      <c r="AI103" s="13" t="e">
        <f t="shared" si="45"/>
        <v>#DIV/0!</v>
      </c>
      <c r="AJ103" s="10" t="e">
        <f t="shared" si="46"/>
        <v>#DIV/0!</v>
      </c>
      <c r="AK103" s="6" t="e">
        <f t="shared" si="47"/>
        <v>#DIV/0!</v>
      </c>
      <c r="AL103" s="6" t="e">
        <f t="shared" si="48"/>
        <v>#DIV/0!</v>
      </c>
      <c r="AM103" s="6" t="e">
        <f t="shared" si="49"/>
        <v>#DIV/0!</v>
      </c>
      <c r="AN103" s="6" t="e">
        <f t="shared" si="50"/>
        <v>#DIV/0!</v>
      </c>
      <c r="AO103" s="57" t="e">
        <f t="shared" si="51"/>
        <v>#DIV/0!</v>
      </c>
      <c r="AP103" s="57" t="e">
        <f t="shared" si="55"/>
        <v>#DIV/0!</v>
      </c>
      <c r="AQ103" s="57" t="e">
        <f t="shared" si="56"/>
        <v>#DIV/0!</v>
      </c>
      <c r="AR103" s="57" t="e">
        <f t="shared" si="57"/>
        <v>#DIV/0!</v>
      </c>
      <c r="AS103" s="57" t="e">
        <f t="shared" si="58"/>
        <v>#DIV/0!</v>
      </c>
    </row>
    <row r="104" spans="1:45" ht="33" hidden="1" customHeight="1">
      <c r="A104" s="22">
        <v>0</v>
      </c>
      <c r="B104" s="22">
        <f>'INTERNAL TEST-1  '!B104</f>
        <v>0</v>
      </c>
      <c r="C104" s="202">
        <f>'INTERNAL TEST-1  '!C104</f>
        <v>0</v>
      </c>
      <c r="D104" s="12"/>
      <c r="E104" s="12"/>
      <c r="F104" s="12"/>
      <c r="G104" s="12"/>
      <c r="H104" s="12"/>
      <c r="I104" s="12"/>
      <c r="J104" s="12"/>
      <c r="K104" s="12"/>
      <c r="L104" s="12"/>
      <c r="M104" s="12"/>
      <c r="N104" s="12"/>
      <c r="O104" s="57"/>
      <c r="P104" s="57"/>
      <c r="Q104" s="12"/>
      <c r="R104" s="12"/>
      <c r="S104" s="12"/>
      <c r="T104" s="12"/>
      <c r="U104" s="13">
        <f t="shared" si="35"/>
        <v>0</v>
      </c>
      <c r="V104" s="13">
        <f t="shared" si="36"/>
        <v>0</v>
      </c>
      <c r="W104" s="13">
        <f t="shared" si="37"/>
        <v>0</v>
      </c>
      <c r="X104" s="13">
        <f t="shared" si="38"/>
        <v>0</v>
      </c>
      <c r="Y104" s="13">
        <f t="shared" si="39"/>
        <v>0</v>
      </c>
      <c r="Z104" s="13">
        <f t="shared" si="40"/>
        <v>0</v>
      </c>
      <c r="AA104" s="13">
        <f t="shared" si="41"/>
        <v>0</v>
      </c>
      <c r="AB104" s="13">
        <f t="shared" si="42"/>
        <v>0</v>
      </c>
      <c r="AC104" s="23">
        <f t="shared" si="59"/>
        <v>0</v>
      </c>
      <c r="AD104" s="23">
        <f t="shared" si="43"/>
        <v>0</v>
      </c>
      <c r="AE104" s="23">
        <f t="shared" si="52"/>
        <v>0</v>
      </c>
      <c r="AF104" s="23">
        <f t="shared" si="53"/>
        <v>0</v>
      </c>
      <c r="AG104" s="23">
        <f t="shared" si="54"/>
        <v>0</v>
      </c>
      <c r="AH104" s="13" t="e">
        <f t="shared" si="44"/>
        <v>#DIV/0!</v>
      </c>
      <c r="AI104" s="13" t="e">
        <f t="shared" si="45"/>
        <v>#DIV/0!</v>
      </c>
      <c r="AJ104" s="10" t="e">
        <f t="shared" si="46"/>
        <v>#DIV/0!</v>
      </c>
      <c r="AK104" s="6" t="e">
        <f t="shared" si="47"/>
        <v>#DIV/0!</v>
      </c>
      <c r="AL104" s="6" t="e">
        <f t="shared" si="48"/>
        <v>#DIV/0!</v>
      </c>
      <c r="AM104" s="6" t="e">
        <f t="shared" si="49"/>
        <v>#DIV/0!</v>
      </c>
      <c r="AN104" s="6" t="e">
        <f t="shared" si="50"/>
        <v>#DIV/0!</v>
      </c>
      <c r="AO104" s="57" t="e">
        <f t="shared" si="51"/>
        <v>#DIV/0!</v>
      </c>
      <c r="AP104" s="57" t="e">
        <f t="shared" si="55"/>
        <v>#DIV/0!</v>
      </c>
      <c r="AQ104" s="57" t="e">
        <f t="shared" si="56"/>
        <v>#DIV/0!</v>
      </c>
      <c r="AR104" s="57" t="e">
        <f t="shared" si="57"/>
        <v>#DIV/0!</v>
      </c>
      <c r="AS104" s="57" t="e">
        <f t="shared" si="58"/>
        <v>#DIV/0!</v>
      </c>
    </row>
    <row r="105" spans="1:45" ht="33" hidden="1" customHeight="1">
      <c r="A105" s="22">
        <v>0</v>
      </c>
      <c r="B105" s="22">
        <f>'INTERNAL TEST-1  '!B105</f>
        <v>0</v>
      </c>
      <c r="C105" s="202">
        <f>'INTERNAL TEST-1  '!C105</f>
        <v>0</v>
      </c>
      <c r="D105" s="12"/>
      <c r="E105" s="12"/>
      <c r="F105" s="12"/>
      <c r="G105" s="12"/>
      <c r="H105" s="12"/>
      <c r="I105" s="12"/>
      <c r="J105" s="12"/>
      <c r="K105" s="12"/>
      <c r="L105" s="12"/>
      <c r="M105" s="12"/>
      <c r="N105" s="12"/>
      <c r="O105" s="57"/>
      <c r="P105" s="57"/>
      <c r="Q105" s="12"/>
      <c r="R105" s="12"/>
      <c r="S105" s="12"/>
      <c r="T105" s="12"/>
      <c r="U105" s="13">
        <f t="shared" si="35"/>
        <v>0</v>
      </c>
      <c r="V105" s="13">
        <f t="shared" si="36"/>
        <v>0</v>
      </c>
      <c r="W105" s="13">
        <f t="shared" si="37"/>
        <v>0</v>
      </c>
      <c r="X105" s="13">
        <f t="shared" si="38"/>
        <v>0</v>
      </c>
      <c r="Y105" s="13">
        <f t="shared" si="39"/>
        <v>0</v>
      </c>
      <c r="Z105" s="13">
        <f t="shared" si="40"/>
        <v>0</v>
      </c>
      <c r="AA105" s="13">
        <f t="shared" si="41"/>
        <v>0</v>
      </c>
      <c r="AB105" s="13">
        <f t="shared" si="42"/>
        <v>0</v>
      </c>
      <c r="AC105" s="23">
        <f t="shared" si="59"/>
        <v>0</v>
      </c>
      <c r="AD105" s="23">
        <f t="shared" si="43"/>
        <v>0</v>
      </c>
      <c r="AE105" s="23">
        <f t="shared" si="52"/>
        <v>0</v>
      </c>
      <c r="AF105" s="23">
        <f t="shared" si="53"/>
        <v>0</v>
      </c>
      <c r="AG105" s="23">
        <f t="shared" si="54"/>
        <v>0</v>
      </c>
      <c r="AH105" s="13" t="e">
        <f t="shared" si="44"/>
        <v>#DIV/0!</v>
      </c>
      <c r="AI105" s="13" t="e">
        <f t="shared" si="45"/>
        <v>#DIV/0!</v>
      </c>
      <c r="AJ105" s="10" t="e">
        <f t="shared" si="46"/>
        <v>#DIV/0!</v>
      </c>
      <c r="AK105" s="6" t="e">
        <f t="shared" si="47"/>
        <v>#DIV/0!</v>
      </c>
      <c r="AL105" s="6" t="e">
        <f t="shared" si="48"/>
        <v>#DIV/0!</v>
      </c>
      <c r="AM105" s="6" t="e">
        <f t="shared" si="49"/>
        <v>#DIV/0!</v>
      </c>
      <c r="AN105" s="6" t="e">
        <f t="shared" si="50"/>
        <v>#DIV/0!</v>
      </c>
      <c r="AO105" s="57" t="e">
        <f t="shared" si="51"/>
        <v>#DIV/0!</v>
      </c>
      <c r="AP105" s="57" t="e">
        <f t="shared" si="55"/>
        <v>#DIV/0!</v>
      </c>
      <c r="AQ105" s="57" t="e">
        <f t="shared" si="56"/>
        <v>#DIV/0!</v>
      </c>
      <c r="AR105" s="57" t="e">
        <f t="shared" si="57"/>
        <v>#DIV/0!</v>
      </c>
      <c r="AS105" s="57" t="e">
        <f t="shared" si="58"/>
        <v>#DIV/0!</v>
      </c>
    </row>
    <row r="106" spans="1:45" ht="33" hidden="1" customHeight="1">
      <c r="A106" s="22">
        <v>0</v>
      </c>
      <c r="B106" s="22">
        <f>'INTERNAL TEST-1  '!B106</f>
        <v>0</v>
      </c>
      <c r="C106" s="202">
        <f>'INTERNAL TEST-1  '!C106</f>
        <v>0</v>
      </c>
      <c r="D106" s="12"/>
      <c r="E106" s="12"/>
      <c r="F106" s="12"/>
      <c r="G106" s="12"/>
      <c r="H106" s="12"/>
      <c r="I106" s="12"/>
      <c r="J106" s="12"/>
      <c r="K106" s="12"/>
      <c r="L106" s="12"/>
      <c r="M106" s="12"/>
      <c r="N106" s="12"/>
      <c r="O106" s="57"/>
      <c r="P106" s="57"/>
      <c r="Q106" s="12"/>
      <c r="R106" s="12"/>
      <c r="S106" s="12"/>
      <c r="T106" s="12"/>
      <c r="U106" s="13">
        <f t="shared" si="35"/>
        <v>0</v>
      </c>
      <c r="V106" s="13">
        <f t="shared" si="36"/>
        <v>0</v>
      </c>
      <c r="W106" s="13">
        <f t="shared" si="37"/>
        <v>0</v>
      </c>
      <c r="X106" s="13">
        <f t="shared" si="38"/>
        <v>0</v>
      </c>
      <c r="Y106" s="13">
        <f t="shared" si="39"/>
        <v>0</v>
      </c>
      <c r="Z106" s="13">
        <f t="shared" si="40"/>
        <v>0</v>
      </c>
      <c r="AA106" s="13">
        <f t="shared" si="41"/>
        <v>0</v>
      </c>
      <c r="AB106" s="13">
        <f t="shared" si="42"/>
        <v>0</v>
      </c>
      <c r="AC106" s="23">
        <f t="shared" si="59"/>
        <v>0</v>
      </c>
      <c r="AD106" s="23">
        <f t="shared" si="43"/>
        <v>0</v>
      </c>
      <c r="AE106" s="23">
        <f t="shared" si="52"/>
        <v>0</v>
      </c>
      <c r="AF106" s="23">
        <f t="shared" si="53"/>
        <v>0</v>
      </c>
      <c r="AG106" s="23">
        <f t="shared" si="54"/>
        <v>0</v>
      </c>
      <c r="AH106" s="13" t="e">
        <f t="shared" si="44"/>
        <v>#DIV/0!</v>
      </c>
      <c r="AI106" s="13" t="e">
        <f t="shared" si="45"/>
        <v>#DIV/0!</v>
      </c>
      <c r="AJ106" s="10" t="e">
        <f t="shared" si="46"/>
        <v>#DIV/0!</v>
      </c>
      <c r="AK106" s="6" t="e">
        <f t="shared" si="47"/>
        <v>#DIV/0!</v>
      </c>
      <c r="AL106" s="6" t="e">
        <f t="shared" si="48"/>
        <v>#DIV/0!</v>
      </c>
      <c r="AM106" s="6" t="e">
        <f t="shared" si="49"/>
        <v>#DIV/0!</v>
      </c>
      <c r="AN106" s="6" t="e">
        <f t="shared" si="50"/>
        <v>#DIV/0!</v>
      </c>
      <c r="AO106" s="57" t="e">
        <f t="shared" si="51"/>
        <v>#DIV/0!</v>
      </c>
      <c r="AP106" s="57" t="e">
        <f t="shared" si="55"/>
        <v>#DIV/0!</v>
      </c>
      <c r="AQ106" s="57" t="e">
        <f t="shared" si="56"/>
        <v>#DIV/0!</v>
      </c>
      <c r="AR106" s="57" t="e">
        <f t="shared" si="57"/>
        <v>#DIV/0!</v>
      </c>
      <c r="AS106" s="57" t="e">
        <f t="shared" si="58"/>
        <v>#DIV/0!</v>
      </c>
    </row>
    <row r="107" spans="1:45" ht="33" hidden="1" customHeight="1">
      <c r="A107" s="22">
        <v>0</v>
      </c>
      <c r="B107" s="22">
        <f>'INTERNAL TEST-1  '!B107</f>
        <v>0</v>
      </c>
      <c r="C107" s="202">
        <f>'INTERNAL TEST-1  '!C107</f>
        <v>0</v>
      </c>
      <c r="D107" s="12"/>
      <c r="E107" s="12"/>
      <c r="F107" s="12"/>
      <c r="G107" s="12"/>
      <c r="H107" s="12"/>
      <c r="I107" s="12"/>
      <c r="J107" s="12"/>
      <c r="K107" s="12"/>
      <c r="L107" s="12"/>
      <c r="M107" s="12"/>
      <c r="N107" s="12"/>
      <c r="O107" s="57"/>
      <c r="P107" s="57"/>
      <c r="Q107" s="12"/>
      <c r="R107" s="12"/>
      <c r="S107" s="12"/>
      <c r="T107" s="12"/>
      <c r="U107" s="13">
        <f t="shared" si="35"/>
        <v>0</v>
      </c>
      <c r="V107" s="13">
        <f t="shared" si="36"/>
        <v>0</v>
      </c>
      <c r="W107" s="13">
        <f t="shared" si="37"/>
        <v>0</v>
      </c>
      <c r="X107" s="13">
        <f t="shared" si="38"/>
        <v>0</v>
      </c>
      <c r="Y107" s="13">
        <f t="shared" si="39"/>
        <v>0</v>
      </c>
      <c r="Z107" s="13">
        <f t="shared" si="40"/>
        <v>0</v>
      </c>
      <c r="AA107" s="13">
        <f t="shared" si="41"/>
        <v>0</v>
      </c>
      <c r="AB107" s="13">
        <f t="shared" si="42"/>
        <v>0</v>
      </c>
      <c r="AC107" s="23">
        <f t="shared" si="59"/>
        <v>0</v>
      </c>
      <c r="AD107" s="23">
        <f t="shared" si="43"/>
        <v>0</v>
      </c>
      <c r="AE107" s="23">
        <f t="shared" si="52"/>
        <v>0</v>
      </c>
      <c r="AF107" s="23">
        <f t="shared" si="53"/>
        <v>0</v>
      </c>
      <c r="AG107" s="23">
        <f t="shared" si="54"/>
        <v>0</v>
      </c>
      <c r="AH107" s="13" t="e">
        <f t="shared" si="44"/>
        <v>#DIV/0!</v>
      </c>
      <c r="AI107" s="13" t="e">
        <f t="shared" si="45"/>
        <v>#DIV/0!</v>
      </c>
      <c r="AJ107" s="10" t="e">
        <f t="shared" si="46"/>
        <v>#DIV/0!</v>
      </c>
      <c r="AK107" s="6" t="e">
        <f t="shared" si="47"/>
        <v>#DIV/0!</v>
      </c>
      <c r="AL107" s="6" t="e">
        <f t="shared" si="48"/>
        <v>#DIV/0!</v>
      </c>
      <c r="AM107" s="6" t="e">
        <f t="shared" si="49"/>
        <v>#DIV/0!</v>
      </c>
      <c r="AN107" s="6" t="e">
        <f t="shared" si="50"/>
        <v>#DIV/0!</v>
      </c>
      <c r="AO107" s="57" t="e">
        <f t="shared" si="51"/>
        <v>#DIV/0!</v>
      </c>
      <c r="AP107" s="57" t="e">
        <f t="shared" si="55"/>
        <v>#DIV/0!</v>
      </c>
      <c r="AQ107" s="57" t="e">
        <f t="shared" si="56"/>
        <v>#DIV/0!</v>
      </c>
      <c r="AR107" s="57" t="e">
        <f t="shared" si="57"/>
        <v>#DIV/0!</v>
      </c>
      <c r="AS107" s="57" t="e">
        <f t="shared" si="58"/>
        <v>#DIV/0!</v>
      </c>
    </row>
    <row r="108" spans="1:45" ht="33" hidden="1" customHeight="1">
      <c r="A108" s="22">
        <v>0</v>
      </c>
      <c r="B108" s="22">
        <f>'INTERNAL TEST-1  '!B108</f>
        <v>0</v>
      </c>
      <c r="C108" s="202">
        <f>'INTERNAL TEST-1  '!C108</f>
        <v>0</v>
      </c>
      <c r="D108" s="12"/>
      <c r="E108" s="12"/>
      <c r="F108" s="12"/>
      <c r="G108" s="12"/>
      <c r="H108" s="12"/>
      <c r="I108" s="12"/>
      <c r="J108" s="12"/>
      <c r="K108" s="12"/>
      <c r="L108" s="12"/>
      <c r="M108" s="12"/>
      <c r="N108" s="12"/>
      <c r="O108" s="57"/>
      <c r="P108" s="57"/>
      <c r="Q108" s="12"/>
      <c r="R108" s="12"/>
      <c r="S108" s="12"/>
      <c r="T108" s="12"/>
      <c r="U108" s="13">
        <f t="shared" si="35"/>
        <v>0</v>
      </c>
      <c r="V108" s="13">
        <f t="shared" si="36"/>
        <v>0</v>
      </c>
      <c r="W108" s="13">
        <f t="shared" si="37"/>
        <v>0</v>
      </c>
      <c r="X108" s="13">
        <f t="shared" si="38"/>
        <v>0</v>
      </c>
      <c r="Y108" s="13">
        <f t="shared" si="39"/>
        <v>0</v>
      </c>
      <c r="Z108" s="13">
        <f t="shared" si="40"/>
        <v>0</v>
      </c>
      <c r="AA108" s="13">
        <f t="shared" si="41"/>
        <v>0</v>
      </c>
      <c r="AB108" s="13">
        <f t="shared" si="42"/>
        <v>0</v>
      </c>
      <c r="AC108" s="23">
        <f t="shared" si="59"/>
        <v>0</v>
      </c>
      <c r="AD108" s="23">
        <f t="shared" si="43"/>
        <v>0</v>
      </c>
      <c r="AE108" s="23">
        <f t="shared" si="52"/>
        <v>0</v>
      </c>
      <c r="AF108" s="23">
        <f t="shared" si="53"/>
        <v>0</v>
      </c>
      <c r="AG108" s="23">
        <f t="shared" si="54"/>
        <v>0</v>
      </c>
      <c r="AH108" s="13" t="e">
        <f t="shared" si="44"/>
        <v>#DIV/0!</v>
      </c>
      <c r="AI108" s="13" t="e">
        <f t="shared" si="45"/>
        <v>#DIV/0!</v>
      </c>
      <c r="AJ108" s="10" t="e">
        <f t="shared" si="46"/>
        <v>#DIV/0!</v>
      </c>
      <c r="AK108" s="6" t="e">
        <f t="shared" si="47"/>
        <v>#DIV/0!</v>
      </c>
      <c r="AL108" s="6" t="e">
        <f t="shared" si="48"/>
        <v>#DIV/0!</v>
      </c>
      <c r="AM108" s="6" t="e">
        <f t="shared" si="49"/>
        <v>#DIV/0!</v>
      </c>
      <c r="AN108" s="6" t="e">
        <f t="shared" si="50"/>
        <v>#DIV/0!</v>
      </c>
      <c r="AO108" s="57" t="e">
        <f t="shared" si="51"/>
        <v>#DIV/0!</v>
      </c>
      <c r="AP108" s="57" t="e">
        <f t="shared" si="55"/>
        <v>#DIV/0!</v>
      </c>
      <c r="AQ108" s="57" t="e">
        <f t="shared" si="56"/>
        <v>#DIV/0!</v>
      </c>
      <c r="AR108" s="57" t="e">
        <f t="shared" si="57"/>
        <v>#DIV/0!</v>
      </c>
      <c r="AS108" s="57" t="e">
        <f t="shared" si="58"/>
        <v>#DIV/0!</v>
      </c>
    </row>
    <row r="109" spans="1:45" ht="33" hidden="1" customHeight="1">
      <c r="A109" s="22">
        <v>0</v>
      </c>
      <c r="B109" s="22">
        <f>'INTERNAL TEST-1  '!B109</f>
        <v>0</v>
      </c>
      <c r="C109" s="202">
        <f>'INTERNAL TEST-1  '!C109</f>
        <v>0</v>
      </c>
      <c r="D109" s="12"/>
      <c r="E109" s="12"/>
      <c r="F109" s="12"/>
      <c r="G109" s="12"/>
      <c r="H109" s="12"/>
      <c r="I109" s="12"/>
      <c r="J109" s="12"/>
      <c r="K109" s="12"/>
      <c r="L109" s="12"/>
      <c r="M109" s="12"/>
      <c r="N109" s="12"/>
      <c r="O109" s="57"/>
      <c r="P109" s="57"/>
      <c r="Q109" s="12"/>
      <c r="R109" s="12"/>
      <c r="S109" s="12"/>
      <c r="T109" s="12"/>
      <c r="U109" s="13">
        <f t="shared" si="35"/>
        <v>0</v>
      </c>
      <c r="V109" s="13">
        <f t="shared" si="36"/>
        <v>0</v>
      </c>
      <c r="W109" s="13">
        <f t="shared" si="37"/>
        <v>0</v>
      </c>
      <c r="X109" s="13">
        <f t="shared" si="38"/>
        <v>0</v>
      </c>
      <c r="Y109" s="13">
        <f t="shared" si="39"/>
        <v>0</v>
      </c>
      <c r="Z109" s="13">
        <f t="shared" si="40"/>
        <v>0</v>
      </c>
      <c r="AA109" s="13">
        <f t="shared" si="41"/>
        <v>0</v>
      </c>
      <c r="AB109" s="13">
        <f t="shared" si="42"/>
        <v>0</v>
      </c>
      <c r="AC109" s="23">
        <f t="shared" si="59"/>
        <v>0</v>
      </c>
      <c r="AD109" s="23">
        <f t="shared" si="43"/>
        <v>0</v>
      </c>
      <c r="AE109" s="23">
        <f t="shared" si="52"/>
        <v>0</v>
      </c>
      <c r="AF109" s="23">
        <f t="shared" si="53"/>
        <v>0</v>
      </c>
      <c r="AG109" s="23">
        <f t="shared" si="54"/>
        <v>0</v>
      </c>
      <c r="AH109" s="13" t="e">
        <f t="shared" si="44"/>
        <v>#DIV/0!</v>
      </c>
      <c r="AI109" s="13" t="e">
        <f t="shared" si="45"/>
        <v>#DIV/0!</v>
      </c>
      <c r="AJ109" s="10" t="e">
        <f t="shared" si="46"/>
        <v>#DIV/0!</v>
      </c>
      <c r="AK109" s="6" t="e">
        <f t="shared" si="47"/>
        <v>#DIV/0!</v>
      </c>
      <c r="AL109" s="6" t="e">
        <f t="shared" si="48"/>
        <v>#DIV/0!</v>
      </c>
      <c r="AM109" s="6" t="e">
        <f t="shared" si="49"/>
        <v>#DIV/0!</v>
      </c>
      <c r="AN109" s="6" t="e">
        <f t="shared" si="50"/>
        <v>#DIV/0!</v>
      </c>
      <c r="AO109" s="57" t="e">
        <f t="shared" si="51"/>
        <v>#DIV/0!</v>
      </c>
      <c r="AP109" s="57" t="e">
        <f t="shared" si="55"/>
        <v>#DIV/0!</v>
      </c>
      <c r="AQ109" s="57" t="e">
        <f t="shared" si="56"/>
        <v>#DIV/0!</v>
      </c>
      <c r="AR109" s="57" t="e">
        <f t="shared" si="57"/>
        <v>#DIV/0!</v>
      </c>
      <c r="AS109" s="57" t="e">
        <f t="shared" si="58"/>
        <v>#DIV/0!</v>
      </c>
    </row>
    <row r="110" spans="1:45" ht="33" hidden="1" customHeight="1">
      <c r="A110" s="22">
        <v>0</v>
      </c>
      <c r="B110" s="22">
        <f>'INTERNAL TEST-1  '!B110</f>
        <v>0</v>
      </c>
      <c r="C110" s="202">
        <f>'INTERNAL TEST-1  '!C110</f>
        <v>0</v>
      </c>
      <c r="D110" s="12"/>
      <c r="E110" s="12"/>
      <c r="F110" s="12"/>
      <c r="G110" s="12"/>
      <c r="H110" s="12"/>
      <c r="I110" s="12"/>
      <c r="J110" s="12"/>
      <c r="K110" s="12"/>
      <c r="L110" s="12"/>
      <c r="M110" s="12"/>
      <c r="N110" s="12"/>
      <c r="O110" s="57"/>
      <c r="P110" s="57"/>
      <c r="Q110" s="12"/>
      <c r="R110" s="12"/>
      <c r="S110" s="12"/>
      <c r="T110" s="12"/>
      <c r="U110" s="13">
        <f t="shared" si="35"/>
        <v>0</v>
      </c>
      <c r="V110" s="13">
        <f t="shared" si="36"/>
        <v>0</v>
      </c>
      <c r="W110" s="13">
        <f t="shared" si="37"/>
        <v>0</v>
      </c>
      <c r="X110" s="13">
        <f t="shared" si="38"/>
        <v>0</v>
      </c>
      <c r="Y110" s="13">
        <f t="shared" si="39"/>
        <v>0</v>
      </c>
      <c r="Z110" s="13">
        <f t="shared" si="40"/>
        <v>0</v>
      </c>
      <c r="AA110" s="13">
        <f t="shared" si="41"/>
        <v>0</v>
      </c>
      <c r="AB110" s="13">
        <f t="shared" si="42"/>
        <v>0</v>
      </c>
      <c r="AC110" s="23">
        <f t="shared" si="59"/>
        <v>0</v>
      </c>
      <c r="AD110" s="23">
        <f t="shared" ref="AD110:AD139" si="60">IF($D$12="CO9",D110,0)+IF($E$12="CO9",E110,0)+IF($F$12="CO9",F110,0)+IF($G$12="CO9",G110,0)+IF($H$12="CO9",H110,0)+IF($I$12="CO9",I110,0)+IF($J$12="CO9",J110,0)+IF($K$12="CO9",K110,0)+IF($L$12="CO9",L110,0)+IF($M$12="CO9",M110,0)+IF($N$12="CO9",N110,0)+IF($O$12="CO9",O110,0)+IF($P$12="CO9",P110,0)+IF($Q$12="CO9",Q110,0)+IF($R$12="CO9",R110,0)+IF($S$12="CO9",S110,0)+IF($T$12="CO9",T110,0)</f>
        <v>0</v>
      </c>
      <c r="AE110" s="23">
        <f t="shared" si="52"/>
        <v>0</v>
      </c>
      <c r="AF110" s="23">
        <f t="shared" si="53"/>
        <v>0</v>
      </c>
      <c r="AG110" s="23">
        <f t="shared" si="54"/>
        <v>0</v>
      </c>
      <c r="AH110" s="13" t="e">
        <f t="shared" ref="AH110:AH139" si="61">ROUND(V110/(IF($D$12="CO1",$D$13,0)+IF($E$12="CO1",$E$13,0)+IF($F$12="CO1",$F$13,0)+IF($G$12="CO1",$G$13,0)+IF($H$12="CO1",$H$13,0)+IF($I$12="CO1",$I$13,0)+IF($J$12="CO1",$J$13,0)+IF($K$12="CO1",$K$13,0)+IF($L$12="CO1",$L$13,0)+IF($M$12="CO1",$M$13,0)+IF($N$12="CO1",$N$13,0)+IF($O$12="CO1",$O$13,0)+IF($P$12="CO1",$P$13,0)+IF($Q$12="CO1",$Q$13,0)+IF($R$12="CO1",$R$13,0)+IF($S$12="CO1",$S$13,0)+IF($T$12="CO1",$T$13,0))*100,2)</f>
        <v>#DIV/0!</v>
      </c>
      <c r="AI110" s="13" t="e">
        <f t="shared" ref="AI110:AI139" si="62">ROUND(W110/(IF($D$12="CO2",$D$13,0)+IF($E$12="CO2",$E$13,0)+IF($F$12="CO2",$F$13,0)+IF($G$12="CO2",$G$13,0)+IF($H$12="CO2",$H$13,0)+IF($I$12="CO2",$I$13,0)+IF($J$12="CO2",$J$13,0)+IF($K$12="CO2",$K$13,0)+IF($L$12="CO2",$L$13,0)+IF($M$12="CO2",$M$13,0)+IF($N$12="CO2",$N$13,0)+IF($O$12="CO2",$O$13,0)+IF($P$12="CO2",$P$13,0)+IF($Q$12="CO2",$Q$13,0)+IF($R$12="CO2",$R$13,0)+IF($S$12="CO2",$S$13,0)+IF($T$12="CO2",$T$13,0))*100,2)</f>
        <v>#DIV/0!</v>
      </c>
      <c r="AJ110" s="10" t="e">
        <f t="shared" ref="AJ110:AJ139" si="63">ROUND(X110/(IF($D$12="CO3",$D$13,0)+IF($E$12="CO3",$E$13,0)+IF($F$12="CO3",$F$13,0)+IF($G$12="CO3",$G$13,0)+IF($H$12="CO3",$H$13,0)+IF($I$12="CO3",$I$13,0)+IF($J$12="CO3",$J$13,0)+IF($K$12="CO3",$K$13,0)+IF($L$12="CO3",$L$13,0)+IF($M$12="CO3",$M$13,0)+IF($N$12="CO3",$N$13,0)+IF($O$12="CO3",$O$13,0)+IF($P$12="CO3",$P$13,0)+IF($Q$12="CO3",$Q$13,0)+IF($R$12="CO3",$R$13,0)+IF($S$12="CO3",$S$13,0)+IF($T$12="CO3",$T$13,0))*100,2)</f>
        <v>#DIV/0!</v>
      </c>
      <c r="AK110" s="6" t="e">
        <f t="shared" ref="AK110:AK139" si="64">ROUND(Y110/(IF($D$12="CO4",$D$13,0)+IF($E$12="CO4",$E$13,0)+IF($F$12="CO4",$F$13,0)+IF($G$12="CO4",$G$13,0)+IF($H$12="CO4",$H$13,0)+IF($I$12="CO4",$I$13,0)+IF($J$12="CO4",$J$13,0)+IF($K$12="CO4",$K$13,0)+IF($L$12="CO4",$L$13,0)+IF($M$12="CO4",$M$13,0)+IF($N$12="CO4",$N$13,0)+IF($O$12="CO4",$O$13,0)+IF($P$12="CO4",$P$13,0)+IF($Q$12="CO4",$Q$13,0)+IF($R$12="CO4",$R$13,0)+IF($S$12="CO4",$S$13,0)+IF($T$12="CO4",$T$13,0))*100,2)</f>
        <v>#DIV/0!</v>
      </c>
      <c r="AL110" s="6" t="e">
        <f t="shared" ref="AL110:AL139" si="65">ROUND(Z110/(IF($D$12="CO5",$D$13,0)+IF($E$12="CO5",$E$13,0)+IF($F$12="CO5",$F$13,0)+IF($G$12="CO5",$G$13,0)+IF($H$12="CO5",$H$13,0)+IF($I$12="CO5",$I$13,0)+IF($J$12="CO5",$J$13,0)+IF($K$12="CO5",$K$13,0)+IF($L$12="CO5",$L$13,0)+IF($M$12="CO5",$M$13,0)+IF($N$12="CO5",$N$13,0)+IF($O$12="CO5",$O$13,0)+IF($P$12="CO5",$P$13,0)+IF($Q$12="CO5",$Q$13,0)+IF($R$12="CO5",$R$13,0)+IF($S$12="CO5",$S$13,0)+IF($T$12="CO5",$T$13,0))*100,2)</f>
        <v>#DIV/0!</v>
      </c>
      <c r="AM110" s="6" t="e">
        <f t="shared" ref="AM110:AM139" si="66">ROUND(AA110/(IF($D$12="CO6",$D$13,0)+IF($E$12="CO6",$E$13,0)+IF($F$12="CO6",$F$13,0)+IF($G$12="CO6",$G$13,0)+IF($H$12="CO6",$H$13,0)+IF($I$12="CO6",$I$13,0)+IF($J$12="CO6",$J$13,0)+IF($K$12="CO6",$K$13,0)+IF($L$12="CO6",$L$13,0)+IF($M$12="CO6",$M$13,0)+IF($N$12="CO6",$N$13,0)+IF($O$12="CO6",$O$13,0)+IF($P$12="CO6",$P$13,0)+IF($Q$12="CO6",$Q$13,0)+IF($R$12="CO6",$R$13,0)+IF($S$12="CO6",$S$13,0)+IF($T$12="CO6",$T$13,0))*100,2)</f>
        <v>#DIV/0!</v>
      </c>
      <c r="AN110" s="6" t="e">
        <f t="shared" ref="AN110:AN139" si="67">ROUND(AB110/(IF($D$12="CO7",$D$13,0)+IF($E$12="CO7",$E$13,0)+IF($F$12="CO7",$F$13,0)+IF($G$12="CO7",$G$13,0)+IF($H$12="CO7",$H$13,0)+IF($I$12="CO7",$I$13,0)+IF($J$12="CO7",$J$13,0)+IF($K$12="CO7",$K$13,0)+IF($L$12="CO7",$L$13,0)+IF($M$12="CO7",$M$13,0)+IF($N$12="CO7",$N$13,0)+IF($O$12="CO7",$O$13,0)+IF($P$12="CO7",$P$13,0)+IF($Q$12="CO7",$Q$13,0)+IF($R$12="CO7",$R$13,0)+IF($S$12="CO7",$S$13,0)+IF($T$12="CO7",$T$13,0))*100,2)</f>
        <v>#DIV/0!</v>
      </c>
      <c r="AO110" s="57" t="e">
        <f t="shared" ref="AO110:AO139" si="68">ROUND(AC110/(IF($D$12="CO8",$D$13,0)+IF($E$12="CO8",$E$13,0)+IF($F$12="CO8",$F$13,0)+IF($G$12="CO8",$G$13,0)+IF($H$12="CO8",$H$13,0)+IF($I$12="CO8",$I$13,0)+IF($J$12="CO8",$J$13,0)+IF($K$12="CO8",$K$13,0)+IF($L$12="CO8",$L$13,0)+IF($M$12="CO8",$M$13,0)+IF($N$12="CO8",$N$13,0)+IF($O$12="CO8",$O$13,0)+IF($P$12="CO8",$P$13,0)+IF($Q$12="CO8",$Q$13,0)+IF($R$12="CO8",$R$13,0)+IF($S$12="CO8",$S$13,0)+IF($T$12="CO8",$T$13,0))*100,2)</f>
        <v>#DIV/0!</v>
      </c>
      <c r="AP110" s="57" t="e">
        <f t="shared" si="55"/>
        <v>#DIV/0!</v>
      </c>
      <c r="AQ110" s="57" t="e">
        <f t="shared" si="56"/>
        <v>#DIV/0!</v>
      </c>
      <c r="AR110" s="57" t="e">
        <f t="shared" si="57"/>
        <v>#DIV/0!</v>
      </c>
      <c r="AS110" s="57" t="e">
        <f t="shared" si="58"/>
        <v>#DIV/0!</v>
      </c>
    </row>
    <row r="111" spans="1:45" ht="33" hidden="1" customHeight="1">
      <c r="A111" s="22">
        <v>0</v>
      </c>
      <c r="B111" s="22">
        <f>'INTERNAL TEST-1  '!B111</f>
        <v>0</v>
      </c>
      <c r="C111" s="202">
        <f>'INTERNAL TEST-1  '!C111</f>
        <v>0</v>
      </c>
      <c r="D111" s="12"/>
      <c r="E111" s="12"/>
      <c r="F111" s="12"/>
      <c r="G111" s="12"/>
      <c r="H111" s="12"/>
      <c r="I111" s="12"/>
      <c r="J111" s="12"/>
      <c r="K111" s="12"/>
      <c r="L111" s="12"/>
      <c r="M111" s="12"/>
      <c r="N111" s="12"/>
      <c r="O111" s="57"/>
      <c r="P111" s="57"/>
      <c r="Q111" s="12"/>
      <c r="R111" s="12"/>
      <c r="S111" s="12"/>
      <c r="T111" s="12"/>
      <c r="U111" s="13">
        <f t="shared" si="35"/>
        <v>0</v>
      </c>
      <c r="V111" s="13">
        <f t="shared" si="36"/>
        <v>0</v>
      </c>
      <c r="W111" s="13">
        <f t="shared" si="37"/>
        <v>0</v>
      </c>
      <c r="X111" s="13">
        <f t="shared" si="38"/>
        <v>0</v>
      </c>
      <c r="Y111" s="13">
        <f t="shared" si="39"/>
        <v>0</v>
      </c>
      <c r="Z111" s="13">
        <f t="shared" si="40"/>
        <v>0</v>
      </c>
      <c r="AA111" s="13">
        <f t="shared" si="41"/>
        <v>0</v>
      </c>
      <c r="AB111" s="13">
        <f t="shared" si="42"/>
        <v>0</v>
      </c>
      <c r="AC111" s="23">
        <f t="shared" si="59"/>
        <v>0</v>
      </c>
      <c r="AD111" s="23">
        <f t="shared" si="60"/>
        <v>0</v>
      </c>
      <c r="AE111" s="23">
        <f t="shared" si="52"/>
        <v>0</v>
      </c>
      <c r="AF111" s="23">
        <f t="shared" si="53"/>
        <v>0</v>
      </c>
      <c r="AG111" s="23">
        <f t="shared" si="54"/>
        <v>0</v>
      </c>
      <c r="AH111" s="13" t="e">
        <f t="shared" si="61"/>
        <v>#DIV/0!</v>
      </c>
      <c r="AI111" s="13" t="e">
        <f t="shared" si="62"/>
        <v>#DIV/0!</v>
      </c>
      <c r="AJ111" s="10" t="e">
        <f t="shared" si="63"/>
        <v>#DIV/0!</v>
      </c>
      <c r="AK111" s="6" t="e">
        <f t="shared" si="64"/>
        <v>#DIV/0!</v>
      </c>
      <c r="AL111" s="6" t="e">
        <f t="shared" si="65"/>
        <v>#DIV/0!</v>
      </c>
      <c r="AM111" s="6" t="e">
        <f t="shared" si="66"/>
        <v>#DIV/0!</v>
      </c>
      <c r="AN111" s="6" t="e">
        <f t="shared" si="67"/>
        <v>#DIV/0!</v>
      </c>
      <c r="AO111" s="57" t="e">
        <f t="shared" si="68"/>
        <v>#DIV/0!</v>
      </c>
      <c r="AP111" s="57" t="e">
        <f t="shared" si="55"/>
        <v>#DIV/0!</v>
      </c>
      <c r="AQ111" s="57" t="e">
        <f t="shared" si="56"/>
        <v>#DIV/0!</v>
      </c>
      <c r="AR111" s="57" t="e">
        <f t="shared" si="57"/>
        <v>#DIV/0!</v>
      </c>
      <c r="AS111" s="57" t="e">
        <f t="shared" si="58"/>
        <v>#DIV/0!</v>
      </c>
    </row>
    <row r="112" spans="1:45" ht="33" hidden="1" customHeight="1">
      <c r="A112" s="22">
        <v>0</v>
      </c>
      <c r="B112" s="22">
        <f>'INTERNAL TEST-1  '!B112</f>
        <v>0</v>
      </c>
      <c r="C112" s="202">
        <f>'INTERNAL TEST-1  '!C112</f>
        <v>0</v>
      </c>
      <c r="D112" s="12"/>
      <c r="E112" s="12"/>
      <c r="F112" s="12"/>
      <c r="G112" s="12"/>
      <c r="H112" s="12"/>
      <c r="I112" s="12"/>
      <c r="J112" s="12"/>
      <c r="K112" s="12"/>
      <c r="L112" s="12"/>
      <c r="M112" s="12"/>
      <c r="N112" s="12"/>
      <c r="O112" s="57"/>
      <c r="P112" s="57"/>
      <c r="Q112" s="12"/>
      <c r="R112" s="12"/>
      <c r="S112" s="12"/>
      <c r="T112" s="12"/>
      <c r="U112" s="13">
        <f t="shared" si="35"/>
        <v>0</v>
      </c>
      <c r="V112" s="13">
        <f t="shared" si="36"/>
        <v>0</v>
      </c>
      <c r="W112" s="13">
        <f t="shared" si="37"/>
        <v>0</v>
      </c>
      <c r="X112" s="13">
        <f t="shared" si="38"/>
        <v>0</v>
      </c>
      <c r="Y112" s="13">
        <f t="shared" si="39"/>
        <v>0</v>
      </c>
      <c r="Z112" s="13">
        <f t="shared" si="40"/>
        <v>0</v>
      </c>
      <c r="AA112" s="13">
        <f t="shared" si="41"/>
        <v>0</v>
      </c>
      <c r="AB112" s="13">
        <f t="shared" si="42"/>
        <v>0</v>
      </c>
      <c r="AC112" s="23">
        <f t="shared" si="59"/>
        <v>0</v>
      </c>
      <c r="AD112" s="23">
        <f t="shared" si="60"/>
        <v>0</v>
      </c>
      <c r="AE112" s="23">
        <f t="shared" si="52"/>
        <v>0</v>
      </c>
      <c r="AF112" s="23">
        <f t="shared" si="53"/>
        <v>0</v>
      </c>
      <c r="AG112" s="23">
        <f t="shared" si="54"/>
        <v>0</v>
      </c>
      <c r="AH112" s="13" t="e">
        <f t="shared" si="61"/>
        <v>#DIV/0!</v>
      </c>
      <c r="AI112" s="13" t="e">
        <f t="shared" si="62"/>
        <v>#DIV/0!</v>
      </c>
      <c r="AJ112" s="10" t="e">
        <f t="shared" si="63"/>
        <v>#DIV/0!</v>
      </c>
      <c r="AK112" s="6" t="e">
        <f t="shared" si="64"/>
        <v>#DIV/0!</v>
      </c>
      <c r="AL112" s="6" t="e">
        <f t="shared" si="65"/>
        <v>#DIV/0!</v>
      </c>
      <c r="AM112" s="6" t="e">
        <f t="shared" si="66"/>
        <v>#DIV/0!</v>
      </c>
      <c r="AN112" s="6" t="e">
        <f t="shared" si="67"/>
        <v>#DIV/0!</v>
      </c>
      <c r="AO112" s="57" t="e">
        <f t="shared" si="68"/>
        <v>#DIV/0!</v>
      </c>
      <c r="AP112" s="57" t="e">
        <f t="shared" si="55"/>
        <v>#DIV/0!</v>
      </c>
      <c r="AQ112" s="57" t="e">
        <f t="shared" si="56"/>
        <v>#DIV/0!</v>
      </c>
      <c r="AR112" s="57" t="e">
        <f t="shared" si="57"/>
        <v>#DIV/0!</v>
      </c>
      <c r="AS112" s="57" t="e">
        <f t="shared" si="58"/>
        <v>#DIV/0!</v>
      </c>
    </row>
    <row r="113" spans="1:45" ht="33" hidden="1" customHeight="1">
      <c r="A113" s="22">
        <v>0</v>
      </c>
      <c r="B113" s="22">
        <f>'INTERNAL TEST-1  '!B113</f>
        <v>0</v>
      </c>
      <c r="C113" s="202">
        <f>'INTERNAL TEST-1  '!C113</f>
        <v>0</v>
      </c>
      <c r="D113" s="12"/>
      <c r="E113" s="12"/>
      <c r="F113" s="12"/>
      <c r="G113" s="12"/>
      <c r="H113" s="12"/>
      <c r="I113" s="12"/>
      <c r="J113" s="12"/>
      <c r="K113" s="12"/>
      <c r="L113" s="12"/>
      <c r="M113" s="12"/>
      <c r="N113" s="12"/>
      <c r="O113" s="57"/>
      <c r="P113" s="57"/>
      <c r="Q113" s="12"/>
      <c r="R113" s="12"/>
      <c r="S113" s="12"/>
      <c r="T113" s="12"/>
      <c r="U113" s="13">
        <f t="shared" si="35"/>
        <v>0</v>
      </c>
      <c r="V113" s="13">
        <f t="shared" si="36"/>
        <v>0</v>
      </c>
      <c r="W113" s="13">
        <f t="shared" si="37"/>
        <v>0</v>
      </c>
      <c r="X113" s="13">
        <f t="shared" si="38"/>
        <v>0</v>
      </c>
      <c r="Y113" s="13">
        <f t="shared" si="39"/>
        <v>0</v>
      </c>
      <c r="Z113" s="13">
        <f t="shared" si="40"/>
        <v>0</v>
      </c>
      <c r="AA113" s="13">
        <f t="shared" si="41"/>
        <v>0</v>
      </c>
      <c r="AB113" s="13">
        <f t="shared" si="42"/>
        <v>0</v>
      </c>
      <c r="AC113" s="23">
        <f t="shared" si="59"/>
        <v>0</v>
      </c>
      <c r="AD113" s="23">
        <f t="shared" si="60"/>
        <v>0</v>
      </c>
      <c r="AE113" s="23">
        <f t="shared" si="52"/>
        <v>0</v>
      </c>
      <c r="AF113" s="23">
        <f t="shared" si="53"/>
        <v>0</v>
      </c>
      <c r="AG113" s="23">
        <f t="shared" si="54"/>
        <v>0</v>
      </c>
      <c r="AH113" s="13" t="e">
        <f t="shared" si="61"/>
        <v>#DIV/0!</v>
      </c>
      <c r="AI113" s="13" t="e">
        <f t="shared" si="62"/>
        <v>#DIV/0!</v>
      </c>
      <c r="AJ113" s="10" t="e">
        <f t="shared" si="63"/>
        <v>#DIV/0!</v>
      </c>
      <c r="AK113" s="6" t="e">
        <f t="shared" si="64"/>
        <v>#DIV/0!</v>
      </c>
      <c r="AL113" s="6" t="e">
        <f t="shared" si="65"/>
        <v>#DIV/0!</v>
      </c>
      <c r="AM113" s="6" t="e">
        <f t="shared" si="66"/>
        <v>#DIV/0!</v>
      </c>
      <c r="AN113" s="6" t="e">
        <f t="shared" si="67"/>
        <v>#DIV/0!</v>
      </c>
      <c r="AO113" s="57" t="e">
        <f t="shared" si="68"/>
        <v>#DIV/0!</v>
      </c>
      <c r="AP113" s="57" t="e">
        <f t="shared" si="55"/>
        <v>#DIV/0!</v>
      </c>
      <c r="AQ113" s="57" t="e">
        <f t="shared" si="56"/>
        <v>#DIV/0!</v>
      </c>
      <c r="AR113" s="57" t="e">
        <f t="shared" si="57"/>
        <v>#DIV/0!</v>
      </c>
      <c r="AS113" s="57" t="e">
        <f t="shared" si="58"/>
        <v>#DIV/0!</v>
      </c>
    </row>
    <row r="114" spans="1:45" ht="33" hidden="1" customHeight="1">
      <c r="A114" s="22">
        <v>0</v>
      </c>
      <c r="B114" s="22">
        <f>'INTERNAL TEST-1  '!B114</f>
        <v>0</v>
      </c>
      <c r="C114" s="202">
        <f>'INTERNAL TEST-1  '!C114</f>
        <v>0</v>
      </c>
      <c r="D114" s="12"/>
      <c r="E114" s="12"/>
      <c r="F114" s="12"/>
      <c r="G114" s="12"/>
      <c r="H114" s="12"/>
      <c r="I114" s="12"/>
      <c r="J114" s="12"/>
      <c r="K114" s="12"/>
      <c r="L114" s="12"/>
      <c r="M114" s="12"/>
      <c r="N114" s="12"/>
      <c r="O114" s="57"/>
      <c r="P114" s="57"/>
      <c r="Q114" s="12"/>
      <c r="R114" s="12"/>
      <c r="S114" s="12"/>
      <c r="T114" s="12"/>
      <c r="U114" s="13">
        <f t="shared" si="35"/>
        <v>0</v>
      </c>
      <c r="V114" s="13">
        <f t="shared" si="36"/>
        <v>0</v>
      </c>
      <c r="W114" s="13">
        <f t="shared" si="37"/>
        <v>0</v>
      </c>
      <c r="X114" s="13">
        <f t="shared" si="38"/>
        <v>0</v>
      </c>
      <c r="Y114" s="13">
        <f t="shared" si="39"/>
        <v>0</v>
      </c>
      <c r="Z114" s="13">
        <f t="shared" si="40"/>
        <v>0</v>
      </c>
      <c r="AA114" s="13">
        <f t="shared" si="41"/>
        <v>0</v>
      </c>
      <c r="AB114" s="13">
        <f t="shared" si="42"/>
        <v>0</v>
      </c>
      <c r="AC114" s="23">
        <f t="shared" si="59"/>
        <v>0</v>
      </c>
      <c r="AD114" s="23">
        <f t="shared" si="60"/>
        <v>0</v>
      </c>
      <c r="AE114" s="23">
        <f t="shared" si="52"/>
        <v>0</v>
      </c>
      <c r="AF114" s="23">
        <f t="shared" si="53"/>
        <v>0</v>
      </c>
      <c r="AG114" s="23">
        <f t="shared" si="54"/>
        <v>0</v>
      </c>
      <c r="AH114" s="13" t="e">
        <f t="shared" si="61"/>
        <v>#DIV/0!</v>
      </c>
      <c r="AI114" s="13" t="e">
        <f t="shared" si="62"/>
        <v>#DIV/0!</v>
      </c>
      <c r="AJ114" s="10" t="e">
        <f t="shared" si="63"/>
        <v>#DIV/0!</v>
      </c>
      <c r="AK114" s="6" t="e">
        <f t="shared" si="64"/>
        <v>#DIV/0!</v>
      </c>
      <c r="AL114" s="6" t="e">
        <f t="shared" si="65"/>
        <v>#DIV/0!</v>
      </c>
      <c r="AM114" s="6" t="e">
        <f t="shared" si="66"/>
        <v>#DIV/0!</v>
      </c>
      <c r="AN114" s="6" t="e">
        <f t="shared" si="67"/>
        <v>#DIV/0!</v>
      </c>
      <c r="AO114" s="57" t="e">
        <f t="shared" si="68"/>
        <v>#DIV/0!</v>
      </c>
      <c r="AP114" s="57" t="e">
        <f t="shared" si="55"/>
        <v>#DIV/0!</v>
      </c>
      <c r="AQ114" s="57" t="e">
        <f t="shared" si="56"/>
        <v>#DIV/0!</v>
      </c>
      <c r="AR114" s="57" t="e">
        <f t="shared" si="57"/>
        <v>#DIV/0!</v>
      </c>
      <c r="AS114" s="57" t="e">
        <f t="shared" si="58"/>
        <v>#DIV/0!</v>
      </c>
    </row>
    <row r="115" spans="1:45" ht="33" hidden="1" customHeight="1">
      <c r="A115" s="22">
        <v>0</v>
      </c>
      <c r="B115" s="22">
        <f>'INTERNAL TEST-1  '!B115</f>
        <v>0</v>
      </c>
      <c r="C115" s="202">
        <f>'INTERNAL TEST-1  '!C115</f>
        <v>0</v>
      </c>
      <c r="D115" s="12"/>
      <c r="E115" s="12"/>
      <c r="F115" s="12"/>
      <c r="G115" s="12"/>
      <c r="H115" s="12"/>
      <c r="I115" s="12"/>
      <c r="J115" s="12"/>
      <c r="K115" s="12"/>
      <c r="L115" s="12"/>
      <c r="M115" s="12"/>
      <c r="N115" s="12"/>
      <c r="O115" s="57"/>
      <c r="P115" s="57"/>
      <c r="Q115" s="12"/>
      <c r="R115" s="12"/>
      <c r="S115" s="12"/>
      <c r="T115" s="12"/>
      <c r="U115" s="13">
        <f t="shared" si="35"/>
        <v>0</v>
      </c>
      <c r="V115" s="13">
        <f t="shared" si="36"/>
        <v>0</v>
      </c>
      <c r="W115" s="13">
        <f t="shared" si="37"/>
        <v>0</v>
      </c>
      <c r="X115" s="13">
        <f t="shared" si="38"/>
        <v>0</v>
      </c>
      <c r="Y115" s="13">
        <f t="shared" si="39"/>
        <v>0</v>
      </c>
      <c r="Z115" s="13">
        <f t="shared" si="40"/>
        <v>0</v>
      </c>
      <c r="AA115" s="13">
        <f t="shared" si="41"/>
        <v>0</v>
      </c>
      <c r="AB115" s="13">
        <f t="shared" si="42"/>
        <v>0</v>
      </c>
      <c r="AC115" s="23">
        <f t="shared" si="59"/>
        <v>0</v>
      </c>
      <c r="AD115" s="23">
        <f t="shared" si="60"/>
        <v>0</v>
      </c>
      <c r="AE115" s="23">
        <f t="shared" si="52"/>
        <v>0</v>
      </c>
      <c r="AF115" s="23">
        <f t="shared" si="53"/>
        <v>0</v>
      </c>
      <c r="AG115" s="23">
        <f t="shared" si="54"/>
        <v>0</v>
      </c>
      <c r="AH115" s="13" t="e">
        <f t="shared" si="61"/>
        <v>#DIV/0!</v>
      </c>
      <c r="AI115" s="13" t="e">
        <f t="shared" si="62"/>
        <v>#DIV/0!</v>
      </c>
      <c r="AJ115" s="10" t="e">
        <f t="shared" si="63"/>
        <v>#DIV/0!</v>
      </c>
      <c r="AK115" s="6" t="e">
        <f t="shared" si="64"/>
        <v>#DIV/0!</v>
      </c>
      <c r="AL115" s="6" t="e">
        <f t="shared" si="65"/>
        <v>#DIV/0!</v>
      </c>
      <c r="AM115" s="6" t="e">
        <f t="shared" si="66"/>
        <v>#DIV/0!</v>
      </c>
      <c r="AN115" s="6" t="e">
        <f t="shared" si="67"/>
        <v>#DIV/0!</v>
      </c>
      <c r="AO115" s="57" t="e">
        <f t="shared" si="68"/>
        <v>#DIV/0!</v>
      </c>
      <c r="AP115" s="57" t="e">
        <f t="shared" si="55"/>
        <v>#DIV/0!</v>
      </c>
      <c r="AQ115" s="57" t="e">
        <f t="shared" si="56"/>
        <v>#DIV/0!</v>
      </c>
      <c r="AR115" s="57" t="e">
        <f t="shared" si="57"/>
        <v>#DIV/0!</v>
      </c>
      <c r="AS115" s="57" t="e">
        <f t="shared" si="58"/>
        <v>#DIV/0!</v>
      </c>
    </row>
    <row r="116" spans="1:45" ht="33" hidden="1" customHeight="1">
      <c r="A116" s="22">
        <v>0</v>
      </c>
      <c r="B116" s="22">
        <f>'INTERNAL TEST-1  '!B116</f>
        <v>0</v>
      </c>
      <c r="C116" s="202">
        <f>'INTERNAL TEST-1  '!C116</f>
        <v>0</v>
      </c>
      <c r="D116" s="12"/>
      <c r="E116" s="12"/>
      <c r="F116" s="12"/>
      <c r="G116" s="12"/>
      <c r="H116" s="12"/>
      <c r="I116" s="12"/>
      <c r="J116" s="12"/>
      <c r="K116" s="12"/>
      <c r="L116" s="12"/>
      <c r="M116" s="12"/>
      <c r="N116" s="12"/>
      <c r="O116" s="57"/>
      <c r="P116" s="57"/>
      <c r="Q116" s="12"/>
      <c r="R116" s="12"/>
      <c r="S116" s="12"/>
      <c r="T116" s="12"/>
      <c r="U116" s="13">
        <f t="shared" si="35"/>
        <v>0</v>
      </c>
      <c r="V116" s="13">
        <f t="shared" si="36"/>
        <v>0</v>
      </c>
      <c r="W116" s="13">
        <f t="shared" si="37"/>
        <v>0</v>
      </c>
      <c r="X116" s="13">
        <f t="shared" si="38"/>
        <v>0</v>
      </c>
      <c r="Y116" s="13">
        <f t="shared" si="39"/>
        <v>0</v>
      </c>
      <c r="Z116" s="13">
        <f t="shared" si="40"/>
        <v>0</v>
      </c>
      <c r="AA116" s="13">
        <f t="shared" si="41"/>
        <v>0</v>
      </c>
      <c r="AB116" s="13">
        <f t="shared" si="42"/>
        <v>0</v>
      </c>
      <c r="AC116" s="23">
        <f t="shared" si="59"/>
        <v>0</v>
      </c>
      <c r="AD116" s="23">
        <f t="shared" si="60"/>
        <v>0</v>
      </c>
      <c r="AE116" s="23">
        <f t="shared" si="52"/>
        <v>0</v>
      </c>
      <c r="AF116" s="23">
        <f t="shared" si="53"/>
        <v>0</v>
      </c>
      <c r="AG116" s="23">
        <f t="shared" si="54"/>
        <v>0</v>
      </c>
      <c r="AH116" s="13" t="e">
        <f t="shared" si="61"/>
        <v>#DIV/0!</v>
      </c>
      <c r="AI116" s="13" t="e">
        <f t="shared" si="62"/>
        <v>#DIV/0!</v>
      </c>
      <c r="AJ116" s="10" t="e">
        <f t="shared" si="63"/>
        <v>#DIV/0!</v>
      </c>
      <c r="AK116" s="6" t="e">
        <f t="shared" si="64"/>
        <v>#DIV/0!</v>
      </c>
      <c r="AL116" s="6" t="e">
        <f t="shared" si="65"/>
        <v>#DIV/0!</v>
      </c>
      <c r="AM116" s="6" t="e">
        <f t="shared" si="66"/>
        <v>#DIV/0!</v>
      </c>
      <c r="AN116" s="6" t="e">
        <f t="shared" si="67"/>
        <v>#DIV/0!</v>
      </c>
      <c r="AO116" s="57" t="e">
        <f t="shared" si="68"/>
        <v>#DIV/0!</v>
      </c>
      <c r="AP116" s="57" t="e">
        <f t="shared" si="55"/>
        <v>#DIV/0!</v>
      </c>
      <c r="AQ116" s="57" t="e">
        <f t="shared" si="56"/>
        <v>#DIV/0!</v>
      </c>
      <c r="AR116" s="57" t="e">
        <f t="shared" si="57"/>
        <v>#DIV/0!</v>
      </c>
      <c r="AS116" s="57" t="e">
        <f t="shared" si="58"/>
        <v>#DIV/0!</v>
      </c>
    </row>
    <row r="117" spans="1:45" ht="33" hidden="1" customHeight="1">
      <c r="A117" s="22">
        <v>0</v>
      </c>
      <c r="B117" s="22">
        <f>'INTERNAL TEST-1  '!B117</f>
        <v>0</v>
      </c>
      <c r="C117" s="202">
        <f>'INTERNAL TEST-1  '!C117</f>
        <v>0</v>
      </c>
      <c r="D117" s="12"/>
      <c r="E117" s="12"/>
      <c r="F117" s="12"/>
      <c r="G117" s="12"/>
      <c r="H117" s="12"/>
      <c r="I117" s="12"/>
      <c r="J117" s="12"/>
      <c r="K117" s="12"/>
      <c r="L117" s="12"/>
      <c r="M117" s="12"/>
      <c r="N117" s="12"/>
      <c r="O117" s="57"/>
      <c r="P117" s="57"/>
      <c r="Q117" s="12"/>
      <c r="R117" s="12"/>
      <c r="S117" s="12"/>
      <c r="T117" s="12"/>
      <c r="U117" s="13">
        <f t="shared" si="35"/>
        <v>0</v>
      </c>
      <c r="V117" s="13">
        <f t="shared" si="36"/>
        <v>0</v>
      </c>
      <c r="W117" s="13">
        <f t="shared" si="37"/>
        <v>0</v>
      </c>
      <c r="X117" s="13">
        <f t="shared" si="38"/>
        <v>0</v>
      </c>
      <c r="Y117" s="13">
        <f t="shared" si="39"/>
        <v>0</v>
      </c>
      <c r="Z117" s="13">
        <f t="shared" si="40"/>
        <v>0</v>
      </c>
      <c r="AA117" s="13">
        <f t="shared" si="41"/>
        <v>0</v>
      </c>
      <c r="AB117" s="13">
        <f t="shared" si="42"/>
        <v>0</v>
      </c>
      <c r="AC117" s="23">
        <f t="shared" si="59"/>
        <v>0</v>
      </c>
      <c r="AD117" s="23">
        <f t="shared" si="60"/>
        <v>0</v>
      </c>
      <c r="AE117" s="23">
        <f t="shared" si="52"/>
        <v>0</v>
      </c>
      <c r="AF117" s="23">
        <f t="shared" si="53"/>
        <v>0</v>
      </c>
      <c r="AG117" s="23">
        <f t="shared" si="54"/>
        <v>0</v>
      </c>
      <c r="AH117" s="13" t="e">
        <f t="shared" si="61"/>
        <v>#DIV/0!</v>
      </c>
      <c r="AI117" s="13" t="e">
        <f t="shared" si="62"/>
        <v>#DIV/0!</v>
      </c>
      <c r="AJ117" s="10" t="e">
        <f t="shared" si="63"/>
        <v>#DIV/0!</v>
      </c>
      <c r="AK117" s="6" t="e">
        <f t="shared" si="64"/>
        <v>#DIV/0!</v>
      </c>
      <c r="AL117" s="6" t="e">
        <f t="shared" si="65"/>
        <v>#DIV/0!</v>
      </c>
      <c r="AM117" s="6" t="e">
        <f t="shared" si="66"/>
        <v>#DIV/0!</v>
      </c>
      <c r="AN117" s="6" t="e">
        <f t="shared" si="67"/>
        <v>#DIV/0!</v>
      </c>
      <c r="AO117" s="57" t="e">
        <f t="shared" si="68"/>
        <v>#DIV/0!</v>
      </c>
      <c r="AP117" s="57" t="e">
        <f t="shared" si="55"/>
        <v>#DIV/0!</v>
      </c>
      <c r="AQ117" s="57" t="e">
        <f t="shared" si="56"/>
        <v>#DIV/0!</v>
      </c>
      <c r="AR117" s="57" t="e">
        <f t="shared" si="57"/>
        <v>#DIV/0!</v>
      </c>
      <c r="AS117" s="57" t="e">
        <f t="shared" si="58"/>
        <v>#DIV/0!</v>
      </c>
    </row>
    <row r="118" spans="1:45" ht="33" hidden="1" customHeight="1">
      <c r="A118" s="22">
        <v>0</v>
      </c>
      <c r="B118" s="22">
        <f>'INTERNAL TEST-1  '!B118</f>
        <v>0</v>
      </c>
      <c r="C118" s="202">
        <f>'INTERNAL TEST-1  '!C118</f>
        <v>0</v>
      </c>
      <c r="D118" s="12"/>
      <c r="E118" s="12"/>
      <c r="F118" s="12"/>
      <c r="G118" s="12"/>
      <c r="H118" s="12"/>
      <c r="I118" s="12"/>
      <c r="J118" s="12"/>
      <c r="K118" s="12"/>
      <c r="L118" s="12"/>
      <c r="M118" s="12"/>
      <c r="N118" s="12"/>
      <c r="O118" s="57"/>
      <c r="P118" s="57"/>
      <c r="Q118" s="12"/>
      <c r="R118" s="12"/>
      <c r="S118" s="12"/>
      <c r="T118" s="12"/>
      <c r="U118" s="13">
        <f t="shared" si="35"/>
        <v>0</v>
      </c>
      <c r="V118" s="13">
        <f t="shared" si="36"/>
        <v>0</v>
      </c>
      <c r="W118" s="13">
        <f t="shared" si="37"/>
        <v>0</v>
      </c>
      <c r="X118" s="13">
        <f t="shared" si="38"/>
        <v>0</v>
      </c>
      <c r="Y118" s="13">
        <f t="shared" si="39"/>
        <v>0</v>
      </c>
      <c r="Z118" s="13">
        <f t="shared" si="40"/>
        <v>0</v>
      </c>
      <c r="AA118" s="13">
        <f t="shared" si="41"/>
        <v>0</v>
      </c>
      <c r="AB118" s="13">
        <f t="shared" si="42"/>
        <v>0</v>
      </c>
      <c r="AC118" s="23">
        <f t="shared" si="59"/>
        <v>0</v>
      </c>
      <c r="AD118" s="23">
        <f t="shared" si="60"/>
        <v>0</v>
      </c>
      <c r="AE118" s="23">
        <f t="shared" si="52"/>
        <v>0</v>
      </c>
      <c r="AF118" s="23">
        <f t="shared" si="53"/>
        <v>0</v>
      </c>
      <c r="AG118" s="23">
        <f t="shared" si="54"/>
        <v>0</v>
      </c>
      <c r="AH118" s="13" t="e">
        <f t="shared" si="61"/>
        <v>#DIV/0!</v>
      </c>
      <c r="AI118" s="13" t="e">
        <f t="shared" si="62"/>
        <v>#DIV/0!</v>
      </c>
      <c r="AJ118" s="10" t="e">
        <f t="shared" si="63"/>
        <v>#DIV/0!</v>
      </c>
      <c r="AK118" s="6" t="e">
        <f t="shared" si="64"/>
        <v>#DIV/0!</v>
      </c>
      <c r="AL118" s="6" t="e">
        <f t="shared" si="65"/>
        <v>#DIV/0!</v>
      </c>
      <c r="AM118" s="6" t="e">
        <f t="shared" si="66"/>
        <v>#DIV/0!</v>
      </c>
      <c r="AN118" s="6" t="e">
        <f t="shared" si="67"/>
        <v>#DIV/0!</v>
      </c>
      <c r="AO118" s="57" t="e">
        <f t="shared" si="68"/>
        <v>#DIV/0!</v>
      </c>
      <c r="AP118" s="57" t="e">
        <f t="shared" si="55"/>
        <v>#DIV/0!</v>
      </c>
      <c r="AQ118" s="57" t="e">
        <f t="shared" si="56"/>
        <v>#DIV/0!</v>
      </c>
      <c r="AR118" s="57" t="e">
        <f t="shared" si="57"/>
        <v>#DIV/0!</v>
      </c>
      <c r="AS118" s="57" t="e">
        <f t="shared" si="58"/>
        <v>#DIV/0!</v>
      </c>
    </row>
    <row r="119" spans="1:45" ht="33" hidden="1" customHeight="1">
      <c r="A119" s="22">
        <v>0</v>
      </c>
      <c r="B119" s="22">
        <f>'INTERNAL TEST-1  '!B119</f>
        <v>0</v>
      </c>
      <c r="C119" s="202">
        <f>'INTERNAL TEST-1  '!C119</f>
        <v>0</v>
      </c>
      <c r="D119" s="12"/>
      <c r="E119" s="12"/>
      <c r="F119" s="12"/>
      <c r="G119" s="12"/>
      <c r="H119" s="12"/>
      <c r="I119" s="12"/>
      <c r="J119" s="12"/>
      <c r="K119" s="12"/>
      <c r="L119" s="12"/>
      <c r="M119" s="12"/>
      <c r="N119" s="12"/>
      <c r="O119" s="57"/>
      <c r="P119" s="57"/>
      <c r="Q119" s="12"/>
      <c r="R119" s="12"/>
      <c r="S119" s="12"/>
      <c r="T119" s="12"/>
      <c r="U119" s="13">
        <f t="shared" si="35"/>
        <v>0</v>
      </c>
      <c r="V119" s="13">
        <f t="shared" si="36"/>
        <v>0</v>
      </c>
      <c r="W119" s="13">
        <f t="shared" si="37"/>
        <v>0</v>
      </c>
      <c r="X119" s="13">
        <f t="shared" si="38"/>
        <v>0</v>
      </c>
      <c r="Y119" s="13">
        <f t="shared" si="39"/>
        <v>0</v>
      </c>
      <c r="Z119" s="13">
        <f t="shared" si="40"/>
        <v>0</v>
      </c>
      <c r="AA119" s="13">
        <f t="shared" si="41"/>
        <v>0</v>
      </c>
      <c r="AB119" s="13">
        <f t="shared" si="42"/>
        <v>0</v>
      </c>
      <c r="AC119" s="23">
        <f t="shared" si="59"/>
        <v>0</v>
      </c>
      <c r="AD119" s="23">
        <f t="shared" si="60"/>
        <v>0</v>
      </c>
      <c r="AE119" s="23">
        <f t="shared" si="52"/>
        <v>0</v>
      </c>
      <c r="AF119" s="23">
        <f t="shared" si="53"/>
        <v>0</v>
      </c>
      <c r="AG119" s="23">
        <f t="shared" si="54"/>
        <v>0</v>
      </c>
      <c r="AH119" s="13" t="e">
        <f t="shared" si="61"/>
        <v>#DIV/0!</v>
      </c>
      <c r="AI119" s="13" t="e">
        <f t="shared" si="62"/>
        <v>#DIV/0!</v>
      </c>
      <c r="AJ119" s="10" t="e">
        <f t="shared" si="63"/>
        <v>#DIV/0!</v>
      </c>
      <c r="AK119" s="6" t="e">
        <f t="shared" si="64"/>
        <v>#DIV/0!</v>
      </c>
      <c r="AL119" s="6" t="e">
        <f t="shared" si="65"/>
        <v>#DIV/0!</v>
      </c>
      <c r="AM119" s="6" t="e">
        <f t="shared" si="66"/>
        <v>#DIV/0!</v>
      </c>
      <c r="AN119" s="6" t="e">
        <f t="shared" si="67"/>
        <v>#DIV/0!</v>
      </c>
      <c r="AO119" s="57" t="e">
        <f t="shared" si="68"/>
        <v>#DIV/0!</v>
      </c>
      <c r="AP119" s="57" t="e">
        <f t="shared" si="55"/>
        <v>#DIV/0!</v>
      </c>
      <c r="AQ119" s="57" t="e">
        <f t="shared" si="56"/>
        <v>#DIV/0!</v>
      </c>
      <c r="AR119" s="57" t="e">
        <f t="shared" si="57"/>
        <v>#DIV/0!</v>
      </c>
      <c r="AS119" s="57" t="e">
        <f t="shared" si="58"/>
        <v>#DIV/0!</v>
      </c>
    </row>
    <row r="120" spans="1:45" ht="33" hidden="1" customHeight="1">
      <c r="A120" s="22">
        <v>0</v>
      </c>
      <c r="B120" s="22">
        <f>'INTERNAL TEST-1  '!B120</f>
        <v>0</v>
      </c>
      <c r="C120" s="202">
        <f>'INTERNAL TEST-1  '!C120</f>
        <v>0</v>
      </c>
      <c r="D120" s="12"/>
      <c r="E120" s="12"/>
      <c r="F120" s="12"/>
      <c r="G120" s="12"/>
      <c r="H120" s="12"/>
      <c r="I120" s="12"/>
      <c r="J120" s="12"/>
      <c r="K120" s="12"/>
      <c r="L120" s="12"/>
      <c r="M120" s="12"/>
      <c r="N120" s="12"/>
      <c r="O120" s="57"/>
      <c r="P120" s="57"/>
      <c r="Q120" s="12"/>
      <c r="R120" s="12"/>
      <c r="S120" s="12"/>
      <c r="T120" s="12"/>
      <c r="U120" s="13">
        <f t="shared" si="35"/>
        <v>0</v>
      </c>
      <c r="V120" s="13">
        <f t="shared" si="36"/>
        <v>0</v>
      </c>
      <c r="W120" s="13">
        <f t="shared" si="37"/>
        <v>0</v>
      </c>
      <c r="X120" s="13">
        <f t="shared" si="38"/>
        <v>0</v>
      </c>
      <c r="Y120" s="13">
        <f t="shared" si="39"/>
        <v>0</v>
      </c>
      <c r="Z120" s="13">
        <f t="shared" si="40"/>
        <v>0</v>
      </c>
      <c r="AA120" s="13">
        <f t="shared" si="41"/>
        <v>0</v>
      </c>
      <c r="AB120" s="13">
        <f t="shared" si="42"/>
        <v>0</v>
      </c>
      <c r="AC120" s="23">
        <f t="shared" si="59"/>
        <v>0</v>
      </c>
      <c r="AD120" s="23">
        <f t="shared" si="60"/>
        <v>0</v>
      </c>
      <c r="AE120" s="23">
        <f t="shared" si="52"/>
        <v>0</v>
      </c>
      <c r="AF120" s="23">
        <f t="shared" si="53"/>
        <v>0</v>
      </c>
      <c r="AG120" s="23">
        <f t="shared" si="54"/>
        <v>0</v>
      </c>
      <c r="AH120" s="13" t="e">
        <f t="shared" si="61"/>
        <v>#DIV/0!</v>
      </c>
      <c r="AI120" s="13" t="e">
        <f t="shared" si="62"/>
        <v>#DIV/0!</v>
      </c>
      <c r="AJ120" s="10" t="e">
        <f t="shared" si="63"/>
        <v>#DIV/0!</v>
      </c>
      <c r="AK120" s="6" t="e">
        <f t="shared" si="64"/>
        <v>#DIV/0!</v>
      </c>
      <c r="AL120" s="6" t="e">
        <f t="shared" si="65"/>
        <v>#DIV/0!</v>
      </c>
      <c r="AM120" s="6" t="e">
        <f t="shared" si="66"/>
        <v>#DIV/0!</v>
      </c>
      <c r="AN120" s="6" t="e">
        <f t="shared" si="67"/>
        <v>#DIV/0!</v>
      </c>
      <c r="AO120" s="57" t="e">
        <f t="shared" si="68"/>
        <v>#DIV/0!</v>
      </c>
      <c r="AP120" s="57" t="e">
        <f t="shared" si="55"/>
        <v>#DIV/0!</v>
      </c>
      <c r="AQ120" s="57" t="e">
        <f t="shared" si="56"/>
        <v>#DIV/0!</v>
      </c>
      <c r="AR120" s="57" t="e">
        <f t="shared" si="57"/>
        <v>#DIV/0!</v>
      </c>
      <c r="AS120" s="57" t="e">
        <f t="shared" si="58"/>
        <v>#DIV/0!</v>
      </c>
    </row>
    <row r="121" spans="1:45" ht="33" hidden="1" customHeight="1">
      <c r="A121" s="22">
        <v>0</v>
      </c>
      <c r="B121" s="22">
        <f>'INTERNAL TEST-1  '!B121</f>
        <v>0</v>
      </c>
      <c r="C121" s="202">
        <f>'INTERNAL TEST-1  '!C121</f>
        <v>0</v>
      </c>
      <c r="D121" s="12"/>
      <c r="E121" s="12"/>
      <c r="F121" s="12"/>
      <c r="G121" s="12"/>
      <c r="H121" s="12"/>
      <c r="I121" s="12"/>
      <c r="J121" s="12"/>
      <c r="K121" s="12"/>
      <c r="L121" s="12"/>
      <c r="M121" s="12"/>
      <c r="N121" s="12"/>
      <c r="O121" s="57"/>
      <c r="P121" s="57"/>
      <c r="Q121" s="12"/>
      <c r="R121" s="12"/>
      <c r="S121" s="12"/>
      <c r="T121" s="12"/>
      <c r="U121" s="13">
        <f t="shared" si="35"/>
        <v>0</v>
      </c>
      <c r="V121" s="13">
        <f t="shared" si="36"/>
        <v>0</v>
      </c>
      <c r="W121" s="13">
        <f t="shared" si="37"/>
        <v>0</v>
      </c>
      <c r="X121" s="13">
        <f t="shared" si="38"/>
        <v>0</v>
      </c>
      <c r="Y121" s="13">
        <f t="shared" si="39"/>
        <v>0</v>
      </c>
      <c r="Z121" s="13">
        <f t="shared" si="40"/>
        <v>0</v>
      </c>
      <c r="AA121" s="13">
        <f t="shared" si="41"/>
        <v>0</v>
      </c>
      <c r="AB121" s="13">
        <f t="shared" si="42"/>
        <v>0</v>
      </c>
      <c r="AC121" s="23">
        <f t="shared" si="59"/>
        <v>0</v>
      </c>
      <c r="AD121" s="23">
        <f t="shared" si="60"/>
        <v>0</v>
      </c>
      <c r="AE121" s="23">
        <f t="shared" si="52"/>
        <v>0</v>
      </c>
      <c r="AF121" s="23">
        <f t="shared" si="53"/>
        <v>0</v>
      </c>
      <c r="AG121" s="23">
        <f t="shared" si="54"/>
        <v>0</v>
      </c>
      <c r="AH121" s="13" t="e">
        <f t="shared" si="61"/>
        <v>#DIV/0!</v>
      </c>
      <c r="AI121" s="13" t="e">
        <f t="shared" si="62"/>
        <v>#DIV/0!</v>
      </c>
      <c r="AJ121" s="10" t="e">
        <f t="shared" si="63"/>
        <v>#DIV/0!</v>
      </c>
      <c r="AK121" s="6" t="e">
        <f t="shared" si="64"/>
        <v>#DIV/0!</v>
      </c>
      <c r="AL121" s="6" t="e">
        <f t="shared" si="65"/>
        <v>#DIV/0!</v>
      </c>
      <c r="AM121" s="6" t="e">
        <f t="shared" si="66"/>
        <v>#DIV/0!</v>
      </c>
      <c r="AN121" s="6" t="e">
        <f t="shared" si="67"/>
        <v>#DIV/0!</v>
      </c>
      <c r="AO121" s="57" t="e">
        <f t="shared" si="68"/>
        <v>#DIV/0!</v>
      </c>
      <c r="AP121" s="57" t="e">
        <f t="shared" si="55"/>
        <v>#DIV/0!</v>
      </c>
      <c r="AQ121" s="57" t="e">
        <f t="shared" si="56"/>
        <v>#DIV/0!</v>
      </c>
      <c r="AR121" s="57" t="e">
        <f t="shared" si="57"/>
        <v>#DIV/0!</v>
      </c>
      <c r="AS121" s="57" t="e">
        <f t="shared" si="58"/>
        <v>#DIV/0!</v>
      </c>
    </row>
    <row r="122" spans="1:45" ht="33" hidden="1" customHeight="1">
      <c r="A122" s="22">
        <v>0</v>
      </c>
      <c r="B122" s="22">
        <f>'INTERNAL TEST-1  '!B122</f>
        <v>0</v>
      </c>
      <c r="C122" s="202">
        <f>'INTERNAL TEST-1  '!C122</f>
        <v>0</v>
      </c>
      <c r="D122" s="12"/>
      <c r="E122" s="12"/>
      <c r="F122" s="12"/>
      <c r="G122" s="12"/>
      <c r="H122" s="12"/>
      <c r="I122" s="12"/>
      <c r="J122" s="12"/>
      <c r="K122" s="12"/>
      <c r="L122" s="12"/>
      <c r="M122" s="12"/>
      <c r="N122" s="12"/>
      <c r="O122" s="57"/>
      <c r="P122" s="57"/>
      <c r="Q122" s="12"/>
      <c r="R122" s="12"/>
      <c r="S122" s="12"/>
      <c r="T122" s="12"/>
      <c r="U122" s="13">
        <f t="shared" si="35"/>
        <v>0</v>
      </c>
      <c r="V122" s="13">
        <f t="shared" si="36"/>
        <v>0</v>
      </c>
      <c r="W122" s="13">
        <f t="shared" si="37"/>
        <v>0</v>
      </c>
      <c r="X122" s="13">
        <f t="shared" si="38"/>
        <v>0</v>
      </c>
      <c r="Y122" s="13">
        <f t="shared" si="39"/>
        <v>0</v>
      </c>
      <c r="Z122" s="13">
        <f t="shared" si="40"/>
        <v>0</v>
      </c>
      <c r="AA122" s="13">
        <f t="shared" si="41"/>
        <v>0</v>
      </c>
      <c r="AB122" s="13">
        <f t="shared" si="42"/>
        <v>0</v>
      </c>
      <c r="AC122" s="23">
        <f t="shared" si="59"/>
        <v>0</v>
      </c>
      <c r="AD122" s="23">
        <f t="shared" si="60"/>
        <v>0</v>
      </c>
      <c r="AE122" s="23">
        <f t="shared" si="52"/>
        <v>0</v>
      </c>
      <c r="AF122" s="23">
        <f t="shared" si="53"/>
        <v>0</v>
      </c>
      <c r="AG122" s="23">
        <f t="shared" si="54"/>
        <v>0</v>
      </c>
      <c r="AH122" s="13" t="e">
        <f t="shared" si="61"/>
        <v>#DIV/0!</v>
      </c>
      <c r="AI122" s="13" t="e">
        <f t="shared" si="62"/>
        <v>#DIV/0!</v>
      </c>
      <c r="AJ122" s="10" t="e">
        <f t="shared" si="63"/>
        <v>#DIV/0!</v>
      </c>
      <c r="AK122" s="6" t="e">
        <f t="shared" si="64"/>
        <v>#DIV/0!</v>
      </c>
      <c r="AL122" s="6" t="e">
        <f t="shared" si="65"/>
        <v>#DIV/0!</v>
      </c>
      <c r="AM122" s="6" t="e">
        <f t="shared" si="66"/>
        <v>#DIV/0!</v>
      </c>
      <c r="AN122" s="6" t="e">
        <f t="shared" si="67"/>
        <v>#DIV/0!</v>
      </c>
      <c r="AO122" s="57" t="e">
        <f t="shared" si="68"/>
        <v>#DIV/0!</v>
      </c>
      <c r="AP122" s="57" t="e">
        <f t="shared" si="55"/>
        <v>#DIV/0!</v>
      </c>
      <c r="AQ122" s="57" t="e">
        <f t="shared" si="56"/>
        <v>#DIV/0!</v>
      </c>
      <c r="AR122" s="57" t="e">
        <f t="shared" si="57"/>
        <v>#DIV/0!</v>
      </c>
      <c r="AS122" s="57" t="e">
        <f t="shared" si="58"/>
        <v>#DIV/0!</v>
      </c>
    </row>
    <row r="123" spans="1:45" ht="33" hidden="1" customHeight="1">
      <c r="A123" s="22">
        <v>0</v>
      </c>
      <c r="B123" s="22">
        <f>'INTERNAL TEST-1  '!B123</f>
        <v>0</v>
      </c>
      <c r="C123" s="202">
        <f>'INTERNAL TEST-1  '!C123</f>
        <v>0</v>
      </c>
      <c r="D123" s="12"/>
      <c r="E123" s="12"/>
      <c r="F123" s="12"/>
      <c r="G123" s="12"/>
      <c r="H123" s="12"/>
      <c r="I123" s="12"/>
      <c r="J123" s="12"/>
      <c r="K123" s="12"/>
      <c r="L123" s="12"/>
      <c r="M123" s="12"/>
      <c r="N123" s="12"/>
      <c r="O123" s="57"/>
      <c r="P123" s="57"/>
      <c r="Q123" s="12"/>
      <c r="R123" s="12"/>
      <c r="S123" s="12"/>
      <c r="T123" s="12"/>
      <c r="U123" s="13">
        <f t="shared" si="35"/>
        <v>0</v>
      </c>
      <c r="V123" s="13">
        <f t="shared" si="36"/>
        <v>0</v>
      </c>
      <c r="W123" s="13">
        <f t="shared" si="37"/>
        <v>0</v>
      </c>
      <c r="X123" s="13">
        <f t="shared" si="38"/>
        <v>0</v>
      </c>
      <c r="Y123" s="13">
        <f t="shared" si="39"/>
        <v>0</v>
      </c>
      <c r="Z123" s="13">
        <f t="shared" si="40"/>
        <v>0</v>
      </c>
      <c r="AA123" s="13">
        <f t="shared" si="41"/>
        <v>0</v>
      </c>
      <c r="AB123" s="13">
        <f t="shared" si="42"/>
        <v>0</v>
      </c>
      <c r="AC123" s="23">
        <f t="shared" si="59"/>
        <v>0</v>
      </c>
      <c r="AD123" s="23">
        <f t="shared" si="60"/>
        <v>0</v>
      </c>
      <c r="AE123" s="23">
        <f t="shared" si="52"/>
        <v>0</v>
      </c>
      <c r="AF123" s="23">
        <f t="shared" si="53"/>
        <v>0</v>
      </c>
      <c r="AG123" s="23">
        <f t="shared" si="54"/>
        <v>0</v>
      </c>
      <c r="AH123" s="13" t="e">
        <f t="shared" si="61"/>
        <v>#DIV/0!</v>
      </c>
      <c r="AI123" s="13" t="e">
        <f t="shared" si="62"/>
        <v>#DIV/0!</v>
      </c>
      <c r="AJ123" s="10" t="e">
        <f t="shared" si="63"/>
        <v>#DIV/0!</v>
      </c>
      <c r="AK123" s="6" t="e">
        <f t="shared" si="64"/>
        <v>#DIV/0!</v>
      </c>
      <c r="AL123" s="6" t="e">
        <f t="shared" si="65"/>
        <v>#DIV/0!</v>
      </c>
      <c r="AM123" s="6" t="e">
        <f t="shared" si="66"/>
        <v>#DIV/0!</v>
      </c>
      <c r="AN123" s="6" t="e">
        <f t="shared" si="67"/>
        <v>#DIV/0!</v>
      </c>
      <c r="AO123" s="57" t="e">
        <f t="shared" si="68"/>
        <v>#DIV/0!</v>
      </c>
      <c r="AP123" s="57" t="e">
        <f t="shared" si="55"/>
        <v>#DIV/0!</v>
      </c>
      <c r="AQ123" s="57" t="e">
        <f t="shared" si="56"/>
        <v>#DIV/0!</v>
      </c>
      <c r="AR123" s="57" t="e">
        <f t="shared" si="57"/>
        <v>#DIV/0!</v>
      </c>
      <c r="AS123" s="57" t="e">
        <f t="shared" si="58"/>
        <v>#DIV/0!</v>
      </c>
    </row>
    <row r="124" spans="1:45" ht="33" hidden="1" customHeight="1">
      <c r="A124" s="22">
        <v>0</v>
      </c>
      <c r="B124" s="22">
        <f>'INTERNAL TEST-1  '!B124</f>
        <v>0</v>
      </c>
      <c r="C124" s="202">
        <f>'INTERNAL TEST-1  '!C124</f>
        <v>0</v>
      </c>
      <c r="D124" s="12"/>
      <c r="E124" s="12"/>
      <c r="F124" s="12"/>
      <c r="G124" s="12"/>
      <c r="H124" s="12"/>
      <c r="I124" s="12"/>
      <c r="J124" s="12"/>
      <c r="K124" s="12"/>
      <c r="L124" s="12"/>
      <c r="M124" s="12"/>
      <c r="N124" s="12"/>
      <c r="O124" s="57"/>
      <c r="P124" s="57"/>
      <c r="Q124" s="12"/>
      <c r="R124" s="12"/>
      <c r="S124" s="12"/>
      <c r="T124" s="12"/>
      <c r="U124" s="13">
        <f t="shared" si="35"/>
        <v>0</v>
      </c>
      <c r="V124" s="13">
        <f t="shared" si="36"/>
        <v>0</v>
      </c>
      <c r="W124" s="13">
        <f t="shared" si="37"/>
        <v>0</v>
      </c>
      <c r="X124" s="13">
        <f t="shared" si="38"/>
        <v>0</v>
      </c>
      <c r="Y124" s="13">
        <f t="shared" si="39"/>
        <v>0</v>
      </c>
      <c r="Z124" s="13">
        <f t="shared" si="40"/>
        <v>0</v>
      </c>
      <c r="AA124" s="13">
        <f t="shared" si="41"/>
        <v>0</v>
      </c>
      <c r="AB124" s="13">
        <f t="shared" si="42"/>
        <v>0</v>
      </c>
      <c r="AC124" s="23">
        <f t="shared" si="59"/>
        <v>0</v>
      </c>
      <c r="AD124" s="23">
        <f t="shared" si="60"/>
        <v>0</v>
      </c>
      <c r="AE124" s="23">
        <f t="shared" si="52"/>
        <v>0</v>
      </c>
      <c r="AF124" s="23">
        <f t="shared" si="53"/>
        <v>0</v>
      </c>
      <c r="AG124" s="23">
        <f t="shared" si="54"/>
        <v>0</v>
      </c>
      <c r="AH124" s="13" t="e">
        <f t="shared" si="61"/>
        <v>#DIV/0!</v>
      </c>
      <c r="AI124" s="13" t="e">
        <f t="shared" si="62"/>
        <v>#DIV/0!</v>
      </c>
      <c r="AJ124" s="10" t="e">
        <f t="shared" si="63"/>
        <v>#DIV/0!</v>
      </c>
      <c r="AK124" s="6" t="e">
        <f t="shared" si="64"/>
        <v>#DIV/0!</v>
      </c>
      <c r="AL124" s="6" t="e">
        <f t="shared" si="65"/>
        <v>#DIV/0!</v>
      </c>
      <c r="AM124" s="6" t="e">
        <f t="shared" si="66"/>
        <v>#DIV/0!</v>
      </c>
      <c r="AN124" s="6" t="e">
        <f t="shared" si="67"/>
        <v>#DIV/0!</v>
      </c>
      <c r="AO124" s="57" t="e">
        <f t="shared" si="68"/>
        <v>#DIV/0!</v>
      </c>
      <c r="AP124" s="57" t="e">
        <f t="shared" si="55"/>
        <v>#DIV/0!</v>
      </c>
      <c r="AQ124" s="57" t="e">
        <f t="shared" si="56"/>
        <v>#DIV/0!</v>
      </c>
      <c r="AR124" s="57" t="e">
        <f t="shared" si="57"/>
        <v>#DIV/0!</v>
      </c>
      <c r="AS124" s="57" t="e">
        <f t="shared" si="58"/>
        <v>#DIV/0!</v>
      </c>
    </row>
    <row r="125" spans="1:45" ht="33" hidden="1" customHeight="1">
      <c r="A125" s="22">
        <v>0</v>
      </c>
      <c r="B125" s="22">
        <f>'INTERNAL TEST-1  '!B125</f>
        <v>0</v>
      </c>
      <c r="C125" s="202">
        <f>'INTERNAL TEST-1  '!C125</f>
        <v>0</v>
      </c>
      <c r="D125" s="12"/>
      <c r="E125" s="12"/>
      <c r="F125" s="12"/>
      <c r="G125" s="12"/>
      <c r="H125" s="12"/>
      <c r="I125" s="12"/>
      <c r="J125" s="12"/>
      <c r="K125" s="12"/>
      <c r="L125" s="12"/>
      <c r="M125" s="12"/>
      <c r="N125" s="12"/>
      <c r="O125" s="57"/>
      <c r="P125" s="57"/>
      <c r="Q125" s="12"/>
      <c r="R125" s="12"/>
      <c r="S125" s="12"/>
      <c r="T125" s="12"/>
      <c r="U125" s="13">
        <f t="shared" si="35"/>
        <v>0</v>
      </c>
      <c r="V125" s="13">
        <f t="shared" si="36"/>
        <v>0</v>
      </c>
      <c r="W125" s="13">
        <f t="shared" si="37"/>
        <v>0</v>
      </c>
      <c r="X125" s="13">
        <f t="shared" si="38"/>
        <v>0</v>
      </c>
      <c r="Y125" s="13">
        <f t="shared" si="39"/>
        <v>0</v>
      </c>
      <c r="Z125" s="13">
        <f t="shared" si="40"/>
        <v>0</v>
      </c>
      <c r="AA125" s="13">
        <f t="shared" si="41"/>
        <v>0</v>
      </c>
      <c r="AB125" s="13">
        <f t="shared" si="42"/>
        <v>0</v>
      </c>
      <c r="AC125" s="23">
        <f t="shared" si="59"/>
        <v>0</v>
      </c>
      <c r="AD125" s="23">
        <f t="shared" si="60"/>
        <v>0</v>
      </c>
      <c r="AE125" s="23">
        <f t="shared" si="52"/>
        <v>0</v>
      </c>
      <c r="AF125" s="23">
        <f t="shared" si="53"/>
        <v>0</v>
      </c>
      <c r="AG125" s="23">
        <f t="shared" si="54"/>
        <v>0</v>
      </c>
      <c r="AH125" s="13" t="e">
        <f t="shared" si="61"/>
        <v>#DIV/0!</v>
      </c>
      <c r="AI125" s="13" t="e">
        <f t="shared" si="62"/>
        <v>#DIV/0!</v>
      </c>
      <c r="AJ125" s="10" t="e">
        <f t="shared" si="63"/>
        <v>#DIV/0!</v>
      </c>
      <c r="AK125" s="6" t="e">
        <f t="shared" si="64"/>
        <v>#DIV/0!</v>
      </c>
      <c r="AL125" s="6" t="e">
        <f t="shared" si="65"/>
        <v>#DIV/0!</v>
      </c>
      <c r="AM125" s="6" t="e">
        <f t="shared" si="66"/>
        <v>#DIV/0!</v>
      </c>
      <c r="AN125" s="6" t="e">
        <f t="shared" si="67"/>
        <v>#DIV/0!</v>
      </c>
      <c r="AO125" s="57" t="e">
        <f t="shared" si="68"/>
        <v>#DIV/0!</v>
      </c>
      <c r="AP125" s="57" t="e">
        <f t="shared" si="55"/>
        <v>#DIV/0!</v>
      </c>
      <c r="AQ125" s="57" t="e">
        <f t="shared" si="56"/>
        <v>#DIV/0!</v>
      </c>
      <c r="AR125" s="57" t="e">
        <f t="shared" si="57"/>
        <v>#DIV/0!</v>
      </c>
      <c r="AS125" s="57" t="e">
        <f t="shared" si="58"/>
        <v>#DIV/0!</v>
      </c>
    </row>
    <row r="126" spans="1:45" ht="33" hidden="1" customHeight="1">
      <c r="A126" s="22">
        <v>0</v>
      </c>
      <c r="B126" s="22">
        <f>'INTERNAL TEST-1  '!B126</f>
        <v>0</v>
      </c>
      <c r="C126" s="202">
        <f>'INTERNAL TEST-1  '!C126</f>
        <v>0</v>
      </c>
      <c r="D126" s="12"/>
      <c r="E126" s="12"/>
      <c r="F126" s="12"/>
      <c r="G126" s="12"/>
      <c r="H126" s="12"/>
      <c r="I126" s="12"/>
      <c r="J126" s="12"/>
      <c r="K126" s="12"/>
      <c r="L126" s="12"/>
      <c r="M126" s="12"/>
      <c r="N126" s="12"/>
      <c r="O126" s="57"/>
      <c r="P126" s="57"/>
      <c r="Q126" s="12"/>
      <c r="R126" s="12"/>
      <c r="S126" s="12"/>
      <c r="T126" s="12"/>
      <c r="U126" s="13">
        <f t="shared" si="35"/>
        <v>0</v>
      </c>
      <c r="V126" s="13">
        <f t="shared" si="36"/>
        <v>0</v>
      </c>
      <c r="W126" s="13">
        <f t="shared" si="37"/>
        <v>0</v>
      </c>
      <c r="X126" s="13">
        <f t="shared" si="38"/>
        <v>0</v>
      </c>
      <c r="Y126" s="13">
        <f t="shared" si="39"/>
        <v>0</v>
      </c>
      <c r="Z126" s="13">
        <f t="shared" si="40"/>
        <v>0</v>
      </c>
      <c r="AA126" s="13">
        <f t="shared" si="41"/>
        <v>0</v>
      </c>
      <c r="AB126" s="13">
        <f t="shared" si="42"/>
        <v>0</v>
      </c>
      <c r="AC126" s="23">
        <f t="shared" si="59"/>
        <v>0</v>
      </c>
      <c r="AD126" s="23">
        <f t="shared" si="60"/>
        <v>0</v>
      </c>
      <c r="AE126" s="23">
        <f t="shared" si="52"/>
        <v>0</v>
      </c>
      <c r="AF126" s="23">
        <f t="shared" si="53"/>
        <v>0</v>
      </c>
      <c r="AG126" s="23">
        <f t="shared" si="54"/>
        <v>0</v>
      </c>
      <c r="AH126" s="13" t="e">
        <f t="shared" si="61"/>
        <v>#DIV/0!</v>
      </c>
      <c r="AI126" s="13" t="e">
        <f t="shared" si="62"/>
        <v>#DIV/0!</v>
      </c>
      <c r="AJ126" s="10" t="e">
        <f t="shared" si="63"/>
        <v>#DIV/0!</v>
      </c>
      <c r="AK126" s="6" t="e">
        <f t="shared" si="64"/>
        <v>#DIV/0!</v>
      </c>
      <c r="AL126" s="6" t="e">
        <f t="shared" si="65"/>
        <v>#DIV/0!</v>
      </c>
      <c r="AM126" s="6" t="e">
        <f t="shared" si="66"/>
        <v>#DIV/0!</v>
      </c>
      <c r="AN126" s="6" t="e">
        <f t="shared" si="67"/>
        <v>#DIV/0!</v>
      </c>
      <c r="AO126" s="57" t="e">
        <f t="shared" si="68"/>
        <v>#DIV/0!</v>
      </c>
      <c r="AP126" s="57" t="e">
        <f t="shared" si="55"/>
        <v>#DIV/0!</v>
      </c>
      <c r="AQ126" s="57" t="e">
        <f t="shared" si="56"/>
        <v>#DIV/0!</v>
      </c>
      <c r="AR126" s="57" t="e">
        <f t="shared" si="57"/>
        <v>#DIV/0!</v>
      </c>
      <c r="AS126" s="57" t="e">
        <f t="shared" si="58"/>
        <v>#DIV/0!</v>
      </c>
    </row>
    <row r="127" spans="1:45" ht="33" hidden="1" customHeight="1">
      <c r="A127" s="22">
        <v>0</v>
      </c>
      <c r="B127" s="22">
        <f>'INTERNAL TEST-1  '!B127</f>
        <v>0</v>
      </c>
      <c r="C127" s="202">
        <f>'INTERNAL TEST-1  '!C127</f>
        <v>0</v>
      </c>
      <c r="D127" s="12"/>
      <c r="E127" s="12"/>
      <c r="F127" s="12"/>
      <c r="G127" s="12"/>
      <c r="H127" s="12"/>
      <c r="I127" s="12"/>
      <c r="J127" s="12"/>
      <c r="K127" s="12"/>
      <c r="L127" s="12"/>
      <c r="M127" s="12"/>
      <c r="N127" s="12"/>
      <c r="O127" s="12"/>
      <c r="P127" s="12"/>
      <c r="Q127" s="12"/>
      <c r="R127" s="12"/>
      <c r="S127" s="12"/>
      <c r="T127" s="12"/>
      <c r="U127" s="13">
        <f t="shared" si="35"/>
        <v>0</v>
      </c>
      <c r="V127" s="13">
        <f t="shared" si="36"/>
        <v>0</v>
      </c>
      <c r="W127" s="13">
        <f t="shared" si="37"/>
        <v>0</v>
      </c>
      <c r="X127" s="13">
        <f t="shared" si="38"/>
        <v>0</v>
      </c>
      <c r="Y127" s="13">
        <f t="shared" si="39"/>
        <v>0</v>
      </c>
      <c r="Z127" s="13">
        <f t="shared" si="40"/>
        <v>0</v>
      </c>
      <c r="AA127" s="13">
        <f t="shared" si="41"/>
        <v>0</v>
      </c>
      <c r="AB127" s="13">
        <f t="shared" si="42"/>
        <v>0</v>
      </c>
      <c r="AC127" s="23">
        <f t="shared" si="59"/>
        <v>0</v>
      </c>
      <c r="AD127" s="23">
        <f t="shared" si="60"/>
        <v>0</v>
      </c>
      <c r="AE127" s="23">
        <f t="shared" si="52"/>
        <v>0</v>
      </c>
      <c r="AF127" s="23">
        <f t="shared" si="53"/>
        <v>0</v>
      </c>
      <c r="AG127" s="23">
        <f t="shared" si="54"/>
        <v>0</v>
      </c>
      <c r="AH127" s="13" t="e">
        <f t="shared" si="61"/>
        <v>#DIV/0!</v>
      </c>
      <c r="AI127" s="13" t="e">
        <f t="shared" si="62"/>
        <v>#DIV/0!</v>
      </c>
      <c r="AJ127" s="10" t="e">
        <f t="shared" si="63"/>
        <v>#DIV/0!</v>
      </c>
      <c r="AK127" s="6" t="e">
        <f t="shared" si="64"/>
        <v>#DIV/0!</v>
      </c>
      <c r="AL127" s="6" t="e">
        <f t="shared" si="65"/>
        <v>#DIV/0!</v>
      </c>
      <c r="AM127" s="6" t="e">
        <f t="shared" si="66"/>
        <v>#DIV/0!</v>
      </c>
      <c r="AN127" s="6" t="e">
        <f t="shared" si="67"/>
        <v>#DIV/0!</v>
      </c>
      <c r="AO127" s="57" t="e">
        <f t="shared" si="68"/>
        <v>#DIV/0!</v>
      </c>
      <c r="AP127" s="57" t="e">
        <f t="shared" si="55"/>
        <v>#DIV/0!</v>
      </c>
      <c r="AQ127" s="57" t="e">
        <f t="shared" si="56"/>
        <v>#DIV/0!</v>
      </c>
      <c r="AR127" s="57" t="e">
        <f t="shared" si="57"/>
        <v>#DIV/0!</v>
      </c>
      <c r="AS127" s="57" t="e">
        <f t="shared" si="58"/>
        <v>#DIV/0!</v>
      </c>
    </row>
    <row r="128" spans="1:45" ht="33" hidden="1" customHeight="1">
      <c r="A128" s="22">
        <v>0</v>
      </c>
      <c r="B128" s="22">
        <f>'INTERNAL TEST-1  '!B128</f>
        <v>0</v>
      </c>
      <c r="C128" s="202">
        <f>'INTERNAL TEST-1  '!C128</f>
        <v>0</v>
      </c>
      <c r="D128" s="12"/>
      <c r="E128" s="12"/>
      <c r="F128" s="12"/>
      <c r="G128" s="12"/>
      <c r="H128" s="12"/>
      <c r="I128" s="12"/>
      <c r="J128" s="12"/>
      <c r="K128" s="12"/>
      <c r="L128" s="12"/>
      <c r="M128" s="12"/>
      <c r="N128" s="12"/>
      <c r="O128" s="12"/>
      <c r="P128" s="12"/>
      <c r="Q128" s="12"/>
      <c r="R128" s="12"/>
      <c r="S128" s="12"/>
      <c r="T128" s="12"/>
      <c r="U128" s="13">
        <f t="shared" si="35"/>
        <v>0</v>
      </c>
      <c r="V128" s="13">
        <f t="shared" si="36"/>
        <v>0</v>
      </c>
      <c r="W128" s="13">
        <f t="shared" si="37"/>
        <v>0</v>
      </c>
      <c r="X128" s="13">
        <f t="shared" si="38"/>
        <v>0</v>
      </c>
      <c r="Y128" s="13">
        <f t="shared" si="39"/>
        <v>0</v>
      </c>
      <c r="Z128" s="13">
        <f t="shared" si="40"/>
        <v>0</v>
      </c>
      <c r="AA128" s="13">
        <f t="shared" si="41"/>
        <v>0</v>
      </c>
      <c r="AB128" s="13">
        <f t="shared" si="42"/>
        <v>0</v>
      </c>
      <c r="AC128" s="23">
        <f t="shared" si="59"/>
        <v>0</v>
      </c>
      <c r="AD128" s="23">
        <f t="shared" si="60"/>
        <v>0</v>
      </c>
      <c r="AE128" s="23">
        <f t="shared" si="52"/>
        <v>0</v>
      </c>
      <c r="AF128" s="23">
        <f t="shared" si="53"/>
        <v>0</v>
      </c>
      <c r="AG128" s="23">
        <f t="shared" si="54"/>
        <v>0</v>
      </c>
      <c r="AH128" s="13" t="e">
        <f t="shared" si="61"/>
        <v>#DIV/0!</v>
      </c>
      <c r="AI128" s="13" t="e">
        <f t="shared" si="62"/>
        <v>#DIV/0!</v>
      </c>
      <c r="AJ128" s="10" t="e">
        <f t="shared" si="63"/>
        <v>#DIV/0!</v>
      </c>
      <c r="AK128" s="6" t="e">
        <f t="shared" si="64"/>
        <v>#DIV/0!</v>
      </c>
      <c r="AL128" s="6" t="e">
        <f t="shared" si="65"/>
        <v>#DIV/0!</v>
      </c>
      <c r="AM128" s="6" t="e">
        <f t="shared" si="66"/>
        <v>#DIV/0!</v>
      </c>
      <c r="AN128" s="6" t="e">
        <f t="shared" si="67"/>
        <v>#DIV/0!</v>
      </c>
      <c r="AO128" s="57" t="e">
        <f t="shared" si="68"/>
        <v>#DIV/0!</v>
      </c>
      <c r="AP128" s="57" t="e">
        <f t="shared" si="55"/>
        <v>#DIV/0!</v>
      </c>
      <c r="AQ128" s="57" t="e">
        <f t="shared" si="56"/>
        <v>#DIV/0!</v>
      </c>
      <c r="AR128" s="57" t="e">
        <f t="shared" si="57"/>
        <v>#DIV/0!</v>
      </c>
      <c r="AS128" s="57" t="e">
        <f t="shared" si="58"/>
        <v>#DIV/0!</v>
      </c>
    </row>
    <row r="129" spans="1:45" ht="33" hidden="1" customHeight="1">
      <c r="A129" s="22">
        <v>0</v>
      </c>
      <c r="B129" s="22">
        <f>'INTERNAL TEST-1  '!B129</f>
        <v>0</v>
      </c>
      <c r="C129" s="202">
        <f>'INTERNAL TEST-1  '!C129</f>
        <v>0</v>
      </c>
      <c r="D129" s="12"/>
      <c r="E129" s="12"/>
      <c r="F129" s="12"/>
      <c r="G129" s="12"/>
      <c r="H129" s="12"/>
      <c r="I129" s="12"/>
      <c r="J129" s="12"/>
      <c r="K129" s="12"/>
      <c r="L129" s="12"/>
      <c r="M129" s="12"/>
      <c r="N129" s="12"/>
      <c r="O129" s="12"/>
      <c r="P129" s="12"/>
      <c r="Q129" s="12"/>
      <c r="R129" s="12"/>
      <c r="S129" s="12"/>
      <c r="T129" s="12"/>
      <c r="U129" s="13">
        <f t="shared" si="35"/>
        <v>0</v>
      </c>
      <c r="V129" s="13">
        <f t="shared" si="36"/>
        <v>0</v>
      </c>
      <c r="W129" s="13">
        <f t="shared" si="37"/>
        <v>0</v>
      </c>
      <c r="X129" s="13">
        <f t="shared" si="38"/>
        <v>0</v>
      </c>
      <c r="Y129" s="13">
        <f t="shared" si="39"/>
        <v>0</v>
      </c>
      <c r="Z129" s="13">
        <f t="shared" si="40"/>
        <v>0</v>
      </c>
      <c r="AA129" s="13">
        <f t="shared" si="41"/>
        <v>0</v>
      </c>
      <c r="AB129" s="13">
        <f t="shared" si="42"/>
        <v>0</v>
      </c>
      <c r="AC129" s="23">
        <f t="shared" si="59"/>
        <v>0</v>
      </c>
      <c r="AD129" s="23">
        <f t="shared" si="60"/>
        <v>0</v>
      </c>
      <c r="AE129" s="23">
        <f t="shared" si="52"/>
        <v>0</v>
      </c>
      <c r="AF129" s="23">
        <f t="shared" si="53"/>
        <v>0</v>
      </c>
      <c r="AG129" s="23">
        <f t="shared" si="54"/>
        <v>0</v>
      </c>
      <c r="AH129" s="13" t="e">
        <f t="shared" si="61"/>
        <v>#DIV/0!</v>
      </c>
      <c r="AI129" s="13" t="e">
        <f t="shared" si="62"/>
        <v>#DIV/0!</v>
      </c>
      <c r="AJ129" s="10" t="e">
        <f t="shared" si="63"/>
        <v>#DIV/0!</v>
      </c>
      <c r="AK129" s="6" t="e">
        <f t="shared" si="64"/>
        <v>#DIV/0!</v>
      </c>
      <c r="AL129" s="6" t="e">
        <f t="shared" si="65"/>
        <v>#DIV/0!</v>
      </c>
      <c r="AM129" s="6" t="e">
        <f t="shared" si="66"/>
        <v>#DIV/0!</v>
      </c>
      <c r="AN129" s="6" t="e">
        <f t="shared" si="67"/>
        <v>#DIV/0!</v>
      </c>
      <c r="AO129" s="57" t="e">
        <f t="shared" si="68"/>
        <v>#DIV/0!</v>
      </c>
      <c r="AP129" s="57" t="e">
        <f t="shared" si="55"/>
        <v>#DIV/0!</v>
      </c>
      <c r="AQ129" s="57" t="e">
        <f t="shared" si="56"/>
        <v>#DIV/0!</v>
      </c>
      <c r="AR129" s="57" t="e">
        <f t="shared" si="57"/>
        <v>#DIV/0!</v>
      </c>
      <c r="AS129" s="57" t="e">
        <f t="shared" si="58"/>
        <v>#DIV/0!</v>
      </c>
    </row>
    <row r="130" spans="1:45" ht="33" hidden="1" customHeight="1">
      <c r="A130" s="22">
        <v>0</v>
      </c>
      <c r="B130" s="22">
        <f>'INTERNAL TEST-1  '!B130</f>
        <v>0</v>
      </c>
      <c r="C130" s="202">
        <f>'INTERNAL TEST-1  '!C130</f>
        <v>0</v>
      </c>
      <c r="D130" s="12"/>
      <c r="E130" s="12"/>
      <c r="F130" s="12"/>
      <c r="G130" s="12"/>
      <c r="H130" s="12"/>
      <c r="I130" s="12"/>
      <c r="J130" s="12"/>
      <c r="K130" s="12"/>
      <c r="L130" s="12"/>
      <c r="M130" s="12"/>
      <c r="N130" s="12"/>
      <c r="O130" s="12"/>
      <c r="P130" s="12"/>
      <c r="Q130" s="12"/>
      <c r="R130" s="12"/>
      <c r="S130" s="12"/>
      <c r="T130" s="12"/>
      <c r="U130" s="13">
        <f t="shared" si="35"/>
        <v>0</v>
      </c>
      <c r="V130" s="13">
        <f t="shared" si="36"/>
        <v>0</v>
      </c>
      <c r="W130" s="13">
        <f t="shared" si="37"/>
        <v>0</v>
      </c>
      <c r="X130" s="13">
        <f t="shared" si="38"/>
        <v>0</v>
      </c>
      <c r="Y130" s="13">
        <f t="shared" si="39"/>
        <v>0</v>
      </c>
      <c r="Z130" s="13">
        <f t="shared" si="40"/>
        <v>0</v>
      </c>
      <c r="AA130" s="13">
        <f t="shared" si="41"/>
        <v>0</v>
      </c>
      <c r="AB130" s="13">
        <f t="shared" si="42"/>
        <v>0</v>
      </c>
      <c r="AC130" s="23">
        <f t="shared" si="59"/>
        <v>0</v>
      </c>
      <c r="AD130" s="23">
        <f t="shared" si="60"/>
        <v>0</v>
      </c>
      <c r="AE130" s="23">
        <f t="shared" si="52"/>
        <v>0</v>
      </c>
      <c r="AF130" s="23">
        <f t="shared" si="53"/>
        <v>0</v>
      </c>
      <c r="AG130" s="23">
        <f t="shared" si="54"/>
        <v>0</v>
      </c>
      <c r="AH130" s="13" t="e">
        <f t="shared" si="61"/>
        <v>#DIV/0!</v>
      </c>
      <c r="AI130" s="13" t="e">
        <f t="shared" si="62"/>
        <v>#DIV/0!</v>
      </c>
      <c r="AJ130" s="10" t="e">
        <f t="shared" si="63"/>
        <v>#DIV/0!</v>
      </c>
      <c r="AK130" s="6" t="e">
        <f t="shared" si="64"/>
        <v>#DIV/0!</v>
      </c>
      <c r="AL130" s="6" t="e">
        <f t="shared" si="65"/>
        <v>#DIV/0!</v>
      </c>
      <c r="AM130" s="6" t="e">
        <f t="shared" si="66"/>
        <v>#DIV/0!</v>
      </c>
      <c r="AN130" s="6" t="e">
        <f t="shared" si="67"/>
        <v>#DIV/0!</v>
      </c>
      <c r="AO130" s="57" t="e">
        <f t="shared" si="68"/>
        <v>#DIV/0!</v>
      </c>
      <c r="AP130" s="57" t="e">
        <f t="shared" si="55"/>
        <v>#DIV/0!</v>
      </c>
      <c r="AQ130" s="57" t="e">
        <f t="shared" si="56"/>
        <v>#DIV/0!</v>
      </c>
      <c r="AR130" s="57" t="e">
        <f t="shared" si="57"/>
        <v>#DIV/0!</v>
      </c>
      <c r="AS130" s="57" t="e">
        <f t="shared" si="58"/>
        <v>#DIV/0!</v>
      </c>
    </row>
    <row r="131" spans="1:45" ht="33" hidden="1" customHeight="1">
      <c r="A131" s="22">
        <v>0</v>
      </c>
      <c r="B131" s="22">
        <f>'INTERNAL TEST-1  '!B131</f>
        <v>0</v>
      </c>
      <c r="C131" s="202">
        <f>'INTERNAL TEST-1  '!C131</f>
        <v>0</v>
      </c>
      <c r="D131" s="12"/>
      <c r="E131" s="12"/>
      <c r="F131" s="12"/>
      <c r="G131" s="12"/>
      <c r="H131" s="12"/>
      <c r="I131" s="12"/>
      <c r="J131" s="12"/>
      <c r="K131" s="12"/>
      <c r="L131" s="12"/>
      <c r="M131" s="12"/>
      <c r="N131" s="12"/>
      <c r="O131" s="12"/>
      <c r="P131" s="12"/>
      <c r="Q131" s="12"/>
      <c r="R131" s="12"/>
      <c r="S131" s="12"/>
      <c r="T131" s="12"/>
      <c r="U131" s="13">
        <f t="shared" si="35"/>
        <v>0</v>
      </c>
      <c r="V131" s="13">
        <f t="shared" si="36"/>
        <v>0</v>
      </c>
      <c r="W131" s="13">
        <f t="shared" si="37"/>
        <v>0</v>
      </c>
      <c r="X131" s="13">
        <f t="shared" si="38"/>
        <v>0</v>
      </c>
      <c r="Y131" s="13">
        <f t="shared" si="39"/>
        <v>0</v>
      </c>
      <c r="Z131" s="13">
        <f t="shared" si="40"/>
        <v>0</v>
      </c>
      <c r="AA131" s="13">
        <f t="shared" si="41"/>
        <v>0</v>
      </c>
      <c r="AB131" s="13">
        <f t="shared" si="42"/>
        <v>0</v>
      </c>
      <c r="AC131" s="23">
        <f t="shared" si="59"/>
        <v>0</v>
      </c>
      <c r="AD131" s="23">
        <f t="shared" si="60"/>
        <v>0</v>
      </c>
      <c r="AE131" s="23">
        <f t="shared" si="52"/>
        <v>0</v>
      </c>
      <c r="AF131" s="23">
        <f t="shared" si="53"/>
        <v>0</v>
      </c>
      <c r="AG131" s="23">
        <f t="shared" si="54"/>
        <v>0</v>
      </c>
      <c r="AH131" s="13" t="e">
        <f t="shared" si="61"/>
        <v>#DIV/0!</v>
      </c>
      <c r="AI131" s="13" t="e">
        <f t="shared" si="62"/>
        <v>#DIV/0!</v>
      </c>
      <c r="AJ131" s="10" t="e">
        <f t="shared" si="63"/>
        <v>#DIV/0!</v>
      </c>
      <c r="AK131" s="6" t="e">
        <f t="shared" si="64"/>
        <v>#DIV/0!</v>
      </c>
      <c r="AL131" s="6" t="e">
        <f t="shared" si="65"/>
        <v>#DIV/0!</v>
      </c>
      <c r="AM131" s="6" t="e">
        <f t="shared" si="66"/>
        <v>#DIV/0!</v>
      </c>
      <c r="AN131" s="6" t="e">
        <f t="shared" si="67"/>
        <v>#DIV/0!</v>
      </c>
      <c r="AO131" s="57" t="e">
        <f t="shared" si="68"/>
        <v>#DIV/0!</v>
      </c>
      <c r="AP131" s="57" t="e">
        <f t="shared" si="55"/>
        <v>#DIV/0!</v>
      </c>
      <c r="AQ131" s="57" t="e">
        <f t="shared" si="56"/>
        <v>#DIV/0!</v>
      </c>
      <c r="AR131" s="57" t="e">
        <f t="shared" si="57"/>
        <v>#DIV/0!</v>
      </c>
      <c r="AS131" s="57" t="e">
        <f t="shared" si="58"/>
        <v>#DIV/0!</v>
      </c>
    </row>
    <row r="132" spans="1:45" ht="33" hidden="1" customHeight="1">
      <c r="A132" s="22">
        <v>0</v>
      </c>
      <c r="B132" s="22">
        <f>'INTERNAL TEST-1  '!B132</f>
        <v>0</v>
      </c>
      <c r="C132" s="202">
        <f>'INTERNAL TEST-1  '!C132</f>
        <v>0</v>
      </c>
      <c r="D132" s="12"/>
      <c r="E132" s="12"/>
      <c r="F132" s="12"/>
      <c r="G132" s="12"/>
      <c r="H132" s="12"/>
      <c r="I132" s="12"/>
      <c r="J132" s="12"/>
      <c r="K132" s="12"/>
      <c r="L132" s="12"/>
      <c r="M132" s="12"/>
      <c r="N132" s="12"/>
      <c r="O132" s="12"/>
      <c r="P132" s="12"/>
      <c r="Q132" s="12"/>
      <c r="R132" s="12"/>
      <c r="S132" s="12"/>
      <c r="T132" s="12"/>
      <c r="U132" s="13">
        <f t="shared" si="35"/>
        <v>0</v>
      </c>
      <c r="V132" s="13">
        <f t="shared" si="36"/>
        <v>0</v>
      </c>
      <c r="W132" s="13">
        <f t="shared" si="37"/>
        <v>0</v>
      </c>
      <c r="X132" s="13">
        <f t="shared" si="38"/>
        <v>0</v>
      </c>
      <c r="Y132" s="13">
        <f t="shared" si="39"/>
        <v>0</v>
      </c>
      <c r="Z132" s="13">
        <f t="shared" si="40"/>
        <v>0</v>
      </c>
      <c r="AA132" s="13">
        <f t="shared" si="41"/>
        <v>0</v>
      </c>
      <c r="AB132" s="13">
        <f t="shared" si="42"/>
        <v>0</v>
      </c>
      <c r="AC132" s="23">
        <f t="shared" si="59"/>
        <v>0</v>
      </c>
      <c r="AD132" s="23">
        <f t="shared" si="60"/>
        <v>0</v>
      </c>
      <c r="AE132" s="23">
        <f t="shared" si="52"/>
        <v>0</v>
      </c>
      <c r="AF132" s="23">
        <f t="shared" si="53"/>
        <v>0</v>
      </c>
      <c r="AG132" s="23">
        <f t="shared" si="54"/>
        <v>0</v>
      </c>
      <c r="AH132" s="13" t="e">
        <f t="shared" si="61"/>
        <v>#DIV/0!</v>
      </c>
      <c r="AI132" s="13" t="e">
        <f t="shared" si="62"/>
        <v>#DIV/0!</v>
      </c>
      <c r="AJ132" s="10" t="e">
        <f t="shared" si="63"/>
        <v>#DIV/0!</v>
      </c>
      <c r="AK132" s="6" t="e">
        <f t="shared" si="64"/>
        <v>#DIV/0!</v>
      </c>
      <c r="AL132" s="6" t="e">
        <f t="shared" si="65"/>
        <v>#DIV/0!</v>
      </c>
      <c r="AM132" s="6" t="e">
        <f t="shared" si="66"/>
        <v>#DIV/0!</v>
      </c>
      <c r="AN132" s="6" t="e">
        <f t="shared" si="67"/>
        <v>#DIV/0!</v>
      </c>
      <c r="AO132" s="57" t="e">
        <f t="shared" si="68"/>
        <v>#DIV/0!</v>
      </c>
      <c r="AP132" s="57" t="e">
        <f t="shared" si="55"/>
        <v>#DIV/0!</v>
      </c>
      <c r="AQ132" s="57" t="e">
        <f t="shared" si="56"/>
        <v>#DIV/0!</v>
      </c>
      <c r="AR132" s="57" t="e">
        <f t="shared" si="57"/>
        <v>#DIV/0!</v>
      </c>
      <c r="AS132" s="57" t="e">
        <f t="shared" si="58"/>
        <v>#DIV/0!</v>
      </c>
    </row>
    <row r="133" spans="1:45" ht="33" hidden="1" customHeight="1">
      <c r="A133" s="22">
        <v>0</v>
      </c>
      <c r="B133" s="22">
        <f>'INTERNAL TEST-1  '!B133</f>
        <v>0</v>
      </c>
      <c r="C133" s="202">
        <f>'INTERNAL TEST-1  '!C133</f>
        <v>0</v>
      </c>
      <c r="D133" s="12"/>
      <c r="E133" s="12"/>
      <c r="F133" s="12"/>
      <c r="G133" s="12"/>
      <c r="H133" s="12"/>
      <c r="I133" s="12"/>
      <c r="J133" s="12"/>
      <c r="K133" s="12"/>
      <c r="L133" s="12"/>
      <c r="M133" s="12"/>
      <c r="N133" s="12"/>
      <c r="O133" s="12"/>
      <c r="P133" s="12"/>
      <c r="Q133" s="12"/>
      <c r="R133" s="12"/>
      <c r="S133" s="12"/>
      <c r="T133" s="12"/>
      <c r="U133" s="13">
        <f t="shared" si="35"/>
        <v>0</v>
      </c>
      <c r="V133" s="13">
        <f t="shared" si="36"/>
        <v>0</v>
      </c>
      <c r="W133" s="13">
        <f t="shared" si="37"/>
        <v>0</v>
      </c>
      <c r="X133" s="13">
        <f t="shared" si="38"/>
        <v>0</v>
      </c>
      <c r="Y133" s="13">
        <f t="shared" si="39"/>
        <v>0</v>
      </c>
      <c r="Z133" s="13">
        <f t="shared" si="40"/>
        <v>0</v>
      </c>
      <c r="AA133" s="13">
        <f t="shared" si="41"/>
        <v>0</v>
      </c>
      <c r="AB133" s="13">
        <f t="shared" si="42"/>
        <v>0</v>
      </c>
      <c r="AC133" s="23">
        <f t="shared" si="59"/>
        <v>0</v>
      </c>
      <c r="AD133" s="23">
        <f t="shared" si="60"/>
        <v>0</v>
      </c>
      <c r="AE133" s="23">
        <f t="shared" si="52"/>
        <v>0</v>
      </c>
      <c r="AF133" s="23">
        <f t="shared" si="53"/>
        <v>0</v>
      </c>
      <c r="AG133" s="23">
        <f t="shared" si="54"/>
        <v>0</v>
      </c>
      <c r="AH133" s="13" t="e">
        <f t="shared" si="61"/>
        <v>#DIV/0!</v>
      </c>
      <c r="AI133" s="13" t="e">
        <f t="shared" si="62"/>
        <v>#DIV/0!</v>
      </c>
      <c r="AJ133" s="10" t="e">
        <f t="shared" si="63"/>
        <v>#DIV/0!</v>
      </c>
      <c r="AK133" s="6" t="e">
        <f t="shared" si="64"/>
        <v>#DIV/0!</v>
      </c>
      <c r="AL133" s="6" t="e">
        <f t="shared" si="65"/>
        <v>#DIV/0!</v>
      </c>
      <c r="AM133" s="6" t="e">
        <f t="shared" si="66"/>
        <v>#DIV/0!</v>
      </c>
      <c r="AN133" s="6" t="e">
        <f t="shared" si="67"/>
        <v>#DIV/0!</v>
      </c>
      <c r="AO133" s="57" t="e">
        <f t="shared" si="68"/>
        <v>#DIV/0!</v>
      </c>
      <c r="AP133" s="57" t="e">
        <f t="shared" si="55"/>
        <v>#DIV/0!</v>
      </c>
      <c r="AQ133" s="57" t="e">
        <f t="shared" si="56"/>
        <v>#DIV/0!</v>
      </c>
      <c r="AR133" s="57" t="e">
        <f t="shared" si="57"/>
        <v>#DIV/0!</v>
      </c>
      <c r="AS133" s="57" t="e">
        <f t="shared" si="58"/>
        <v>#DIV/0!</v>
      </c>
    </row>
    <row r="134" spans="1:45" ht="33" hidden="1" customHeight="1">
      <c r="A134" s="22">
        <v>0</v>
      </c>
      <c r="B134" s="22">
        <f>'INTERNAL TEST-1  '!B134</f>
        <v>0</v>
      </c>
      <c r="C134" s="202">
        <f>'INTERNAL TEST-1  '!C134</f>
        <v>0</v>
      </c>
      <c r="D134" s="12"/>
      <c r="E134" s="12"/>
      <c r="F134" s="12"/>
      <c r="G134" s="12"/>
      <c r="H134" s="12"/>
      <c r="I134" s="12"/>
      <c r="J134" s="12"/>
      <c r="K134" s="12"/>
      <c r="L134" s="12"/>
      <c r="M134" s="12"/>
      <c r="N134" s="12"/>
      <c r="O134" s="12"/>
      <c r="P134" s="12"/>
      <c r="Q134" s="12"/>
      <c r="R134" s="12"/>
      <c r="S134" s="12"/>
      <c r="T134" s="12"/>
      <c r="U134" s="13">
        <f t="shared" si="35"/>
        <v>0</v>
      </c>
      <c r="V134" s="13">
        <f t="shared" si="36"/>
        <v>0</v>
      </c>
      <c r="W134" s="13">
        <f t="shared" si="37"/>
        <v>0</v>
      </c>
      <c r="X134" s="13">
        <f t="shared" si="38"/>
        <v>0</v>
      </c>
      <c r="Y134" s="13">
        <f t="shared" si="39"/>
        <v>0</v>
      </c>
      <c r="Z134" s="13">
        <f t="shared" si="40"/>
        <v>0</v>
      </c>
      <c r="AA134" s="13">
        <f t="shared" si="41"/>
        <v>0</v>
      </c>
      <c r="AB134" s="13">
        <f t="shared" si="42"/>
        <v>0</v>
      </c>
      <c r="AC134" s="23">
        <f t="shared" si="59"/>
        <v>0</v>
      </c>
      <c r="AD134" s="23">
        <f t="shared" si="60"/>
        <v>0</v>
      </c>
      <c r="AE134" s="23">
        <f t="shared" si="52"/>
        <v>0</v>
      </c>
      <c r="AF134" s="23">
        <f t="shared" si="53"/>
        <v>0</v>
      </c>
      <c r="AG134" s="23">
        <f t="shared" si="54"/>
        <v>0</v>
      </c>
      <c r="AH134" s="13" t="e">
        <f t="shared" si="61"/>
        <v>#DIV/0!</v>
      </c>
      <c r="AI134" s="13" t="e">
        <f t="shared" si="62"/>
        <v>#DIV/0!</v>
      </c>
      <c r="AJ134" s="10" t="e">
        <f t="shared" si="63"/>
        <v>#DIV/0!</v>
      </c>
      <c r="AK134" s="6" t="e">
        <f t="shared" si="64"/>
        <v>#DIV/0!</v>
      </c>
      <c r="AL134" s="6" t="e">
        <f t="shared" si="65"/>
        <v>#DIV/0!</v>
      </c>
      <c r="AM134" s="6" t="e">
        <f t="shared" si="66"/>
        <v>#DIV/0!</v>
      </c>
      <c r="AN134" s="6" t="e">
        <f t="shared" si="67"/>
        <v>#DIV/0!</v>
      </c>
      <c r="AO134" s="57" t="e">
        <f t="shared" si="68"/>
        <v>#DIV/0!</v>
      </c>
      <c r="AP134" s="57" t="e">
        <f t="shared" si="55"/>
        <v>#DIV/0!</v>
      </c>
      <c r="AQ134" s="57" t="e">
        <f t="shared" si="56"/>
        <v>#DIV/0!</v>
      </c>
      <c r="AR134" s="57" t="e">
        <f t="shared" si="57"/>
        <v>#DIV/0!</v>
      </c>
      <c r="AS134" s="57" t="e">
        <f t="shared" si="58"/>
        <v>#DIV/0!</v>
      </c>
    </row>
    <row r="135" spans="1:45" ht="33" hidden="1" customHeight="1">
      <c r="A135" s="22">
        <v>0</v>
      </c>
      <c r="B135" s="22">
        <f>'INTERNAL TEST-1  '!B135</f>
        <v>0</v>
      </c>
      <c r="C135" s="202">
        <f>'INTERNAL TEST-1  '!C135</f>
        <v>0</v>
      </c>
      <c r="D135" s="12"/>
      <c r="E135" s="12"/>
      <c r="F135" s="12"/>
      <c r="G135" s="12"/>
      <c r="H135" s="12"/>
      <c r="I135" s="12"/>
      <c r="J135" s="12"/>
      <c r="K135" s="12"/>
      <c r="L135" s="12"/>
      <c r="M135" s="12"/>
      <c r="N135" s="12"/>
      <c r="O135" s="12"/>
      <c r="P135" s="12"/>
      <c r="Q135" s="12"/>
      <c r="R135" s="12"/>
      <c r="S135" s="12"/>
      <c r="T135" s="12"/>
      <c r="U135" s="13">
        <f t="shared" si="35"/>
        <v>0</v>
      </c>
      <c r="V135" s="13">
        <f t="shared" si="36"/>
        <v>0</v>
      </c>
      <c r="W135" s="13">
        <f t="shared" si="37"/>
        <v>0</v>
      </c>
      <c r="X135" s="13">
        <f t="shared" si="38"/>
        <v>0</v>
      </c>
      <c r="Y135" s="13">
        <f t="shared" si="39"/>
        <v>0</v>
      </c>
      <c r="Z135" s="13">
        <f t="shared" si="40"/>
        <v>0</v>
      </c>
      <c r="AA135" s="13">
        <f t="shared" si="41"/>
        <v>0</v>
      </c>
      <c r="AB135" s="13">
        <f t="shared" si="42"/>
        <v>0</v>
      </c>
      <c r="AC135" s="23">
        <f t="shared" si="59"/>
        <v>0</v>
      </c>
      <c r="AD135" s="23">
        <f t="shared" si="60"/>
        <v>0</v>
      </c>
      <c r="AE135" s="23">
        <f t="shared" si="52"/>
        <v>0</v>
      </c>
      <c r="AF135" s="23">
        <f t="shared" si="53"/>
        <v>0</v>
      </c>
      <c r="AG135" s="23">
        <f t="shared" si="54"/>
        <v>0</v>
      </c>
      <c r="AH135" s="13" t="e">
        <f t="shared" si="61"/>
        <v>#DIV/0!</v>
      </c>
      <c r="AI135" s="13" t="e">
        <f t="shared" si="62"/>
        <v>#DIV/0!</v>
      </c>
      <c r="AJ135" s="10" t="e">
        <f t="shared" si="63"/>
        <v>#DIV/0!</v>
      </c>
      <c r="AK135" s="6" t="e">
        <f t="shared" si="64"/>
        <v>#DIV/0!</v>
      </c>
      <c r="AL135" s="6" t="e">
        <f t="shared" si="65"/>
        <v>#DIV/0!</v>
      </c>
      <c r="AM135" s="6" t="e">
        <f t="shared" si="66"/>
        <v>#DIV/0!</v>
      </c>
      <c r="AN135" s="6" t="e">
        <f t="shared" si="67"/>
        <v>#DIV/0!</v>
      </c>
      <c r="AO135" s="57" t="e">
        <f t="shared" si="68"/>
        <v>#DIV/0!</v>
      </c>
      <c r="AP135" s="57" t="e">
        <f t="shared" si="55"/>
        <v>#DIV/0!</v>
      </c>
      <c r="AQ135" s="57" t="e">
        <f t="shared" si="56"/>
        <v>#DIV/0!</v>
      </c>
      <c r="AR135" s="57" t="e">
        <f t="shared" si="57"/>
        <v>#DIV/0!</v>
      </c>
      <c r="AS135" s="57" t="e">
        <f t="shared" si="58"/>
        <v>#DIV/0!</v>
      </c>
    </row>
    <row r="136" spans="1:45" ht="33" hidden="1" customHeight="1">
      <c r="A136" s="22">
        <v>0</v>
      </c>
      <c r="B136" s="22">
        <f>'INTERNAL TEST-1  '!B136</f>
        <v>0</v>
      </c>
      <c r="C136" s="202">
        <f>'INTERNAL TEST-1  '!C136</f>
        <v>0</v>
      </c>
      <c r="D136" s="12"/>
      <c r="E136" s="12"/>
      <c r="F136" s="12"/>
      <c r="G136" s="12"/>
      <c r="H136" s="12"/>
      <c r="I136" s="12"/>
      <c r="J136" s="12"/>
      <c r="K136" s="12"/>
      <c r="L136" s="12"/>
      <c r="M136" s="12"/>
      <c r="N136" s="12"/>
      <c r="O136" s="12"/>
      <c r="P136" s="12"/>
      <c r="Q136" s="12"/>
      <c r="R136" s="12"/>
      <c r="S136" s="12"/>
      <c r="T136" s="12"/>
      <c r="U136" s="13">
        <f t="shared" si="35"/>
        <v>0</v>
      </c>
      <c r="V136" s="13">
        <f t="shared" si="36"/>
        <v>0</v>
      </c>
      <c r="W136" s="13">
        <f t="shared" si="37"/>
        <v>0</v>
      </c>
      <c r="X136" s="13">
        <f t="shared" si="38"/>
        <v>0</v>
      </c>
      <c r="Y136" s="13">
        <f t="shared" si="39"/>
        <v>0</v>
      </c>
      <c r="Z136" s="13">
        <f t="shared" si="40"/>
        <v>0</v>
      </c>
      <c r="AA136" s="13">
        <f t="shared" si="41"/>
        <v>0</v>
      </c>
      <c r="AB136" s="13">
        <f t="shared" si="42"/>
        <v>0</v>
      </c>
      <c r="AC136" s="23">
        <f t="shared" si="59"/>
        <v>0</v>
      </c>
      <c r="AD136" s="23">
        <f t="shared" si="60"/>
        <v>0</v>
      </c>
      <c r="AE136" s="23">
        <f t="shared" si="52"/>
        <v>0</v>
      </c>
      <c r="AF136" s="23">
        <f t="shared" si="53"/>
        <v>0</v>
      </c>
      <c r="AG136" s="23">
        <f t="shared" si="54"/>
        <v>0</v>
      </c>
      <c r="AH136" s="13" t="e">
        <f t="shared" si="61"/>
        <v>#DIV/0!</v>
      </c>
      <c r="AI136" s="13" t="e">
        <f t="shared" si="62"/>
        <v>#DIV/0!</v>
      </c>
      <c r="AJ136" s="10" t="e">
        <f t="shared" si="63"/>
        <v>#DIV/0!</v>
      </c>
      <c r="AK136" s="6" t="e">
        <f t="shared" si="64"/>
        <v>#DIV/0!</v>
      </c>
      <c r="AL136" s="6" t="e">
        <f t="shared" si="65"/>
        <v>#DIV/0!</v>
      </c>
      <c r="AM136" s="6" t="e">
        <f t="shared" si="66"/>
        <v>#DIV/0!</v>
      </c>
      <c r="AN136" s="6" t="e">
        <f t="shared" si="67"/>
        <v>#DIV/0!</v>
      </c>
      <c r="AO136" s="57" t="e">
        <f t="shared" si="68"/>
        <v>#DIV/0!</v>
      </c>
      <c r="AP136" s="57" t="e">
        <f t="shared" si="55"/>
        <v>#DIV/0!</v>
      </c>
      <c r="AQ136" s="57" t="e">
        <f t="shared" si="56"/>
        <v>#DIV/0!</v>
      </c>
      <c r="AR136" s="57" t="e">
        <f t="shared" si="57"/>
        <v>#DIV/0!</v>
      </c>
      <c r="AS136" s="57" t="e">
        <f t="shared" si="58"/>
        <v>#DIV/0!</v>
      </c>
    </row>
    <row r="137" spans="1:45" ht="33" hidden="1" customHeight="1">
      <c r="A137" s="22">
        <v>0</v>
      </c>
      <c r="B137" s="22">
        <f>'INTERNAL TEST-1  '!B137</f>
        <v>0</v>
      </c>
      <c r="C137" s="202">
        <f>'INTERNAL TEST-1  '!C137</f>
        <v>0</v>
      </c>
      <c r="D137" s="12"/>
      <c r="E137" s="12"/>
      <c r="F137" s="12"/>
      <c r="G137" s="12"/>
      <c r="H137" s="12"/>
      <c r="I137" s="12"/>
      <c r="J137" s="12"/>
      <c r="K137" s="12"/>
      <c r="L137" s="12"/>
      <c r="M137" s="12"/>
      <c r="N137" s="12"/>
      <c r="O137" s="12"/>
      <c r="P137" s="12"/>
      <c r="Q137" s="12"/>
      <c r="R137" s="12"/>
      <c r="S137" s="12"/>
      <c r="T137" s="12"/>
      <c r="U137" s="13">
        <f t="shared" si="35"/>
        <v>0</v>
      </c>
      <c r="V137" s="13">
        <f t="shared" si="36"/>
        <v>0</v>
      </c>
      <c r="W137" s="13">
        <f t="shared" si="37"/>
        <v>0</v>
      </c>
      <c r="X137" s="13">
        <f t="shared" si="38"/>
        <v>0</v>
      </c>
      <c r="Y137" s="13">
        <f t="shared" si="39"/>
        <v>0</v>
      </c>
      <c r="Z137" s="13">
        <f t="shared" si="40"/>
        <v>0</v>
      </c>
      <c r="AA137" s="13">
        <f t="shared" si="41"/>
        <v>0</v>
      </c>
      <c r="AB137" s="13">
        <f t="shared" si="42"/>
        <v>0</v>
      </c>
      <c r="AC137" s="23">
        <f t="shared" si="59"/>
        <v>0</v>
      </c>
      <c r="AD137" s="23">
        <f t="shared" si="60"/>
        <v>0</v>
      </c>
      <c r="AE137" s="23">
        <f t="shared" si="52"/>
        <v>0</v>
      </c>
      <c r="AF137" s="23">
        <f t="shared" si="53"/>
        <v>0</v>
      </c>
      <c r="AG137" s="23">
        <f t="shared" si="54"/>
        <v>0</v>
      </c>
      <c r="AH137" s="13" t="e">
        <f t="shared" si="61"/>
        <v>#DIV/0!</v>
      </c>
      <c r="AI137" s="13" t="e">
        <f t="shared" si="62"/>
        <v>#DIV/0!</v>
      </c>
      <c r="AJ137" s="10" t="e">
        <f t="shared" si="63"/>
        <v>#DIV/0!</v>
      </c>
      <c r="AK137" s="6" t="e">
        <f t="shared" si="64"/>
        <v>#DIV/0!</v>
      </c>
      <c r="AL137" s="6" t="e">
        <f t="shared" si="65"/>
        <v>#DIV/0!</v>
      </c>
      <c r="AM137" s="6" t="e">
        <f t="shared" si="66"/>
        <v>#DIV/0!</v>
      </c>
      <c r="AN137" s="6" t="e">
        <f t="shared" si="67"/>
        <v>#DIV/0!</v>
      </c>
      <c r="AO137" s="57" t="e">
        <f t="shared" si="68"/>
        <v>#DIV/0!</v>
      </c>
      <c r="AP137" s="57" t="e">
        <f t="shared" si="55"/>
        <v>#DIV/0!</v>
      </c>
      <c r="AQ137" s="57" t="e">
        <f t="shared" si="56"/>
        <v>#DIV/0!</v>
      </c>
      <c r="AR137" s="57" t="e">
        <f t="shared" si="57"/>
        <v>#DIV/0!</v>
      </c>
      <c r="AS137" s="57" t="e">
        <f t="shared" si="58"/>
        <v>#DIV/0!</v>
      </c>
    </row>
    <row r="138" spans="1:45" ht="33" hidden="1" customHeight="1">
      <c r="A138" s="22">
        <v>0</v>
      </c>
      <c r="B138" s="22">
        <f>'INTERNAL TEST-1  '!B138</f>
        <v>0</v>
      </c>
      <c r="C138" s="202">
        <f>'INTERNAL TEST-1  '!C138</f>
        <v>0</v>
      </c>
      <c r="D138" s="12"/>
      <c r="E138" s="12"/>
      <c r="F138" s="12"/>
      <c r="G138" s="12"/>
      <c r="H138" s="12"/>
      <c r="I138" s="12"/>
      <c r="J138" s="12"/>
      <c r="K138" s="12"/>
      <c r="L138" s="12"/>
      <c r="M138" s="12"/>
      <c r="N138" s="12"/>
      <c r="O138" s="12"/>
      <c r="P138" s="12"/>
      <c r="Q138" s="12"/>
      <c r="R138" s="12"/>
      <c r="S138" s="12"/>
      <c r="T138" s="12"/>
      <c r="U138" s="13">
        <f t="shared" si="35"/>
        <v>0</v>
      </c>
      <c r="V138" s="13">
        <f t="shared" si="36"/>
        <v>0</v>
      </c>
      <c r="W138" s="13">
        <f t="shared" si="37"/>
        <v>0</v>
      </c>
      <c r="X138" s="13">
        <f t="shared" si="38"/>
        <v>0</v>
      </c>
      <c r="Y138" s="13">
        <f t="shared" si="39"/>
        <v>0</v>
      </c>
      <c r="Z138" s="13">
        <f t="shared" si="40"/>
        <v>0</v>
      </c>
      <c r="AA138" s="13">
        <f t="shared" si="41"/>
        <v>0</v>
      </c>
      <c r="AB138" s="13">
        <f t="shared" si="42"/>
        <v>0</v>
      </c>
      <c r="AC138" s="23">
        <f t="shared" si="59"/>
        <v>0</v>
      </c>
      <c r="AD138" s="23">
        <f t="shared" si="60"/>
        <v>0</v>
      </c>
      <c r="AE138" s="23">
        <f t="shared" si="52"/>
        <v>0</v>
      </c>
      <c r="AF138" s="23">
        <f t="shared" si="53"/>
        <v>0</v>
      </c>
      <c r="AG138" s="23">
        <f t="shared" si="54"/>
        <v>0</v>
      </c>
      <c r="AH138" s="13" t="e">
        <f t="shared" si="61"/>
        <v>#DIV/0!</v>
      </c>
      <c r="AI138" s="13" t="e">
        <f t="shared" si="62"/>
        <v>#DIV/0!</v>
      </c>
      <c r="AJ138" s="10" t="e">
        <f t="shared" si="63"/>
        <v>#DIV/0!</v>
      </c>
      <c r="AK138" s="6" t="e">
        <f t="shared" si="64"/>
        <v>#DIV/0!</v>
      </c>
      <c r="AL138" s="6" t="e">
        <f t="shared" si="65"/>
        <v>#DIV/0!</v>
      </c>
      <c r="AM138" s="6" t="e">
        <f t="shared" si="66"/>
        <v>#DIV/0!</v>
      </c>
      <c r="AN138" s="6" t="e">
        <f t="shared" si="67"/>
        <v>#DIV/0!</v>
      </c>
      <c r="AO138" s="57" t="e">
        <f t="shared" si="68"/>
        <v>#DIV/0!</v>
      </c>
      <c r="AP138" s="57" t="e">
        <f t="shared" si="55"/>
        <v>#DIV/0!</v>
      </c>
      <c r="AQ138" s="57" t="e">
        <f t="shared" si="56"/>
        <v>#DIV/0!</v>
      </c>
      <c r="AR138" s="57" t="e">
        <f t="shared" si="57"/>
        <v>#DIV/0!</v>
      </c>
      <c r="AS138" s="57" t="e">
        <f t="shared" si="58"/>
        <v>#DIV/0!</v>
      </c>
    </row>
    <row r="139" spans="1:45" ht="33" hidden="1" customHeight="1">
      <c r="A139" s="22">
        <v>0</v>
      </c>
      <c r="B139" s="22">
        <f>'INTERNAL TEST-1  '!B139</f>
        <v>0</v>
      </c>
      <c r="C139" s="202">
        <f>'INTERNAL TEST-1  '!C139</f>
        <v>0</v>
      </c>
      <c r="D139" s="90"/>
      <c r="E139" s="90"/>
      <c r="F139" s="90"/>
      <c r="G139" s="90"/>
      <c r="H139" s="90"/>
      <c r="I139" s="90"/>
      <c r="J139" s="90"/>
      <c r="K139" s="90"/>
      <c r="L139" s="90"/>
      <c r="M139" s="90"/>
      <c r="N139" s="90"/>
      <c r="O139" s="90"/>
      <c r="P139" s="90"/>
      <c r="Q139" s="90"/>
      <c r="R139" s="90"/>
      <c r="S139" s="90"/>
      <c r="T139" s="90"/>
      <c r="U139" s="91">
        <f>SUM(D139:T139)</f>
        <v>0</v>
      </c>
      <c r="V139" s="91">
        <f t="shared" si="36"/>
        <v>0</v>
      </c>
      <c r="W139" s="91">
        <f t="shared" si="37"/>
        <v>0</v>
      </c>
      <c r="X139" s="91">
        <f t="shared" si="38"/>
        <v>0</v>
      </c>
      <c r="Y139" s="91">
        <f t="shared" si="39"/>
        <v>0</v>
      </c>
      <c r="Z139" s="91">
        <f t="shared" si="40"/>
        <v>0</v>
      </c>
      <c r="AA139" s="91">
        <f t="shared" si="41"/>
        <v>0</v>
      </c>
      <c r="AB139" s="91">
        <f t="shared" si="42"/>
        <v>0</v>
      </c>
      <c r="AC139" s="92">
        <f t="shared" si="59"/>
        <v>0</v>
      </c>
      <c r="AD139" s="92">
        <f t="shared" si="60"/>
        <v>0</v>
      </c>
      <c r="AE139" s="92">
        <f t="shared" si="52"/>
        <v>0</v>
      </c>
      <c r="AF139" s="92">
        <f t="shared" si="53"/>
        <v>0</v>
      </c>
      <c r="AG139" s="92">
        <f t="shared" si="54"/>
        <v>0</v>
      </c>
      <c r="AH139" s="91" t="e">
        <f t="shared" si="61"/>
        <v>#DIV/0!</v>
      </c>
      <c r="AI139" s="91" t="e">
        <f t="shared" si="62"/>
        <v>#DIV/0!</v>
      </c>
      <c r="AJ139" s="11" t="e">
        <f t="shared" si="63"/>
        <v>#DIV/0!</v>
      </c>
      <c r="AK139" s="7" t="e">
        <f t="shared" si="64"/>
        <v>#DIV/0!</v>
      </c>
      <c r="AL139" s="7" t="e">
        <f t="shared" si="65"/>
        <v>#DIV/0!</v>
      </c>
      <c r="AM139" s="7" t="e">
        <f t="shared" si="66"/>
        <v>#DIV/0!</v>
      </c>
      <c r="AN139" s="7" t="e">
        <f t="shared" si="67"/>
        <v>#DIV/0!</v>
      </c>
      <c r="AO139" s="93" t="e">
        <f t="shared" si="68"/>
        <v>#DIV/0!</v>
      </c>
      <c r="AP139" s="93" t="e">
        <f t="shared" si="55"/>
        <v>#DIV/0!</v>
      </c>
      <c r="AQ139" s="93" t="e">
        <f t="shared" si="56"/>
        <v>#DIV/0!</v>
      </c>
      <c r="AR139" s="93" t="e">
        <f t="shared" si="57"/>
        <v>#DIV/0!</v>
      </c>
      <c r="AS139" s="93" t="e">
        <f t="shared" si="58"/>
        <v>#DIV/0!</v>
      </c>
    </row>
    <row r="140" spans="1:45" ht="19.2" customHeight="1">
      <c r="A140" s="151" t="s">
        <v>50</v>
      </c>
      <c r="B140" s="151"/>
      <c r="C140" s="151"/>
      <c r="D140" s="151"/>
      <c r="E140" s="151"/>
      <c r="F140" s="151"/>
      <c r="G140" s="151"/>
      <c r="H140" s="151"/>
      <c r="I140" s="151"/>
      <c r="J140" s="151"/>
      <c r="K140" s="151"/>
      <c r="L140" s="151"/>
      <c r="M140" s="151"/>
      <c r="N140" s="151"/>
      <c r="O140" s="151"/>
      <c r="P140" s="151"/>
      <c r="Q140" s="151"/>
      <c r="R140" s="151"/>
      <c r="S140" s="151"/>
      <c r="T140" s="151"/>
      <c r="U140" s="151"/>
      <c r="V140" s="151"/>
      <c r="W140" s="151"/>
      <c r="X140" s="151"/>
      <c r="Y140" s="151"/>
      <c r="Z140" s="151"/>
      <c r="AA140" s="151"/>
      <c r="AB140" s="151"/>
      <c r="AC140" s="151"/>
      <c r="AD140" s="151"/>
      <c r="AE140" s="151"/>
      <c r="AF140" s="151"/>
      <c r="AG140" s="151"/>
      <c r="AH140" s="87" t="e">
        <f>ROUND(SUM(AH14:AH139)/INPUT!$B$8,2)</f>
        <v>#DIV/0!</v>
      </c>
      <c r="AI140" s="87" t="e">
        <f>ROUND(SUM(AI14:AI139)/INPUT!$B$8,2)</f>
        <v>#DIV/0!</v>
      </c>
      <c r="AJ140" s="87" t="e">
        <f>ROUND(SUM(AJ14:AJ139)/INPUT!$B$8,2)</f>
        <v>#DIV/0!</v>
      </c>
      <c r="AK140" s="87" t="e">
        <f>ROUND(SUM(AK14:AK139)/INPUT!$B$8,2)</f>
        <v>#DIV/0!</v>
      </c>
      <c r="AL140" s="87" t="e">
        <f>ROUND(SUM(AL14:AL139)/INPUT!$B$8,2)</f>
        <v>#DIV/0!</v>
      </c>
      <c r="AM140" s="87" t="e">
        <f>ROUND(SUM(AM14:AM139)/INPUT!$B$8,2)</f>
        <v>#DIV/0!</v>
      </c>
      <c r="AN140" s="87" t="e">
        <f>ROUND(SUM(AN14:AN139)/INPUT!$B$8,2)</f>
        <v>#DIV/0!</v>
      </c>
      <c r="AO140" s="87" t="e">
        <f>ROUND(SUM(AO14:AO139)/INPUT!$B$8,2)</f>
        <v>#DIV/0!</v>
      </c>
      <c r="AP140" s="87" t="e">
        <f>ROUND(SUM(AP14:AP139)/INPUT!$B$8,2)</f>
        <v>#DIV/0!</v>
      </c>
      <c r="AQ140" s="87" t="e">
        <f>ROUND(SUM(AQ14:AQ139)/INPUT!$B$8,2)</f>
        <v>#DIV/0!</v>
      </c>
      <c r="AR140" s="87" t="e">
        <f>ROUND(SUM(AR14:AR139)/INPUT!$B$8,2)</f>
        <v>#DIV/0!</v>
      </c>
      <c r="AS140" s="87" t="e">
        <f>ROUND(SUM(AS14:AS139)/INPUT!$B$8,2)</f>
        <v>#DIV/0!</v>
      </c>
    </row>
    <row r="141" spans="1:45" ht="21.9" customHeight="1">
      <c r="A141" s="151" t="s">
        <v>105</v>
      </c>
      <c r="B141" s="151"/>
      <c r="C141" s="151"/>
      <c r="D141" s="151"/>
      <c r="E141" s="151"/>
      <c r="F141" s="151"/>
      <c r="G141" s="151"/>
      <c r="H141" s="151"/>
      <c r="I141" s="151"/>
      <c r="J141" s="151"/>
      <c r="K141" s="151"/>
      <c r="L141" s="151"/>
      <c r="M141" s="151"/>
      <c r="N141" s="151"/>
      <c r="O141" s="151"/>
      <c r="P141" s="151"/>
      <c r="Q141" s="151"/>
      <c r="R141" s="151"/>
      <c r="S141" s="151"/>
      <c r="T141" s="151"/>
      <c r="U141" s="151"/>
      <c r="V141" s="151"/>
      <c r="W141" s="151"/>
      <c r="X141" s="151"/>
      <c r="Y141" s="151"/>
      <c r="Z141" s="151"/>
      <c r="AA141" s="151"/>
      <c r="AB141" s="151"/>
      <c r="AC141" s="151"/>
      <c r="AD141" s="151"/>
      <c r="AE141" s="151"/>
      <c r="AF141" s="151"/>
      <c r="AG141" s="151"/>
      <c r="AH141" s="87">
        <f>INPUT!E12</f>
        <v>50</v>
      </c>
      <c r="AI141" s="87">
        <f>INPUT!E13</f>
        <v>50</v>
      </c>
      <c r="AJ141" s="87">
        <f>INPUT!E14</f>
        <v>50</v>
      </c>
      <c r="AK141" s="87">
        <f>INPUT!E15</f>
        <v>50</v>
      </c>
      <c r="AL141" s="87" t="str">
        <f>INPUT!E16</f>
        <v>_</v>
      </c>
      <c r="AM141" s="87" t="str">
        <f>INPUT!E17</f>
        <v>_</v>
      </c>
      <c r="AN141" s="87" t="str">
        <f>INPUT!E18</f>
        <v>_</v>
      </c>
      <c r="AO141" s="87" t="str">
        <f>INPUT!E19</f>
        <v>_</v>
      </c>
      <c r="AP141" s="88" t="str">
        <f>INPUT!E20</f>
        <v>_</v>
      </c>
      <c r="AQ141" s="88" t="str">
        <f>INPUT!E21</f>
        <v>_</v>
      </c>
      <c r="AR141" s="88" t="str">
        <f>INPUT!E22</f>
        <v>_</v>
      </c>
      <c r="AS141" s="88" t="str">
        <f>INPUT!E23</f>
        <v>_</v>
      </c>
    </row>
    <row r="142" spans="1:45" ht="21.9" customHeight="1">
      <c r="A142" s="151" t="s">
        <v>106</v>
      </c>
      <c r="B142" s="151"/>
      <c r="C142" s="151"/>
      <c r="D142" s="151"/>
      <c r="E142" s="151"/>
      <c r="F142" s="151"/>
      <c r="G142" s="151"/>
      <c r="H142" s="151"/>
      <c r="I142" s="151"/>
      <c r="J142" s="151"/>
      <c r="K142" s="151"/>
      <c r="L142" s="151"/>
      <c r="M142" s="151"/>
      <c r="N142" s="151"/>
      <c r="O142" s="151"/>
      <c r="P142" s="151"/>
      <c r="Q142" s="151"/>
      <c r="R142" s="151"/>
      <c r="S142" s="151"/>
      <c r="T142" s="151"/>
      <c r="U142" s="151"/>
      <c r="V142" s="151"/>
      <c r="W142" s="151"/>
      <c r="X142" s="151"/>
      <c r="Y142" s="151"/>
      <c r="Z142" s="151"/>
      <c r="AA142" s="151"/>
      <c r="AB142" s="151"/>
      <c r="AC142" s="151"/>
      <c r="AD142" s="151"/>
      <c r="AE142" s="151"/>
      <c r="AF142" s="151"/>
      <c r="AG142" s="151"/>
      <c r="AH142" s="8">
        <f t="shared" ref="AH142:AS142" si="69">COUNTIF(AH14:AH139,"&gt;="&amp;AH141)</f>
        <v>0</v>
      </c>
      <c r="AI142" s="8">
        <f t="shared" si="69"/>
        <v>0</v>
      </c>
      <c r="AJ142" s="8">
        <f t="shared" si="69"/>
        <v>0</v>
      </c>
      <c r="AK142" s="8">
        <f t="shared" si="69"/>
        <v>0</v>
      </c>
      <c r="AL142" s="8">
        <f t="shared" si="69"/>
        <v>0</v>
      </c>
      <c r="AM142" s="8">
        <f t="shared" si="69"/>
        <v>0</v>
      </c>
      <c r="AN142" s="8">
        <f t="shared" si="69"/>
        <v>0</v>
      </c>
      <c r="AO142" s="8">
        <f t="shared" si="69"/>
        <v>0</v>
      </c>
      <c r="AP142" s="8">
        <f t="shared" si="69"/>
        <v>0</v>
      </c>
      <c r="AQ142" s="8">
        <f t="shared" si="69"/>
        <v>0</v>
      </c>
      <c r="AR142" s="8">
        <f t="shared" si="69"/>
        <v>0</v>
      </c>
      <c r="AS142" s="8">
        <f t="shared" si="69"/>
        <v>0</v>
      </c>
    </row>
    <row r="143" spans="1:45" ht="21.9" customHeight="1">
      <c r="A143" s="151" t="s">
        <v>107</v>
      </c>
      <c r="B143" s="151"/>
      <c r="C143" s="151"/>
      <c r="D143" s="151"/>
      <c r="E143" s="151"/>
      <c r="F143" s="151"/>
      <c r="G143" s="151"/>
      <c r="H143" s="151"/>
      <c r="I143" s="151"/>
      <c r="J143" s="151"/>
      <c r="K143" s="151"/>
      <c r="L143" s="151"/>
      <c r="M143" s="151"/>
      <c r="N143" s="151"/>
      <c r="O143" s="151"/>
      <c r="P143" s="151"/>
      <c r="Q143" s="151"/>
      <c r="R143" s="151"/>
      <c r="S143" s="151"/>
      <c r="T143" s="151"/>
      <c r="U143" s="151"/>
      <c r="V143" s="151"/>
      <c r="W143" s="151"/>
      <c r="X143" s="151"/>
      <c r="Y143" s="151"/>
      <c r="Z143" s="151"/>
      <c r="AA143" s="151"/>
      <c r="AB143" s="151"/>
      <c r="AC143" s="151"/>
      <c r="AD143" s="151"/>
      <c r="AE143" s="151"/>
      <c r="AF143" s="151"/>
      <c r="AG143" s="151"/>
      <c r="AH143" s="15" t="e">
        <f>ROUND((AH142/INPUT!$B$8)*100,2)</f>
        <v>#DIV/0!</v>
      </c>
      <c r="AI143" s="15" t="e">
        <f>ROUND((AI142/INPUT!$B$8)*100,2)</f>
        <v>#DIV/0!</v>
      </c>
      <c r="AJ143" s="15" t="e">
        <f>ROUND((AJ142/INPUT!$B$8)*100,2)</f>
        <v>#DIV/0!</v>
      </c>
      <c r="AK143" s="15" t="e">
        <f>ROUND((AK142/INPUT!$B$8)*100,2)</f>
        <v>#DIV/0!</v>
      </c>
      <c r="AL143" s="15" t="e">
        <f>ROUND((AL142/INPUT!$B$8)*100,2)</f>
        <v>#DIV/0!</v>
      </c>
      <c r="AM143" s="15" t="e">
        <f>ROUND((AM142/INPUT!$B$8)*100,2)</f>
        <v>#DIV/0!</v>
      </c>
      <c r="AN143" s="15" t="e">
        <f>ROUND((AN142/INPUT!$B$8)*100,2)</f>
        <v>#DIV/0!</v>
      </c>
      <c r="AO143" s="15" t="e">
        <f>ROUND((AO142/INPUT!$B$8)*100,2)</f>
        <v>#DIV/0!</v>
      </c>
      <c r="AP143" s="15" t="e">
        <f>ROUND((AP142/INPUT!$B$8)*100,2)</f>
        <v>#DIV/0!</v>
      </c>
      <c r="AQ143" s="15" t="e">
        <f>ROUND((AQ142/INPUT!$B$8)*100,2)</f>
        <v>#DIV/0!</v>
      </c>
      <c r="AR143" s="15" t="e">
        <f>ROUND((AR142/INPUT!$B$8)*100,2)</f>
        <v>#DIV/0!</v>
      </c>
      <c r="AS143" s="15" t="e">
        <f>ROUND((AS142/INPUT!$B$8)*100,2)</f>
        <v>#DIV/0!</v>
      </c>
    </row>
    <row r="144" spans="1:45" ht="14.4" customHeight="1">
      <c r="A144" s="151" t="s">
        <v>47</v>
      </c>
      <c r="B144" s="151"/>
      <c r="C144" s="151"/>
      <c r="D144" s="151"/>
      <c r="E144" s="151"/>
      <c r="F144" s="151"/>
      <c r="G144" s="151"/>
      <c r="H144" s="151"/>
      <c r="I144" s="151"/>
      <c r="J144" s="151"/>
      <c r="K144" s="151"/>
      <c r="L144" s="151"/>
      <c r="M144" s="151"/>
      <c r="N144" s="151"/>
      <c r="O144" s="151"/>
      <c r="P144" s="151"/>
      <c r="Q144" s="151"/>
      <c r="R144" s="151"/>
      <c r="S144" s="151"/>
      <c r="T144" s="151"/>
      <c r="U144" s="151"/>
      <c r="V144" s="151"/>
      <c r="W144" s="151"/>
      <c r="X144" s="151"/>
      <c r="Y144" s="151"/>
      <c r="Z144" s="151"/>
      <c r="AA144" s="151"/>
      <c r="AB144" s="151"/>
      <c r="AC144" s="151"/>
      <c r="AD144" s="151"/>
      <c r="AE144" s="151"/>
      <c r="AF144" s="151"/>
      <c r="AG144" s="151"/>
      <c r="AH144" s="15"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5"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5"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5"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5"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5"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5"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15"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15"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15"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15"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15"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sheetProtection algorithmName="SHA-512" hashValue="SMLUYYPl1o5a4hvFPlSBYBMKdeNnlWrz+F/VurOf/XREfvcHJn6WbW4m4PHCfU704kN+XwN91V7MrtEfhQJTkA==" saltValue="wtM8idQbBaEQgrCkTq1tXQ==" spinCount="100000" sheet="1" objects="1" scenarios="1"/>
  <mergeCells count="45">
    <mergeCell ref="A142:AG142"/>
    <mergeCell ref="A143:AG143"/>
    <mergeCell ref="A144:AG144"/>
    <mergeCell ref="AQ10:AQ13"/>
    <mergeCell ref="AR10:AR13"/>
    <mergeCell ref="Y10:Y13"/>
    <mergeCell ref="Z10:Z13"/>
    <mergeCell ref="AA10:AA13"/>
    <mergeCell ref="AB10:AB13"/>
    <mergeCell ref="AC10:AC13"/>
    <mergeCell ref="AD10:AD13"/>
    <mergeCell ref="AS10:AS13"/>
    <mergeCell ref="U11:U13"/>
    <mergeCell ref="A140:AG140"/>
    <mergeCell ref="A141:AG141"/>
    <mergeCell ref="AK10:AK13"/>
    <mergeCell ref="AL10:AL13"/>
    <mergeCell ref="AM10:AM13"/>
    <mergeCell ref="AN10:AN13"/>
    <mergeCell ref="AO10:AO13"/>
    <mergeCell ref="AP10:AP13"/>
    <mergeCell ref="AE10:AE13"/>
    <mergeCell ref="AF10:AF13"/>
    <mergeCell ref="AG10:AG13"/>
    <mergeCell ref="AH10:AH13"/>
    <mergeCell ref="AI10:AI13"/>
    <mergeCell ref="AJ10:AJ13"/>
    <mergeCell ref="A7:B7"/>
    <mergeCell ref="C7:H7"/>
    <mergeCell ref="L7:P7"/>
    <mergeCell ref="R7:AI7"/>
    <mergeCell ref="A10:A13"/>
    <mergeCell ref="B10:B13"/>
    <mergeCell ref="C10:C13"/>
    <mergeCell ref="V10:V13"/>
    <mergeCell ref="W10:W13"/>
    <mergeCell ref="X10:X13"/>
    <mergeCell ref="A1:AN1"/>
    <mergeCell ref="A2:AN2"/>
    <mergeCell ref="A3:AN3"/>
    <mergeCell ref="A4:AN4"/>
    <mergeCell ref="A6:B6"/>
    <mergeCell ref="D6:F6"/>
    <mergeCell ref="L6:P6"/>
    <mergeCell ref="R6:U6"/>
  </mergeCells>
  <pageMargins left="0.19685039370078741" right="0.11811023622047245" top="0.35433070866141736" bottom="0.22" header="0.31496062992125984" footer="0.14000000000000001"/>
  <pageSetup paperSize="9"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S144"/>
  <sheetViews>
    <sheetView workbookViewId="0">
      <selection activeCell="A9" sqref="A9:XFD9"/>
    </sheetView>
  </sheetViews>
  <sheetFormatPr defaultColWidth="9.109375" defaultRowHeight="14.4"/>
  <cols>
    <col min="1" max="1" width="8" style="2" customWidth="1"/>
    <col min="2" max="2" width="16.109375" style="2" customWidth="1"/>
    <col min="3" max="3" width="26.33203125" style="2" bestFit="1" customWidth="1"/>
    <col min="4" max="20" width="7.6640625" style="2" hidden="1" customWidth="1"/>
    <col min="21" max="21" width="6.77734375" style="2" customWidth="1"/>
    <col min="22" max="22" width="7" style="2" hidden="1" customWidth="1"/>
    <col min="23" max="23" width="9.21875" style="2" hidden="1" customWidth="1"/>
    <col min="24" max="33" width="9.109375" style="2" hidden="1" customWidth="1"/>
    <col min="34" max="40" width="10.44140625" style="2" hidden="1" customWidth="1"/>
    <col min="41" max="41" width="9.6640625" style="2" hidden="1" customWidth="1"/>
    <col min="42" max="45" width="9.109375" style="2" hidden="1" customWidth="1"/>
    <col min="46" max="16384" width="9.109375" style="2"/>
  </cols>
  <sheetData>
    <row r="1" spans="1:45" ht="20.399999999999999">
      <c r="A1" s="144" t="s">
        <v>0</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5" ht="21">
      <c r="A2" s="155">
        <f>INPUT!B2</f>
        <v>0</v>
      </c>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row>
    <row r="3" spans="1:45" ht="21">
      <c r="A3" s="145" t="s">
        <v>118</v>
      </c>
      <c r="B3" s="145"/>
      <c r="C3" s="145"/>
      <c r="D3" s="145"/>
      <c r="E3" s="145"/>
      <c r="F3" s="145"/>
      <c r="G3" s="145"/>
      <c r="H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row>
    <row r="4" spans="1:45" ht="21" hidden="1">
      <c r="A4" s="145"/>
      <c r="B4" s="145"/>
      <c r="C4" s="145"/>
      <c r="D4" s="145"/>
      <c r="E4" s="145"/>
      <c r="F4" s="145"/>
      <c r="G4" s="145"/>
      <c r="H4" s="145"/>
      <c r="I4" s="145"/>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row>
    <row r="5" spans="1:45" ht="21" hidden="1">
      <c r="A5" s="31"/>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84"/>
      <c r="AD5" s="84"/>
      <c r="AE5" s="84"/>
      <c r="AF5" s="84"/>
      <c r="AG5" s="84"/>
      <c r="AH5" s="31"/>
      <c r="AI5" s="31"/>
      <c r="AJ5" s="31"/>
      <c r="AK5" s="31"/>
      <c r="AL5" s="31"/>
      <c r="AM5" s="31"/>
      <c r="AN5" s="31"/>
    </row>
    <row r="6" spans="1:45" ht="21">
      <c r="A6" s="142" t="s">
        <v>56</v>
      </c>
      <c r="B6" s="142"/>
      <c r="C6" s="63">
        <f>INPUT!B3</f>
        <v>0</v>
      </c>
      <c r="D6" s="146" t="s">
        <v>57</v>
      </c>
      <c r="E6" s="146"/>
      <c r="F6" s="146"/>
      <c r="G6" s="5"/>
      <c r="H6" s="63">
        <f>INPUT!B4</f>
        <v>0</v>
      </c>
      <c r="I6" s="5"/>
      <c r="J6" s="5"/>
      <c r="K6" s="5"/>
      <c r="L6" s="142" t="s">
        <v>70</v>
      </c>
      <c r="M6" s="142"/>
      <c r="N6" s="142"/>
      <c r="O6" s="142"/>
      <c r="P6" s="142"/>
      <c r="Q6" s="4"/>
      <c r="R6" s="154">
        <f>INPUT!B5</f>
        <v>0</v>
      </c>
      <c r="S6" s="154"/>
      <c r="T6" s="154"/>
      <c r="U6" s="154"/>
      <c r="V6" s="4"/>
      <c r="W6" s="4"/>
      <c r="X6" s="4"/>
      <c r="Y6" s="4"/>
      <c r="Z6" s="4"/>
      <c r="AA6" s="4"/>
      <c r="AB6" s="4"/>
      <c r="AC6" s="4"/>
      <c r="AD6" s="4"/>
      <c r="AE6" s="4"/>
      <c r="AF6" s="4"/>
      <c r="AG6" s="4"/>
      <c r="AH6" s="4"/>
      <c r="AI6" s="4"/>
      <c r="AJ6" s="4"/>
      <c r="AK6" s="4"/>
      <c r="AL6" s="4"/>
      <c r="AM6" s="4"/>
      <c r="AN6" s="4"/>
    </row>
    <row r="7" spans="1:45" ht="21">
      <c r="A7" s="142" t="s">
        <v>61</v>
      </c>
      <c r="B7" s="142"/>
      <c r="C7" s="154">
        <f>INPUT!B7</f>
        <v>0</v>
      </c>
      <c r="D7" s="154"/>
      <c r="E7" s="154"/>
      <c r="F7" s="154"/>
      <c r="G7" s="154"/>
      <c r="H7" s="154"/>
      <c r="I7" s="5"/>
      <c r="J7" s="5"/>
      <c r="K7" s="5"/>
      <c r="L7" s="142" t="s">
        <v>69</v>
      </c>
      <c r="M7" s="142"/>
      <c r="N7" s="142"/>
      <c r="O7" s="142"/>
      <c r="P7" s="142"/>
      <c r="Q7" s="4"/>
      <c r="R7" s="154">
        <f>INPUT!B6</f>
        <v>0</v>
      </c>
      <c r="S7" s="154"/>
      <c r="T7" s="154"/>
      <c r="U7" s="154"/>
      <c r="V7" s="154"/>
      <c r="W7" s="154"/>
      <c r="X7" s="154"/>
      <c r="Y7" s="154"/>
      <c r="Z7" s="154"/>
      <c r="AA7" s="154"/>
      <c r="AB7" s="154"/>
      <c r="AC7" s="154"/>
      <c r="AD7" s="154"/>
      <c r="AE7" s="154"/>
      <c r="AF7" s="154"/>
      <c r="AG7" s="154"/>
      <c r="AH7" s="154"/>
      <c r="AI7" s="154"/>
      <c r="AJ7" s="4"/>
      <c r="AK7" s="4"/>
      <c r="AL7" s="4"/>
      <c r="AM7" s="4"/>
      <c r="AN7" s="4"/>
    </row>
    <row r="8" spans="1:45" ht="21">
      <c r="A8" s="32"/>
      <c r="B8" s="32"/>
      <c r="C8" s="32"/>
      <c r="D8" s="32"/>
      <c r="E8" s="32"/>
      <c r="F8" s="32"/>
      <c r="G8" s="32"/>
      <c r="H8" s="32"/>
      <c r="I8" s="5"/>
      <c r="J8" s="5"/>
      <c r="K8" s="5"/>
      <c r="L8" s="32"/>
      <c r="M8" s="32"/>
      <c r="N8" s="32"/>
      <c r="O8" s="32"/>
      <c r="P8" s="32"/>
      <c r="Q8" s="4"/>
      <c r="R8" s="32"/>
      <c r="S8" s="32"/>
      <c r="T8" s="32"/>
      <c r="U8" s="32"/>
      <c r="V8" s="32"/>
      <c r="W8" s="32"/>
      <c r="X8" s="32"/>
      <c r="Y8" s="32"/>
      <c r="Z8" s="32"/>
      <c r="AA8" s="32"/>
      <c r="AB8" s="32"/>
      <c r="AC8" s="85"/>
      <c r="AD8" s="85"/>
      <c r="AE8" s="85"/>
      <c r="AF8" s="85"/>
      <c r="AG8" s="85"/>
      <c r="AH8" s="32"/>
      <c r="AI8" s="32"/>
      <c r="AJ8" s="4"/>
      <c r="AK8" s="4"/>
      <c r="AL8" s="4"/>
      <c r="AM8" s="4"/>
      <c r="AN8" s="4"/>
    </row>
    <row r="9" spans="1:45" ht="26.4" hidden="1" customHeight="1">
      <c r="A9" s="61">
        <f>INPUT!B8</f>
        <v>0</v>
      </c>
      <c r="B9" s="4"/>
      <c r="C9" s="4"/>
      <c r="D9" s="4"/>
      <c r="E9" s="4"/>
      <c r="F9" s="4"/>
      <c r="G9" s="4"/>
      <c r="H9" s="4"/>
      <c r="I9" s="4"/>
      <c r="J9" s="4"/>
      <c r="K9" s="4"/>
      <c r="L9" s="4"/>
      <c r="M9" s="4"/>
      <c r="N9" s="4"/>
      <c r="O9" s="4"/>
      <c r="P9" s="4"/>
      <c r="Q9" s="4"/>
      <c r="R9" s="4"/>
      <c r="S9" s="4"/>
      <c r="T9" s="4"/>
      <c r="U9" s="4"/>
      <c r="V9" s="61">
        <f>IF(D12="CO1",D13,0)+IF(E12="CO1",E13,0)+IF(F12="CO1",F13,0)+IF(G12="CO1",G13,0)+IF(H12="CO1",H13,0)+IF(I12="CO1",I13,0)+IF(J12="CO1",J13,0)+IF(K12="CO1",K13,0)+IF(L12="CO1",L13,0)+IF(M12="CO1",M13,0)+IF(N12="CO1",N13,0)+IF(O12="CO1",O13,0)+IF(P12="CO1",P13,0)+IF(Q12="CO1",Q13,0)+IF(R12="CO1",R13,0)+IF(S12="CO1",S13,0)+IF(T12="CO1",T13,0)</f>
        <v>0</v>
      </c>
      <c r="W9" s="61">
        <f>IF(D12="CO2",D13,0)+IF(E12="CO2",E13,0)+IF(F12="CO2",F13,0)+IF(G12="CO2",G13,0)+IF(H12="CO2",H13,0)+IF(I12="CO2",I13,0)+IF(J12="CO2",J13,0)+IF(K12="CO2",K13,0)+IF(L12="CO2",L13,0)+IF(M12="CO2",M13,0)+IF(N12="CO2",N13,0)+IF(O12="CO2",O13,0)+IF(P12="CO2",P13,0)+IF(Q12="CO2",Q13,0)+IF(R12="CO2",R13,0)+IF(S12="CO2",S13,0)+IF(T12="CO2",T13,0)</f>
        <v>0</v>
      </c>
      <c r="X9" s="61">
        <f>IF(D12="CO3",D13,0)+IF(E12="CO3",E13,0)+IF(F12="CO3",F13,0)+IF(G12="CO3",G13,0)+IF(H12="CO3",H13,0)+IF(I12="CO3",I13,0)+IF(J12="CO3",J13,0)+IF(K12="CO3",K13,0)+IF(L12="CO3",L13,0)+IF(M12="CO3",M13,0)+IF(N12="CO3",N13,0)+IF(O12="CO3",O13,0)+IF(P12="CO3",P13,0)+IF(Q12="CO3",Q13,0)+IF(R12="CO3",R13,0)+IF(S12="CO3",S13,0)+IF(T12="CO3",T13,0)</f>
        <v>0</v>
      </c>
      <c r="Y9" s="61">
        <f>IF(D12="CO4",D13,0)+IF(E12="CO4",E13,0)+IF(F12="CO4",F13,0)+IF(G12="CO4",G13,0)+IF(H12="CO4",H13,0)+IF(I12="CO4",I13,0)+IF(J12="CO4",J13,0)+IF(K12="CO4",K13,0)+IF(L12="CO4",L13,0)+IF(M12="CO4",M13,0)+IF(N12="CO4",N13,0)+IF(O12="CO4",O13,0)+IF(P12="CO4",P13,0)+IF(Q12="CO4",Q13,0)+IF(R12="CO4",R13,0)+IF(S12="CO4",S13,0)+IF(T12="CO4",T13,0)</f>
        <v>0</v>
      </c>
      <c r="Z9" s="61">
        <f>IF(D12="CO5",D13,0)+IF(E12="CO5",E13,0)+IF(F12="CO5",F13,0)+IF(G12="CO5",G13,0)+IF(H12="CO5",H13,0)+IF(I12="CO5",I13,0)+IF(J12="CO5",J13,0)+IF(K12="CO5",K13,0)+IF(L12="CO5",L13,0)+IF(M12="CO5",M13,0)+IF(N12="CO5",N13,0)+IF(O12="CO5",O13,0)+IF(P12="CO5",P13,0)+IF(Q12="CO5",Q13,0)+IF(R12="CO5",R13,0)+IF(S12="CO5",S13,0)+IF(T12="CO5",T13,0)</f>
        <v>0</v>
      </c>
      <c r="AA9" s="61">
        <f>IF(D12="CO6",D13,0)+IF(E12="CO6",E13,0)+IF(F12="CO6",F13,0)+IF(G12="CO6",G13,0)+IF(H12="CO6",H13,0)+IF(I12="CO6",I13,0)+IF(J12="CO6",J13,0)+IF(K12="CO6",K13,0)+IF(L12="CO6",L13,0)+IF(M12="CO6",M13,0)+IF(N12="CO6",N13,0)+IF(O12="CO6",O13,0)+IF(P12="CO6",P13,0)+IF(Q12="CO6",Q13,0)+IF(R12="CO6",R13,0)+IF(S12="CO6",S13,0)+IF(T12="CO6",T13,0)</f>
        <v>0</v>
      </c>
      <c r="AB9" s="61">
        <f>IF(D12="CO7",D13,0)+IF(E12="CO7",E13,0)+IF(F12="CO7",F13,0)+IF(G12="CO7",G13,0)+IF(H12="CO7",H13,0)+IF(I12="CO7",I13,0)+IF(J12="CO7",J13,0)+IF(K12="CO7",K13,0)+IF(L12="CO7",L13,0)+IF(M12="CO7",M13,0)+IF(N12="CO7",N13,0)+IF(O12="CO7",O13,0)+IF(P12="CO7",P13,0)+IF(Q12="CO7",Q13,0)+IF(R12="CO7",R13,0)+IF(S12="CO7",S13,0)+IF(T12="CO7",T13,0)</f>
        <v>0</v>
      </c>
      <c r="AC9" s="61">
        <f>IF(D12="CO8",D13,0)+IF(E12="CO8",E13,0)+IF(F12="CO8",F13,0)+IF(G12="CO8",G13,0)+IF(H12="CO8",H13,0)+IF(I12="CO8",I13,0)+IF(J12="CO8",J13,0)+IF(K12="CO8",K13,0)+IF(L12="CO8",L13,0)+IF(M12="CO8",M13,0)+IF(N12="CO8",N13,0)+IF(O12="CO8",O13,0)+IF(P12="CO8",P13,0)+IF(Q12="CO8",Q13,0)+IF(R12="CO8",R13,0)+IF(S12="CO8",S13,0)+IF(T12="CO8",T13,0)</f>
        <v>0</v>
      </c>
      <c r="AD9" s="61">
        <f>IF(D12="CO9",D13,0)+IF(E12="CO9",E13,0)+IF(F12="CO9",F13,0)+IF(G12="CO9",G13,0)+IF(H12="CO9",H13,0)+IF(I12="CO9",I13,0)+IF(J12="CO9",J13,0)+IF(K12="CO9",K13,0)+IF(L12="CO9",L13,0)+IF(M12="CO9",M13,0)+IF(N12="CO9",N13,0)+IF(O12="CO9",O13,0)+IF(P12="CO9",P13,0)+IF(Q12="CO9",Q13,0)+IF(R12="CO9",R13,0)+IF(S12="CO9",S13,0)+IF(T12="CO9",T13,0)</f>
        <v>0</v>
      </c>
      <c r="AE9" s="61">
        <f>IF(D12="CO10",D13,0)+IF(E12="CO10",E13,0)+IF(F12="CO10",F13,0)+IF(G12="CO10",G13,0)+IF(H12="CO10",H13,0)+IF(I12="CO10",I13,0)+IF(J12="CO10",J13,0)+IF(K12="CO10",K13,0)+IF(L12="CO10",L13,0)+IF(M12="CO10",M13,0)+IF(N12="CO10",N13,0)+IF(O12="CO10",O13,0)+IF(P12="CO10",P13,0)+IF(Q12="CO10",Q13,0)+IF(R12="CO10",R13,0)+IF(S12="CO10",S13,0)+IF(T12="CO10",T13,0)</f>
        <v>0</v>
      </c>
      <c r="AF9" s="61">
        <f>IF(D12="CO11",D13,0)+IF(E12="CO11",E13,0)+IF(F12="CO11",F13,0)+IF(G12="CO11",G13,0)+IF(H12="CO11",H13,0)+IF(I12="CO11",I13,0)+IF(J12="CO11",J13,0)+IF(K12="CO11",K13,0)+IF(L12="CO11",L13,0)+IF(M12="CO11",M13,0)+IF(N12="CO11",N13,0)+IF(O12="CO11",O13,0)+IF(P12="CO11",P13,0)+IF(Q12="CO11",Q13,0)+IF(R12="CO11",R13,0)+IF(S12="CO11",S13,0)+IF(T12="CO11",T13,0)</f>
        <v>0</v>
      </c>
      <c r="AG9" s="61">
        <f>IF(D12="CO12",D13,0)+IF(E12="CO12",E13,0)+IF(F12="CO12",F13,0)+IF(G12="CO12",G13,0)+IF(H12="CO12",H13,0)+IF(I12="CO12",I13,0)+IF(J12="CO12",J13,0)+IF(K12="CO12",K13,0)+IF(L12="CO12",L13,0)+IF(M12="CO12",M13,0)+IF(N12="CO12",N13,0)+IF(O12="CO12",O13,0)+IF(P12="CO12",P13,0)+IF(Q12="CO12",Q13,0)+IF(R12="CO12",R13,0)+IF(S12="CO12",S13,0)+IF(T12="CO12",T13,0)</f>
        <v>0</v>
      </c>
      <c r="AH9" s="4"/>
      <c r="AI9" s="4"/>
      <c r="AJ9" s="4"/>
      <c r="AK9" s="4"/>
      <c r="AL9" s="4"/>
      <c r="AM9" s="4"/>
      <c r="AN9" s="4"/>
    </row>
    <row r="10" spans="1:45" ht="15.75" customHeight="1">
      <c r="A10" s="152" t="s">
        <v>73</v>
      </c>
      <c r="B10" s="153" t="s">
        <v>55</v>
      </c>
      <c r="C10" s="152" t="s">
        <v>1</v>
      </c>
      <c r="D10" s="14" t="str">
        <f>CONCATENATE("A",INPUT!Q3)</f>
        <v>A</v>
      </c>
      <c r="E10" s="14" t="str">
        <f>CONCATENATE("A",INPUT!Q4)</f>
        <v>A</v>
      </c>
      <c r="F10" s="14" t="str">
        <f>CONCATENATE("A",INPUT!Q5)</f>
        <v>A</v>
      </c>
      <c r="G10" s="14" t="str">
        <f>CONCATENATE("A",INPUT!Q6)</f>
        <v>A</v>
      </c>
      <c r="H10" s="14" t="str">
        <f>CONCATENATE("A",INPUT!Q7)</f>
        <v>A</v>
      </c>
      <c r="I10" s="14" t="str">
        <f>CONCATENATE("A",INPUT!Q8)</f>
        <v>A</v>
      </c>
      <c r="J10" s="14" t="str">
        <f>CONCATENATE("A",INPUT!Q9)</f>
        <v>A</v>
      </c>
      <c r="K10" s="14" t="str">
        <f>CONCATENATE("A",INPUT!Q10)</f>
        <v>A</v>
      </c>
      <c r="L10" s="14" t="str">
        <f>CONCATENATE("A",INPUT!Q11)</f>
        <v>A</v>
      </c>
      <c r="M10" s="14" t="str">
        <f>CONCATENATE("A",INPUT!Q12)</f>
        <v>A</v>
      </c>
      <c r="N10" s="14" t="str">
        <f>CONCATENATE("A",INPUT!Q13)</f>
        <v>A</v>
      </c>
      <c r="O10" s="14" t="str">
        <f>CONCATENATE("A",INPUT!Q14)</f>
        <v>A</v>
      </c>
      <c r="P10" s="14" t="str">
        <f>CONCATENATE("A",INPUT!Q15)</f>
        <v>A</v>
      </c>
      <c r="Q10" s="14" t="str">
        <f>CONCATENATE("A",INPUT!Q16)</f>
        <v>A</v>
      </c>
      <c r="R10" s="14" t="str">
        <f>CONCATENATE("A",INPUT!Q17)</f>
        <v>A</v>
      </c>
      <c r="S10" s="14" t="str">
        <f>CONCATENATE("A",INPUT!Q18)</f>
        <v>A</v>
      </c>
      <c r="T10" s="14" t="str">
        <f>CONCATENATE("A",INPUT!Q19)</f>
        <v>A</v>
      </c>
      <c r="U10" s="30" t="s">
        <v>3</v>
      </c>
      <c r="V10" s="140" t="str">
        <f>CONCATENATE("Marks obtained  in CO1 (",IF(D12="CO1",D13,0)+IF(E12="CO1",E13,0)+IF(F12="CO1",F13,0)+IF(G12="CO1",G13,0)+IF(H12="CO1",H13,0)+IF(I12="CO1",I13,0)+IF(J12="CO1",J13,0)+IF(K12="CO1",K13,0)+IF(L12="CO1",L13,0)+IF(M12="CO1",M13,0)+IF(N12="CO1",N13,0)+IF(O12="CO1",O13,0)+IF(P12="CO1",P13,0)+IF(Q12="CO1",Q13,0)+IF(R12="CO1",R13,0)+IF(S12="CO1",S13,0)+IF(T12="CO1",T13,0),")")</f>
        <v>Marks obtained  in CO1 (0)</v>
      </c>
      <c r="W10" s="140" t="str">
        <f>CONCATENATE("Marks obtained  in CO2 (",IF(D12="CO2",D13,0)+IF(E12="CO2",E13,0)+IF(F12="CO2",F13,0)+IF(G12="CO2",G13,0)+IF(H12="CO2",H13,0)+IF(I12="CO2",I13,0)+IF(J12="CO2",J13,0)+IF(K12="CO2",K13,0)+IF(L12="CO2",L13,0)+IF(M12="CO2",M13,0)+IF(N12="CO2",N13,0)+IF(O12="CO2",O13,0)+IF(P12="CO2",P13,0)+IF(Q12="CO2",Q13,0)+IF(R12="CO2",R13,0)+IF(S12="CO2",S13,0)+IF(T12="CO2",T13,0),")")</f>
        <v>Marks obtained  in CO2 (0)</v>
      </c>
      <c r="X10" s="140" t="str">
        <f>CONCATENATE("Marks obtained  in CO3 (",IF(D12="CO3",D13,0)+IF(E12="CO3",E13,0)+IF(F12="CO3",F13,0)+IF(G12="CO3",G13,0)+IF(H12="CO3",H13,0)+IF(I12="CO3",I13,0)+IF(J12="CO3",J13,0)+IF(K12="CO3",K13,0)+IF(L12="CO3",L13,0)+IF(M12="CO3",M13,0)+IF(N12="CO3",N13,0)+IF(O12="CO3",O13,0)+IF(P12="CO3",P13,0)+IF(Q12="CO3",Q13,0)+IF(R12="CO3",R13,0)+IF(S12="CO3",S13,0)+IF(T12="CO3",T13,0),")")</f>
        <v>Marks obtained  in CO3 (0)</v>
      </c>
      <c r="Y10" s="140" t="str">
        <f>CONCATENATE("Marks obtained  in CO4 (",IF(D12="CO4",D13,0)+IF(E12="CO4",E13,0)+IF(F12="CO4",F13,0)+IF(G12="CO4",G13,0)+IF(H12="CO4",H13,0)+IF(I12="CO4",I13,0)+IF(J12="CO4",J13,0)+IF(K12="CO4",K13,0)+IF(L12="CO4",L13,0)+IF(M12="CO4",M13,0)+IF(N12="CO4",N13,0)+IF(O12="CO4",O13,0)+IF(P12="CO4",P13,0)+IF(Q12="CO4",Q13,0)+IF(R12="CO4",R13,0)+IF(S12="CO4",S13,0)+IF(T12="CO4",T13,0),")")</f>
        <v>Marks obtained  in CO4 (0)</v>
      </c>
      <c r="Z10" s="140" t="str">
        <f>CONCATENATE("Marks obtained  in CO5 (",IF(D12="CO5",D13,0)+IF(E12="CO5",E13,0)+IF(F12="CO5",F13,0)+IF(G12="CO5",G13,0)+IF(H12="CO5",H13,0)+IF(I12="CO5",I13,0)+IF(J12="CO5",J13,0)+IF(K12="CO5",K13,0)+IF(L12="CO5",L13,0)+IF(M12="CO5",M13,0)+IF(N12="CO5",N13,0)+IF(O12="CO5",O13,0)+IF(P12="CO5",P13,0)+IF(Q12="CO5",Q13,0)+IF(R12="CO5",R13,0)+IF(S12="CO5",S13,0)+IF(T12="CO5",T13,0),")")</f>
        <v>Marks obtained  in CO5 (0)</v>
      </c>
      <c r="AA10" s="140" t="str">
        <f>CONCATENATE("Marks obtained  in CO6 (",IF(D12="CO6",D13,0)+IF(E12="CO6",E13,0)+IF(F12="CO6",F13,0)+IF(G12="CO6",G13,0)+IF(H12="CO6",H13,0)+IF(I12="CO6",I13,0)+IF(J12="CO6",J13,0)+IF(K12="CO6",K13,0)+IF(L12="CO6",L13,0)+IF(M12="CO6",M13,0)+IF(N12="CO6",N13,0)+IF(O12="CO6",O13,0)+IF(P12="CO6",P13,0)+IF(Q12="CO6",Q13,0)+IF(R12="CO6",R13,0)+IF(S12="CO6",S13,0)+IF(T12="CO6",T13,0),")")</f>
        <v>Marks obtained  in CO6 (0)</v>
      </c>
      <c r="AB10" s="140" t="str">
        <f>CONCATENATE("Marks obtained  in CO7 (",IF(D12="CO7",D13,0)+IF(E12="CO7",E13,0)+IF(F12="CO7",F13,0)+IF(G12="CO7",G13,0)+IF(H12="CO7",H13,0)+IF(I12="CO7",I13,0)+IF(J12="CO7",J13,0)+IF(K12="CO7",K13,0)+IF(L12="CO7",L13,0)+IF(M12="CO7",M13,0)+IF(N12="CO7",N13,0)+IF(O12="CO7",O13,0)+IF(P12="CO7",P13,0)+IF(Q12="CO7",Q13,0)+IF(R12="CO7",R13,0)+IF(S12="CO7",S13,0)+IF(T12="CO7",T13,0),")")</f>
        <v>Marks obtained  in CO7 (0)</v>
      </c>
      <c r="AC10" s="140" t="str">
        <f>CONCATENATE("Marks obtained  in CO8 (",IF(D12="CO8",D13,0)+IF(E12="CO8",E13,0)+IF(F12="CO8",F13,0)+IF(G12="CO8",G13,0)+IF(H12="CO8",H13,0)+IF(I12="CO8",I13,0)+IF(J12="CO8",J13,0)+IF(K12="CO8",K13,0)+IF(L12="CO8",L13,0)+IF(M12="CO8",M13,0)+IF(N12="CO8",N13,0)+IF(O12="CO8",O13,0)+IF(P12="CO8",P13,0)+IF(Q12="CO8",Q13,0)+IF(R12="CO8",R13,0)+IF(S12="CO8",S13,0)+IF(T12="CO8",T13,0),")")</f>
        <v>Marks obtained  in CO8 (0)</v>
      </c>
      <c r="AD10" s="140" t="str">
        <f>CONCATENATE("Marks obtained  in CO9 (",IF(D12="CO9",D13,0)+IF(E12="CO9",E13,0)+IF(F12="CO9",F13,0)+IF(G12="CO9",G13,0)+IF(H12="CO9",H13,0)+IF(I12="CO9",I13,0)+IF(J12="CO9",J13,0)+IF(K12="CO9",K13,0)+IF(L12="CO9",L13,0)+IF(M12="CO9",M13,0)+IF(N12="CO9",N13,0)+IF(O12="CO9",O13,0)+IF(P12="CO9",P13,0)+IF(Q12="CO9",Q13,0)+IF(R12="CO9",R13,0)+IF(S12="CO9",S13,0)+IF(T12="CO9",T13,0),")")</f>
        <v>Marks obtained  in CO9 (0)</v>
      </c>
      <c r="AE10" s="140" t="str">
        <f>CONCATENATE("Marks obtained  in CO10 (",IF(D12="CO10",D13,0)+IF(E12="CO10",E13,0)+IF(F12="CO10",F13,0)+IF(G12="CO10",G13,0)+IF(H12="CO10",H13,0)+IF(I12="CO10",I13,0)+IF(J12="CO10",J13,0)+IF(K12="CO10",K13,0)+IF(L12="CO10",L13,0)+IF(M12="CO10",M13,0)+IF(N12="CO10",N13,0)+IF(O12="CO10",O13,0)+IF(P12="CO10",P13,0)+IF(Q12="CO10",Q13,0)+IF(R12="CO10",R13,0)+IF(S12="CO10",S13,0)+IF(T12="CO10",T13,0),")")</f>
        <v>Marks obtained  in CO10 (0)</v>
      </c>
      <c r="AF10" s="140" t="str">
        <f>CONCATENATE("Marks obtained  in CO11 (",IF(D12="CO11",D13,0)+IF(E12="CO11",E13,0)+IF(F12="CO11",F13,0)+IF(G12="CO11",G13,0)+IF(H12="CO11",H13,0)+IF(I12="CO11",I13,0)+IF(J12="CO11",J13,0)+IF(K12="CO11",K13,0)+IF(L12="CO11",L13,0)+IF(M12="CO11",M13,0)+IF(N12="CO11",N13,0)+IF(O12="CO11",O13,0)+IF(P12="CO11",P13,0)+IF(Q12="CO11",Q13,0)+IF(R12="CO11",R13,0)+IF(S12="CO11",S13,0)+IF(T12="CO11",T13,0),")")</f>
        <v>Marks obtained  in CO11 (0)</v>
      </c>
      <c r="AG10" s="140" t="str">
        <f>CONCATENATE("Marks obtained  in CO12 (",IF(D12="CO12",D13,0)+IF(E12="CO12",E13,0)+IF(F12="CO12",F13,0)+IF(G12="CO12",G13,0)+IF(H12="CO12",H13,0)+IF(I12="CO12",I13,0)+IF(J12="CO12",J13,0)+IF(K12="CO12",K13,0)+IF(L12="CO12",L13,0)+IF(M12="CO12",M13,0)+IF(N12="CO12",N13,0)+IF(O12="CO12",O13,0)+IF(P12="CO12",P13,0)+IF(Q12="CO12",Q13,0)+IF(R12="CO12",R13,0)+IF(S12="CO12",S13,0)+IF(T12="CO12",T13,0),")")</f>
        <v>Marks obtained  in CO12 (0)</v>
      </c>
      <c r="AH10" s="147" t="s">
        <v>98</v>
      </c>
      <c r="AI10" s="147" t="s">
        <v>99</v>
      </c>
      <c r="AJ10" s="147" t="s">
        <v>100</v>
      </c>
      <c r="AK10" s="147" t="s">
        <v>101</v>
      </c>
      <c r="AL10" s="147" t="s">
        <v>102</v>
      </c>
      <c r="AM10" s="147" t="s">
        <v>103</v>
      </c>
      <c r="AN10" s="147" t="s">
        <v>104</v>
      </c>
      <c r="AO10" s="147" t="s">
        <v>154</v>
      </c>
      <c r="AP10" s="147" t="s">
        <v>156</v>
      </c>
      <c r="AQ10" s="147" t="s">
        <v>157</v>
      </c>
      <c r="AR10" s="147" t="s">
        <v>158</v>
      </c>
      <c r="AS10" s="147" t="s">
        <v>159</v>
      </c>
    </row>
    <row r="11" spans="1:45">
      <c r="A11" s="152"/>
      <c r="B11" s="153"/>
      <c r="C11" s="152"/>
      <c r="D11" s="14" t="str">
        <f>CONCATENATE("Qn ",INPUT!R3)</f>
        <v xml:space="preserve">Qn </v>
      </c>
      <c r="E11" s="14" t="str">
        <f>CONCATENATE("Qn ",INPUT!R4)</f>
        <v xml:space="preserve">Qn </v>
      </c>
      <c r="F11" s="14" t="str">
        <f>CONCATENATE("Qn ",INPUT!R5)</f>
        <v xml:space="preserve">Qn </v>
      </c>
      <c r="G11" s="14" t="str">
        <f>CONCATENATE("Qn ",INPUT!R6)</f>
        <v xml:space="preserve">Qn </v>
      </c>
      <c r="H11" s="14" t="str">
        <f>CONCATENATE("Qn ",INPUT!R7)</f>
        <v xml:space="preserve">Qn </v>
      </c>
      <c r="I11" s="14" t="str">
        <f>CONCATENATE("Qn ",INPUT!R8)</f>
        <v xml:space="preserve">Qn </v>
      </c>
      <c r="J11" s="14" t="str">
        <f>CONCATENATE("Qn ",INPUT!R9)</f>
        <v xml:space="preserve">Qn </v>
      </c>
      <c r="K11" s="14" t="str">
        <f>CONCATENATE("Qn ",INPUT!TR10)</f>
        <v xml:space="preserve">Qn </v>
      </c>
      <c r="L11" s="14" t="str">
        <f>CONCATENATE("Qn ",INPUT!R11)</f>
        <v xml:space="preserve">Qn </v>
      </c>
      <c r="M11" s="14" t="str">
        <f>CONCATENATE("Qn ",INPUT!R12)</f>
        <v xml:space="preserve">Qn </v>
      </c>
      <c r="N11" s="14" t="str">
        <f>CONCATENATE("Qn ",INPUT!R13)</f>
        <v xml:space="preserve">Qn </v>
      </c>
      <c r="O11" s="14" t="str">
        <f>CONCATENATE("Qn ",INPUT!R14)</f>
        <v xml:space="preserve">Qn </v>
      </c>
      <c r="P11" s="14" t="str">
        <f>CONCATENATE("Qn ",INPUT!R15)</f>
        <v xml:space="preserve">Qn </v>
      </c>
      <c r="Q11" s="14" t="str">
        <f>CONCATENATE("Qn ",INPUT!R16)</f>
        <v xml:space="preserve">Qn </v>
      </c>
      <c r="R11" s="14" t="str">
        <f>CONCATENATE("Qn ",INPUT!R17)</f>
        <v xml:space="preserve">Qn </v>
      </c>
      <c r="S11" s="14" t="str">
        <f>CONCATENATE("Qn ",INPUT!R18)</f>
        <v xml:space="preserve">Qn </v>
      </c>
      <c r="T11" s="14" t="str">
        <f>CONCATENATE("Qn ",INPUT!R19)</f>
        <v xml:space="preserve">Qn </v>
      </c>
      <c r="U11" s="141">
        <f>SUM(D13:T13)</f>
        <v>0</v>
      </c>
      <c r="V11" s="140"/>
      <c r="W11" s="140"/>
      <c r="X11" s="140"/>
      <c r="Y11" s="140"/>
      <c r="Z11" s="140"/>
      <c r="AA11" s="140"/>
      <c r="AB11" s="140"/>
      <c r="AC11" s="140"/>
      <c r="AD11" s="140"/>
      <c r="AE11" s="140"/>
      <c r="AF11" s="140"/>
      <c r="AG11" s="140"/>
      <c r="AH11" s="147"/>
      <c r="AI11" s="147"/>
      <c r="AJ11" s="147"/>
      <c r="AK11" s="147"/>
      <c r="AL11" s="147"/>
      <c r="AM11" s="147"/>
      <c r="AN11" s="147"/>
      <c r="AO11" s="147"/>
      <c r="AP11" s="147"/>
      <c r="AQ11" s="147"/>
      <c r="AR11" s="147"/>
      <c r="AS11" s="147"/>
    </row>
    <row r="12" spans="1:45" ht="19.8" customHeight="1">
      <c r="A12" s="152"/>
      <c r="B12" s="153"/>
      <c r="C12" s="152"/>
      <c r="D12" s="14">
        <f>INPUT!S3</f>
        <v>0</v>
      </c>
      <c r="E12" s="14">
        <f>INPUT!S4</f>
        <v>0</v>
      </c>
      <c r="F12" s="14">
        <f>INPUT!S5</f>
        <v>0</v>
      </c>
      <c r="G12" s="14">
        <f>INPUT!S6</f>
        <v>0</v>
      </c>
      <c r="H12" s="14">
        <f>INPUT!S7</f>
        <v>0</v>
      </c>
      <c r="I12" s="14">
        <f>INPUT!S8</f>
        <v>0</v>
      </c>
      <c r="J12" s="14">
        <f>INPUT!S9</f>
        <v>0</v>
      </c>
      <c r="K12" s="14">
        <f>INPUT!S10</f>
        <v>0</v>
      </c>
      <c r="L12" s="14">
        <f>INPUT!S11</f>
        <v>0</v>
      </c>
      <c r="M12" s="14">
        <f>INPUT!S12</f>
        <v>0</v>
      </c>
      <c r="N12" s="14">
        <f>INPUT!S13</f>
        <v>0</v>
      </c>
      <c r="O12" s="14">
        <f>INPUT!S14</f>
        <v>0</v>
      </c>
      <c r="P12" s="14">
        <f>INPUT!S15</f>
        <v>0</v>
      </c>
      <c r="Q12" s="14">
        <f>INPUT!S16</f>
        <v>0</v>
      </c>
      <c r="R12" s="14">
        <f>INPUT!S17</f>
        <v>0</v>
      </c>
      <c r="S12" s="14">
        <f>INPUT!S18</f>
        <v>0</v>
      </c>
      <c r="T12" s="14">
        <f>INPUT!S19</f>
        <v>0</v>
      </c>
      <c r="U12" s="141"/>
      <c r="V12" s="140"/>
      <c r="W12" s="140"/>
      <c r="X12" s="140"/>
      <c r="Y12" s="140"/>
      <c r="Z12" s="140"/>
      <c r="AA12" s="140"/>
      <c r="AB12" s="140"/>
      <c r="AC12" s="140"/>
      <c r="AD12" s="140"/>
      <c r="AE12" s="140"/>
      <c r="AF12" s="140"/>
      <c r="AG12" s="140"/>
      <c r="AH12" s="147"/>
      <c r="AI12" s="147"/>
      <c r="AJ12" s="147"/>
      <c r="AK12" s="147"/>
      <c r="AL12" s="147"/>
      <c r="AM12" s="147"/>
      <c r="AN12" s="147"/>
      <c r="AO12" s="147"/>
      <c r="AP12" s="147"/>
      <c r="AQ12" s="147"/>
      <c r="AR12" s="147"/>
      <c r="AS12" s="147"/>
    </row>
    <row r="13" spans="1:45" ht="21" customHeight="1">
      <c r="A13" s="152"/>
      <c r="B13" s="153"/>
      <c r="C13" s="152"/>
      <c r="D13" s="14">
        <f>INPUT!T3</f>
        <v>0</v>
      </c>
      <c r="E13" s="14">
        <f>INPUT!T4</f>
        <v>0</v>
      </c>
      <c r="F13" s="14">
        <f>INPUT!T5</f>
        <v>0</v>
      </c>
      <c r="G13" s="14">
        <f>INPUT!T6</f>
        <v>0</v>
      </c>
      <c r="H13" s="14">
        <f>INPUT!T7</f>
        <v>0</v>
      </c>
      <c r="I13" s="14">
        <f>INPUT!T8</f>
        <v>0</v>
      </c>
      <c r="J13" s="14">
        <f>INPUT!T9</f>
        <v>0</v>
      </c>
      <c r="K13" s="14">
        <f>INPUT!T10</f>
        <v>0</v>
      </c>
      <c r="L13" s="14">
        <f>INPUT!T11</f>
        <v>0</v>
      </c>
      <c r="M13" s="14">
        <f>INPUT!T12</f>
        <v>0</v>
      </c>
      <c r="N13" s="14">
        <f>INPUT!T13</f>
        <v>0</v>
      </c>
      <c r="O13" s="14">
        <f>INPUT!T14</f>
        <v>0</v>
      </c>
      <c r="P13" s="14">
        <f>INPUT!T15</f>
        <v>0</v>
      </c>
      <c r="Q13" s="14">
        <f>INPUT!T16</f>
        <v>0</v>
      </c>
      <c r="R13" s="14">
        <f>INPUT!T17</f>
        <v>0</v>
      </c>
      <c r="S13" s="14">
        <f>INPUT!T18</f>
        <v>0</v>
      </c>
      <c r="T13" s="14">
        <f>INPUT!T19</f>
        <v>0</v>
      </c>
      <c r="U13" s="141"/>
      <c r="V13" s="140"/>
      <c r="W13" s="140"/>
      <c r="X13" s="140"/>
      <c r="Y13" s="140"/>
      <c r="Z13" s="140"/>
      <c r="AA13" s="140"/>
      <c r="AB13" s="140"/>
      <c r="AC13" s="140"/>
      <c r="AD13" s="140"/>
      <c r="AE13" s="140"/>
      <c r="AF13" s="140"/>
      <c r="AG13" s="140"/>
      <c r="AH13" s="147"/>
      <c r="AI13" s="147"/>
      <c r="AJ13" s="147"/>
      <c r="AK13" s="147"/>
      <c r="AL13" s="147"/>
      <c r="AM13" s="147"/>
      <c r="AN13" s="147"/>
      <c r="AO13" s="147"/>
      <c r="AP13" s="147"/>
      <c r="AQ13" s="147"/>
      <c r="AR13" s="147"/>
      <c r="AS13" s="147"/>
    </row>
    <row r="14" spans="1:45" ht="20.100000000000001" hidden="1" customHeight="1">
      <c r="A14" s="12">
        <v>0</v>
      </c>
      <c r="B14" s="13">
        <f>'INTERNAL TEST-1  '!B14</f>
        <v>0</v>
      </c>
      <c r="C14" s="64">
        <f>'INTERNAL TEST-1  '!C14</f>
        <v>0</v>
      </c>
      <c r="D14" s="12"/>
      <c r="E14" s="12"/>
      <c r="F14" s="12"/>
      <c r="G14" s="12"/>
      <c r="H14" s="12"/>
      <c r="I14" s="12"/>
      <c r="J14" s="12"/>
      <c r="K14" s="12"/>
      <c r="L14" s="12"/>
      <c r="M14" s="12"/>
      <c r="N14" s="12"/>
      <c r="O14" s="12"/>
      <c r="P14" s="12"/>
      <c r="Q14" s="12"/>
      <c r="R14" s="12"/>
      <c r="S14" s="12"/>
      <c r="T14" s="12"/>
      <c r="U14" s="13">
        <f t="shared" ref="U14:U45" si="0">SUM(D14:T14)</f>
        <v>0</v>
      </c>
      <c r="V14" s="13">
        <f t="shared" ref="V14:V77" si="1">IF($D$12="CO1",D14,0)+IF($E$12="CO1",E14,0)+IF($F$12="CO1",F14,0)+IF($G$12="CO1",G14,0)+IF($H$12="CO1",H14,0)+IF($I$12="CO1",I14,0)+IF($J$12="CO1",J14,0)+IF($K$12="CO1",K14,0)+IF($L$12="CO1",L14,0)+IF($M$12="CO1",M14,0)+IF($N$12="CO1",N14,0)+IF($O$12="CO1",O14,0)+IF($P$12="CO1",P14,0)+IF($Q$12="CO1",Q14,0)+IF($R$12="CO1",R14,0)+IF($S$12="CO1",S14,0)+IF($T$12="CO1",T14,0)</f>
        <v>0</v>
      </c>
      <c r="W14" s="13">
        <f t="shared" ref="W14:W77" si="2">IF($D$12="CO2",D14,0)+IF($E$12="CO2",E14,0)+IF($F$12="CO2",F14,0)+IF($G$12="CO2",G14,0)+IF($H$12="CO2",H14,0)+IF($I$12="CO2",I14,0)+IF($J$12="CO2",J14,0)+IF($K$12="CO2",K14,0)+IF($L$12="CO2",L14,0)+IF($M$12="CO2",M14,0)+IF($N$12="CO2",N14,0)+IF($O$12="CO2",O14,0)+IF($P$12="CO2",P14,0)+IF($Q$12="CO2",Q14,0)+IF($R$12="CO2",R14,0)+IF($S$12="CO2",S14,0)+IF($T$12="CO2",T14,0)</f>
        <v>0</v>
      </c>
      <c r="X14" s="13">
        <f t="shared" ref="X14:X77" si="3">IF($D$12="CO3",D14,0)+IF($E$12="CO3",E14,0)+IF($F$12="CO3",F14,0)+IF($G$12="CO3",G14,0)+IF($H$12="CO3",H14,0)+IF($I$12="CO3",I14,0)+IF($J$12="CO3",J14,0)+IF($K$12="CO3",K14,0)+IF($L$12="CO3",L14,0)+IF($M$12="CO3",M14,0)+IF($N$12="CO3",N14,0)+IF($O$12="CO3",O14,0)+IF($P$12="CO3",P14,0)+IF($Q$12="CO3",Q14,0)+IF($R$12="CO3",R14,0)+IF($S$12="CO3",S14,0)+IF($T$12="CO3",T14,0)</f>
        <v>0</v>
      </c>
      <c r="Y14" s="13">
        <f t="shared" ref="Y14:Y77" si="4">IF($D$12="CO4",D14,0)+IF($E$12="CO4",E14,0)+IF($F$12="CO4",F14,0)+IF($G$12="CO4",G14,0)+IF($H$12="CO4",H14,0)+IF($I$12="CO4",I14,0)+IF($J$12="CO4",J14,0)+IF($K$12="CO4",K14,0)+IF($L$12="CO4",L14,0)+IF($M$12="CO4",M14,0)+IF($N$12="CO4",N14,0)+IF($O$12="CO4",O14,0)+IF($P$12="CO4",P14,0)+IF($Q$12="CO4",Q14,0)+IF($R$12="CO4",R14,0)+IF($S$12="CO4",S14,0)+IF($T$12="CO4",T14,0)</f>
        <v>0</v>
      </c>
      <c r="Z14" s="13">
        <f t="shared" ref="Z14:Z77" si="5">IF($D$12="CO5",D14,0)+IF($E$12="CO5",E14,0)+IF($F$12="CO5",F14,0)+IF($G$12="CO5",G14,0)+IF($H$12="CO5",H14,0)+IF($I$12="CO5",I14,0)+IF($J$12="CO5",J14,0)+IF($K$12="CO5",K14,0)+IF($L$12="CO5",L14,0)+IF($M$12="CO5",M14,0)+IF($N$12="CO5",N14,0)+IF($O$12="CO5",O14,0)+IF($P$12="CO5",P14,0)+IF($Q$12="CO5",Q14,0)+IF($R$12="CO5",R14,0)+IF($S$12="CO5",S14,0)+IF($T$12="CO5",T14,0)</f>
        <v>0</v>
      </c>
      <c r="AA14" s="13">
        <f t="shared" ref="AA14:AA77" si="6">IF($D$12="CO6",D14,0)+IF($E$12="CO6",E14,0)+IF($F$12="CO6",F14,0)+IF($G$12="CO6",G14,0)+IF($H$12="CO6",H14,0)+IF($I$12="CO6",I14,0)+IF($J$12="CO6",J14,0)+IF($K$12="CO6",K14,0)+IF($L$12="CO6",L14,0)+IF($M$12="CO6",M14,0)+IF($N$12="CO6",N14,0)+IF($O$12="CO6",O14,0)+IF($P$12="CO6",P14,0)+IF($Q$12="CO6",Q14,0)+IF($R$12="CO6",R14,0)+IF($S$12="CO6",S14,0)+IF($T$12="CO6",T14,0)</f>
        <v>0</v>
      </c>
      <c r="AB14" s="13">
        <f t="shared" ref="AB14:AB77" si="7">IF($D$12="CO7",D14,0)+IF($E$12="CO7",E14,0)+IF($F$12="CO7",F14,0)+IF($G$12="CO7",G14,0)+IF($H$12="CO7",H14,0)+IF($I$12="CO7",I14,0)+IF($J$12="CO7",J14,0)+IF($K$12="CO7",K14,0)+IF($L$12="CO7",L14,0)+IF($M$12="CO7",M14,0)+IF($N$12="CO7",N14,0)+IF($O$12="CO7",O14,0)+IF($P$12="CO7",P14,0)+IF($Q$12="CO7",Q14,0)+IF($R$12="CO7",R14,0)+IF($S$12="CO7",S14,0)+IF($T$12="CO7",T14,0)</f>
        <v>0</v>
      </c>
      <c r="AC14" s="13">
        <f>IF($D$12="CO8",D14,0)+IF($E$12="CO8",E14,0)+IF($F$12="CO8",F14,0)+IF($G$12="CO8",G14,0)+IF($H$12="CO8",H14,0)+IF($I$12="CO8",I14,0)+IF($J$12="CO8",J14,0)+IF($K$12="CO8",K14,0)+IF($L$12="CO8",L14,0)+IF($M$12="CO8",M14,0)+IF($N$12="CO8",N14,0)+IF($O$12="CO8",O14,0)+IF($P$12="CO8",P14,0)+IF($Q$12="CO8",Q14,0)+IF($R$12="CO8",R14,0)+IF($S$12="CO8",S14,0)+IF($T$12="CO8",T14,0)</f>
        <v>0</v>
      </c>
      <c r="AD14" s="13">
        <f>IF($D$12="CO9",D14,0)+IF($E$12="CO9",E14,0)+IF($F$12="CO9",F14,0)+IF($G$12="CO9",G14,0)+IF($H$12="CO9",H14,0)+IF($I$12="CO9",I14,0)+IF($J$12="CO9",J14,0)+IF($K$12="CO9",K14,0)+IF($L$12="CO9",L14,0)+IF($M$12="CO9",M14,0)+IF($N$12="CO9",N14,0)+IF($O$12="CO9",O14,0)+IF($P$12="CO9",P14,0)+IF($Q$12="CO9",Q14,0)+IF($R$12="CO9",R14,0)+IF($S$12="CO9",S14,0)+IF($T$12="CO9",T14,0)</f>
        <v>0</v>
      </c>
      <c r="AE14" s="13">
        <f>IF($D$12="CO10",D14,0)+IF($E$12="CO10",E14,0)+IF($F$12="CO10",F14,0)+IF($G$12="CO10",G14,0)+IF($H$12="CO10",H14,0)+IF($I$12="CO10",I14,0)+IF($J$12="CO10",J14,0)+IF($K$12="CO10",K14,0)+IF($L$12="CO10",L14,0)+IF($M$12="CO10",M14,0)+IF($N$12="CO10",N14,0)+IF($O$12="CO10",O14,0)+IF($P$12="CO10",P14,0)+IF($Q$12="CO10",Q14,0)+IF($R$12="CO10",R14,0)+IF($S$12="CO10",S14,0)+IF($T$12="CO10",T14,0)</f>
        <v>0</v>
      </c>
      <c r="AF14" s="13">
        <f>IF($D$12="CO11",D14,0)+IF($E$12="CO11",E14,0)+IF($F$12="CO11",F14,0)+IF($G$12="CO11",G14,0)+IF($H$12="CO11",H14,0)+IF($I$12="CO11",I14,0)+IF($J$12="CO11",J14,0)+IF($K$12="CO11",K14,0)+IF($L$12="CO11",L14,0)+IF($M$12="CO11",M14,0)+IF($N$12="CO11",N14,0)+IF($O$12="CO11",O14,0)+IF($P$12="CO11",P14,0)+IF($Q$12="CO11",Q14,0)+IF($R$12="CO11",R14,0)+IF($S$12="CO11",S14,0)+IF($T$12="CO11",T14,0)</f>
        <v>0</v>
      </c>
      <c r="AG14" s="13">
        <f>IF($D$12="CO12",D14,0)+IF($E$12="CO12",E14,0)+IF($F$12="CO12",F14,0)+IF($G$12="CO12",G14,0)+IF($H$12="CO12",H14,0)+IF($I$12="CO12",I14,0)+IF($J$12="CO12",J14,0)+IF($K$12="CO12",K14,0)+IF($L$12="CO12",L14,0)+IF($M$12="CO12",M14,0)+IF($N$12="CO12",N14,0)+IF($O$12="CO12",O14,0)+IF($P$12="CO12",P14,0)+IF($Q$12="CO12",Q14,0)+IF($R$12="CO12",R14,0)+IF($S$12="CO12",S14,0)+IF($T$12="CO12",T14,0)</f>
        <v>0</v>
      </c>
      <c r="AH14" s="13" t="e">
        <f>ROUND(V14/(IF($D$12="CO1",$D$13,0)+IF($E$12="CO1",$E$13,0)+IF($F$12="CO1",$F$13,0)+IF($G$12="CO1",$G$13,0)+IF($H$12="CO1",$H$13,0)+IF($I$12="CO1",$I$13,0)+IF($J$12="CO1",$J$13,0)+IF($K$12="CO1",$K$13,0)+IF($L$12="CO1",$L$13,0)+IF($M$12="CO1",$M$13,0)+IF($N$12="CO1",$N$13,0)+IF($O$12="CO1",$O$13,0)+IF($P$12="CO1",$P$13,0)+IF($Q$12="CO1",$Q$13,0)+IF($R$12="CO1",$R$13,0)+IF($S$12="CO1",$S$13,0)+IF($T$12="CO1",$T$13,0))*100,2)</f>
        <v>#DIV/0!</v>
      </c>
      <c r="AI14" s="13" t="e">
        <f>ROUND(W14/(IF($D$12="CO2",$D$13,0)+IF($E$12="CO2",$E$13,0)+IF($F$12="CO2",$F$13,0)+IF($G$12="CO2",$G$13,0)+IF($H$12="CO2",$H$13,0)+IF($I$12="CO2",$I$13,0)+IF($J$12="CO2",$J$13,0)+IF($K$12="CO2",$K$13,0)+IF($L$12="CO2",$L$13,0)+IF($M$12="CO2",$M$13,0)+IF($N$12="CO2",$N$13,0)+IF($O$12="CO2",$O$13,0)+IF($P$12="CO2",$P$13,0)+IF($Q$12="CO2",$Q$13,0)+IF($R$12="CO2",$R$13,0)+IF($S$12="CO2",$S$13,0)+IF($T$12="CO2",$T$13,0))*100,2)</f>
        <v>#DIV/0!</v>
      </c>
      <c r="AJ14" s="13" t="e">
        <f>ROUND(X14/(IF($D$12="CO3",$D$13,0)+IF($E$12="CO3",$E$13,0)+IF($F$12="CO3",$F$13,0)+IF($G$12="CO3",$G$13,0)+IF($H$12="CO3",$H$13,0)+IF($I$12="CO3",$I$13,0)+IF($J$12="CO3",$J$13,0)+IF($K$12="CO3",$K$13,0)+IF($L$12="CO3",$L$13,0)+IF($M$12="CO3",$M$13,0)+IF($N$12="CO3",$N$13,0)+IF($O$12="CO3",$O$13,0)+IF($P$12="CO3",$P$13,0)+IF($Q$12="CO3",$Q$13,0)+IF($R$12="CO3",$R$13,0)+IF($S$12="CO3",$S$13,0)+IF($T$12="CO3",$T$13,0))*100,2)</f>
        <v>#DIV/0!</v>
      </c>
      <c r="AK14" s="13" t="e">
        <f>ROUND(Y14/(IF($D$12="CO4",$D$13,0)+IF($E$12="CO4",$E$13,0)+IF($F$12="CO4",$F$13,0)+IF($G$12="CO4",$G$13,0)+IF($H$12="CO4",$H$13,0)+IF($I$12="CO4",$I$13,0)+IF($J$12="CO4",$J$13,0)+IF($K$12="CO4",$K$13,0)+IF($L$12="CO4",$L$13,0)+IF($M$12="CO4",$M$13,0)+IF($N$12="CO4",$N$13,0)+IF($O$12="CO4",$O$13,0)+IF($P$12="CO4",$P$13,0)+IF($Q$12="CO4",$Q$13,0)+IF($R$12="CO4",$R$13,0)+IF($S$12="CO4",$S$13,0)+IF($T$12="CO4",$T$13,0))*100,2)</f>
        <v>#DIV/0!</v>
      </c>
      <c r="AL14" s="13" t="e">
        <f>ROUND(Z14/(IF($D$12="CO5",$D$13,0)+IF($E$12="CO5",$E$13,0)+IF($F$12="CO5",$F$13,0)+IF($G$12="CO5",$G$13,0)+IF($H$12="CO5",$H$13,0)+IF($I$12="CO5",$I$13,0)+IF($J$12="CO5",$J$13,0)+IF($K$12="CO5",$K$13,0)+IF($L$12="CO5",$L$13,0)+IF($M$12="CO5",$M$13,0)+IF($N$12="CO5",$N$13,0)+IF($O$12="CO5",$O$13,0)+IF($P$12="CO5",$P$13,0)+IF($Q$12="CO5",$Q$13,0)+IF($R$12="CO5",$R$13,0)+IF($S$12="CO5",$S$13,0)+IF($T$12="CO5",$T$13,0))*100,2)</f>
        <v>#DIV/0!</v>
      </c>
      <c r="AM14" s="13" t="e">
        <f>ROUND(AA14/(IF($D$12="CO6",$D$13,0)+IF($E$12="CO6",$E$13,0)+IF($F$12="CO6",$F$13,0)+IF($G$12="CO6",$G$13,0)+IF($H$12="CO6",$H$13,0)+IF($I$12="CO6",$I$13,0)+IF($J$12="CO6",$J$13,0)+IF($K$12="CO6",$K$13,0)+IF($L$12="CO6",$L$13,0)+IF($M$12="CO6",$M$13,0)+IF($N$12="CO6",$N$13,0)+IF($O$12="CO6",$O$13,0)+IF($P$12="CO6",$P$13,0)+IF($Q$12="CO6",$Q$13,0)+IF($R$12="CO6",$R$13,0)+IF($S$12="CO6",$S$13,0)+IF($T$12="CO6",$T$13,0))*100,2)</f>
        <v>#DIV/0!</v>
      </c>
      <c r="AN14" s="13" t="e">
        <f>ROUND(AB14/(IF($D$12="CO7",$D$13,0)+IF($E$12="CO7",$E$13,0)+IF($F$12="CO7",$F$13,0)+IF($G$12="CO7",$G$13,0)+IF($H$12="CO7",$H$13,0)+IF($I$12="CO7",$I$13,0)+IF($J$12="CO7",$J$13,0)+IF($K$12="CO7",$K$13,0)+IF($L$12="CO7",$L$13,0)+IF($M$12="CO7",$M$13,0)+IF($N$12="CO7",$N$13,0)+IF($O$12="CO7",$O$13,0)+IF($P$12="CO7",$P$13,0)+IF($Q$12="CO7",$Q$13,0)+IF($R$12="CO7",$R$13,0)+IF($S$12="CO7",$S$13,0)+IF($T$12="CO7",$T$13,0))*100,2)</f>
        <v>#DIV/0!</v>
      </c>
      <c r="AO14" s="2" t="e">
        <f>ROUND(AC14/(IF($D$12="CO8",$D$13,0)+IF($E$12="CO8",$E$13,0)+IF($F$12="CO8",$F$13,0)+IF($G$12="CO8",$G$13,0)+IF($H$12="CO8",$H$13,0)+IF($I$12="CO8",$I$13,0)+IF($J$12="CO8",$J$13,0)+IF($K$12="CO8",$K$13,0)+IF($L$12="CO8",$L$13,0)+IF($M$12="CO8",$M$13,0)+IF($N$12="CO8",$N$13,0)+IF($O$12="CO8",$O$13,0)+IF($P$12="CO8",$P$13,0)+IF($Q$12="CO8",$Q$13,0)+IF($R$12="CO8",$R$13,0)+IF($S$12="CO8",$S$13,0)+IF($T$12="CO8",$T$13,0))*100,2)</f>
        <v>#DIV/0!</v>
      </c>
      <c r="AP14" s="2" t="e">
        <f>ROUND(AD14/(IF($D$12="CO9",$D$13,0)+IF($E$12="CO9",$E$13,0)+IF($F$12="CO9",$F$13,0)+IF($G$12="CO9",$G$13,0)+IF($H$12="CO9",$H$13,0)+IF($I$12="CO9",$I$13,0)+IF($J$12="CO9",$J$13,0)+IF($K$12="CO9",$K$13,0)+IF($L$12="CO9",$L$13,0)+IF($M$12="CO9",$M$13,0)+IF($N$12="CO9",$N$13,0)+IF($O$12="CO9",$O$13,0)+IF($P$12="CO9",$P$13,0)+IF($Q$12="CO9",$Q$13,0)+IF($R$12="CO9",$R$13,0)+IF($S$12="CO9",$S$13,0)+IF($T$12="CO9",$T$13,0))*100,2)</f>
        <v>#DIV/0!</v>
      </c>
      <c r="AQ14" s="2" t="e">
        <f>ROUND(AE14/(IF($D$12="CO10",$D$13,0)+IF($E$12="CO10",$E$13,0)+IF($F$12="CO10",$F$13,0)+IF($G$12="CO10",$G$13,0)+IF($H$12="CO10",$H$13,0)+IF($I$12="CO10",$I$13,0)+IF($J$12="CO10",$J$13,0)+IF($K$12="CO10",$K$13,0)+IF($L$12="CO10",$L$13,0)+IF($M$12="CO10",$M$13,0)+IF($N$12="CO10",$N$13,0)+IF($O$12="CO10",$O$13,0)+IF($P$12="CO10",$P$13,0)+IF($Q$12="CO10",$Q$13,0)+IF($R$12="CO10",$R$13,0)+IF($S$12="CO10",$S$13,0)+IF($T$12="CO10",$T$13,0))*100,2)</f>
        <v>#DIV/0!</v>
      </c>
      <c r="AR14" s="2" t="e">
        <f>ROUND(AF14/(IF($D$12="CO11",$D$13,0)+IF($E$12="CO11",$E$13,0)+IF($F$12="CO11",$F$13,0)+IF($G$12="CO11",$G$13,0)+IF($H$12="CO11",$H$13,0)+IF($I$12="CO11",$I$13,0)+IF($J$12="CO11",$J$13,0)+IF($K$12="CO11",$K$13,0)+IF($L$12="CO11",$L$13,0)+IF($M$12="CO11",$M$13,0)+IF($N$12="CO11",$N$13,0)+IF($O$12="CO11",$O$13,0)+IF($P$12="CO11",$P$13,0)+IF($Q$12="CO11",$Q$13,0)+IF($R$12="CO11",$R$13,0)+IF($S$12="CO11",$S$13,0)+IF($T$12="CO11",$T$13,0))*100,2)</f>
        <v>#DIV/0!</v>
      </c>
      <c r="AS14" s="2" t="e">
        <f>ROUND(AG14/(IF($D$12="CO12",$D$13,0)+IF($E$12="CO12",$E$13,0)+IF($F$12="CO12",$F$13,0)+IF($G$12="CO12",$G$13,0)+IF($H$12="CO12",$H$13,0)+IF($I$12="CO12",$I$13,0)+IF($J$12="CO12",$J$13,0)+IF($K$12="CO12",$K$13,0)+IF($L$12="CO12",$L$13,0)+IF($M$12="CO12",$M$13,0)+IF($N$12="CO12",$N$13,0)+IF($O$12="CO12",$O$13,0)+IF($P$12="CO12",$P$13,0)+IF($Q$12="CO12",$Q$13,0)+IF($R$12="CO12",$R$13,0)+IF($S$12="CO12",$S$13,0)+IF($T$12="CO12",$T$13,0))*100,2)</f>
        <v>#DIV/0!</v>
      </c>
    </row>
    <row r="15" spans="1:45" ht="20.100000000000001" hidden="1" customHeight="1">
      <c r="A15" s="12">
        <v>0</v>
      </c>
      <c r="B15" s="13">
        <f>'INTERNAL TEST-1  '!B15</f>
        <v>0</v>
      </c>
      <c r="C15" s="64">
        <f>'INTERNAL TEST-1  '!C15</f>
        <v>0</v>
      </c>
      <c r="D15" s="12"/>
      <c r="E15" s="12"/>
      <c r="F15" s="12"/>
      <c r="G15" s="12"/>
      <c r="H15" s="12"/>
      <c r="I15" s="12"/>
      <c r="J15" s="12"/>
      <c r="K15" s="12"/>
      <c r="L15" s="12"/>
      <c r="M15" s="12"/>
      <c r="N15" s="12"/>
      <c r="O15" s="12"/>
      <c r="P15" s="12"/>
      <c r="Q15" s="12"/>
      <c r="R15" s="12"/>
      <c r="S15" s="12"/>
      <c r="T15" s="12"/>
      <c r="U15" s="13">
        <f t="shared" si="0"/>
        <v>0</v>
      </c>
      <c r="V15" s="13">
        <f t="shared" si="1"/>
        <v>0</v>
      </c>
      <c r="W15" s="13">
        <f t="shared" si="2"/>
        <v>0</v>
      </c>
      <c r="X15" s="13">
        <f t="shared" si="3"/>
        <v>0</v>
      </c>
      <c r="Y15" s="13">
        <f t="shared" si="4"/>
        <v>0</v>
      </c>
      <c r="Z15" s="13">
        <f t="shared" si="5"/>
        <v>0</v>
      </c>
      <c r="AA15" s="13">
        <f t="shared" si="6"/>
        <v>0</v>
      </c>
      <c r="AB15" s="13">
        <f t="shared" si="7"/>
        <v>0</v>
      </c>
      <c r="AC15" s="13">
        <f t="shared" ref="AC15:AC78" si="8">IF($D$12="CO8",D15,0)+IF($E$12="CO8",E15,0)+IF($F$12="CO8",F15,0)+IF($G$12="CO8",G15,0)+IF($H$12="CO8",H15,0)+IF($I$12="CO8",I15,0)+IF($J$12="CO8",J15,0)+IF($K$12="CO8",K15,0)+IF($L$12="CO8",L15,0)+IF($M$12="CO8",M15,0)+IF($N$12="CO8",N15,0)+IF($O$12="CO8",O15,0)+IF($P$12="CO8",P15,0)+IF($Q$12="CO8",Q15,0)+IF($R$12="CO8",R15,0)+IF($S$12="CO8",S15,0)+IF($T$12="CO8",T15,0)</f>
        <v>0</v>
      </c>
      <c r="AD15" s="13">
        <f t="shared" ref="AD15:AD78" si="9">IF($D$12="CO9",D15,0)+IF($E$12="CO9",E15,0)+IF($F$12="CO9",F15,0)+IF($G$12="CO9",G15,0)+IF($H$12="CO9",H15,0)+IF($I$12="CO9",I15,0)+IF($J$12="CO9",J15,0)+IF($K$12="CO9",K15,0)+IF($L$12="CO9",L15,0)+IF($M$12="CO9",M15,0)+IF($N$12="CO9",N15,0)+IF($O$12="CO9",O15,0)+IF($P$12="CO9",P15,0)+IF($Q$12="CO9",Q15,0)+IF($R$12="CO9",R15,0)+IF($S$12="CO9",S15,0)+IF($T$12="CO9",T15,0)</f>
        <v>0</v>
      </c>
      <c r="AE15" s="13">
        <f t="shared" ref="AE15:AE78" si="10">IF($D$12="CO10",D15,0)+IF($E$12="CO10",E15,0)+IF($F$12="CO10",F15,0)+IF($G$12="CO10",G15,0)+IF($H$12="CO10",H15,0)+IF($I$12="CO10",I15,0)+IF($J$12="CO10",J15,0)+IF($K$12="CO10",K15,0)+IF($L$12="CO10",L15,0)+IF($M$12="CO10",M15,0)+IF($N$12="CO10",N15,0)+IF($O$12="CO10",O15,0)+IF($P$12="CO10",P15,0)+IF($Q$12="CO10",Q15,0)+IF($R$12="CO10",R15,0)+IF($S$12="CO10",S15,0)+IF($T$12="CO10",T15,0)</f>
        <v>0</v>
      </c>
      <c r="AF15" s="13">
        <f t="shared" ref="AF15:AF78" si="11">IF($D$12="CO11",D15,0)+IF($E$12="CO11",E15,0)+IF($F$12="CO11",F15,0)+IF($G$12="CO11",G15,0)+IF($H$12="CO11",H15,0)+IF($I$12="CO11",I15,0)+IF($J$12="CO11",J15,0)+IF($K$12="CO11",K15,0)+IF($L$12="CO11",L15,0)+IF($M$12="CO11",M15,0)+IF($N$12="CO11",N15,0)+IF($O$12="CO11",O15,0)+IF($P$12="CO11",P15,0)+IF($Q$12="CO11",Q15,0)+IF($R$12="CO11",R15,0)+IF($S$12="CO11",S15,0)+IF($T$12="CO11",T15,0)</f>
        <v>0</v>
      </c>
      <c r="AG15" s="13">
        <f t="shared" ref="AG15:AG78" si="12">IF($D$12="CO12",D15,0)+IF($E$12="CO12",E15,0)+IF($F$12="CO12",F15,0)+IF($G$12="CO12",G15,0)+IF($H$12="CO12",H15,0)+IF($I$12="CO12",I15,0)+IF($J$12="CO12",J15,0)+IF($K$12="CO12",K15,0)+IF($L$12="CO12",L15,0)+IF($M$12="CO12",M15,0)+IF($N$12="CO12",N15,0)+IF($O$12="CO12",O15,0)+IF($P$12="CO12",P15,0)+IF($Q$12="CO12",Q15,0)+IF($R$12="CO12",R15,0)+IF($S$12="CO12",S15,0)+IF($T$12="CO12",T15,0)</f>
        <v>0</v>
      </c>
      <c r="AH15" s="13" t="e">
        <f t="shared" ref="AH15:AH138" si="13">ROUND(V15/(IF($D$12="CO1",$D$13,0)+IF($E$12="CO1",$E$13,0)+IF($F$12="CO1",$F$13,0)+IF($G$12="CO1",$G$13,0)+IF($H$12="CO1",$H$13,0)+IF($I$12="CO1",$I$13,0)+IF($J$12="CO1",$J$13,0)+IF($K$12="CO1",$K$13,0)+IF($L$12="CO1",$L$13,0)+IF($M$12="CO1",$M$13,0)+IF($N$12="CO1",$N$13,0)+IF($O$12="CO1",$O$13,0)+IF($P$12="CO1",$P$13,0)+IF($Q$12="CO1",$Q$13,0)+IF($R$12="CO1",$R$13,0)+IF($S$12="CO1",$S$13,0)+IF($T$12="CO1",$T$13,0))*100,2)</f>
        <v>#DIV/0!</v>
      </c>
      <c r="AI15" s="13" t="e">
        <f t="shared" ref="AI15:AI138" si="14">ROUND(W15/(IF($D$12="CO2",$D$13,0)+IF($E$12="CO2",$E$13,0)+IF($F$12="CO2",$F$13,0)+IF($G$12="CO2",$G$13,0)+IF($H$12="CO2",$H$13,0)+IF($I$12="CO2",$I$13,0)+IF($J$12="CO2",$J$13,0)+IF($K$12="CO2",$K$13,0)+IF($L$12="CO2",$L$13,0)+IF($M$12="CO2",$M$13,0)+IF($N$12="CO2",$N$13,0)+IF($O$12="CO2",$O$13,0)+IF($P$12="CO2",$P$13,0)+IF($Q$12="CO2",$Q$13,0)+IF($R$12="CO2",$R$13,0)+IF($S$12="CO2",$S$13,0)+IF($T$12="CO2",$T$13,0))*100,2)</f>
        <v>#DIV/0!</v>
      </c>
      <c r="AJ15" s="13" t="e">
        <f t="shared" ref="AJ15:AJ138" si="15">ROUND(X15/(IF($D$12="CO3",$D$13,0)+IF($E$12="CO3",$E$13,0)+IF($F$12="CO3",$F$13,0)+IF($G$12="CO3",$G$13,0)+IF($H$12="CO3",$H$13,0)+IF($I$12="CO3",$I$13,0)+IF($J$12="CO3",$J$13,0)+IF($K$12="CO3",$K$13,0)+IF($L$12="CO3",$L$13,0)+IF($M$12="CO3",$M$13,0)+IF($N$12="CO3",$N$13,0)+IF($O$12="CO3",$O$13,0)+IF($P$12="CO3",$P$13,0)+IF($Q$12="CO3",$Q$13,0)+IF($R$12="CO3",$R$13,0)+IF($S$12="CO3",$S$13,0)+IF($T$12="CO3",$T$13,0))*100,2)</f>
        <v>#DIV/0!</v>
      </c>
      <c r="AK15" s="13" t="e">
        <f t="shared" ref="AK15:AK138" si="16">ROUND(Y15/(IF($D$12="CO4",$D$13,0)+IF($E$12="CO4",$E$13,0)+IF($F$12="CO4",$F$13,0)+IF($G$12="CO4",$G$13,0)+IF($H$12="CO4",$H$13,0)+IF($I$12="CO4",$I$13,0)+IF($J$12="CO4",$J$13,0)+IF($K$12="CO4",$K$13,0)+IF($L$12="CO4",$L$13,0)+IF($M$12="CO4",$M$13,0)+IF($N$12="CO4",$N$13,0)+IF($O$12="CO4",$O$13,0)+IF($P$12="CO4",$P$13,0)+IF($Q$12="CO4",$Q$13,0)+IF($R$12="CO4",$R$13,0)+IF($S$12="CO4",$S$13,0)+IF($T$12="CO4",$T$13,0))*100,2)</f>
        <v>#DIV/0!</v>
      </c>
      <c r="AL15" s="13" t="e">
        <f t="shared" ref="AL15:AL138" si="17">ROUND(Z15/(IF($D$12="CO5",$D$13,0)+IF($E$12="CO5",$E$13,0)+IF($F$12="CO5",$F$13,0)+IF($G$12="CO5",$G$13,0)+IF($H$12="CO5",$H$13,0)+IF($I$12="CO5",$I$13,0)+IF($J$12="CO5",$J$13,0)+IF($K$12="CO5",$K$13,0)+IF($L$12="CO5",$L$13,0)+IF($M$12="CO5",$M$13,0)+IF($N$12="CO5",$N$13,0)+IF($O$12="CO5",$O$13,0)+IF($P$12="CO5",$P$13,0)+IF($Q$12="CO5",$Q$13,0)+IF($R$12="CO5",$R$13,0)+IF($S$12="CO5",$S$13,0)+IF($T$12="CO5",$T$13,0))*100,2)</f>
        <v>#DIV/0!</v>
      </c>
      <c r="AM15" s="13" t="e">
        <f t="shared" ref="AM15:AM138" si="18">ROUND(AA15/(IF($D$12="CO6",$D$13,0)+IF($E$12="CO6",$E$13,0)+IF($F$12="CO6",$F$13,0)+IF($G$12="CO6",$G$13,0)+IF($H$12="CO6",$H$13,0)+IF($I$12="CO6",$I$13,0)+IF($J$12="CO6",$J$13,0)+IF($K$12="CO6",$K$13,0)+IF($L$12="CO6",$L$13,0)+IF($M$12="CO6",$M$13,0)+IF($N$12="CO6",$N$13,0)+IF($O$12="CO6",$O$13,0)+IF($P$12="CO6",$P$13,0)+IF($Q$12="CO6",$Q$13,0)+IF($R$12="CO6",$R$13,0)+IF($S$12="CO6",$S$13,0)+IF($T$12="CO6",$T$13,0))*100,2)</f>
        <v>#DIV/0!</v>
      </c>
      <c r="AN15" s="13" t="e">
        <f t="shared" ref="AN15:AN138" si="19">ROUND(AB15/(IF($D$12="CO7",$D$13,0)+IF($E$12="CO7",$E$13,0)+IF($F$12="CO7",$F$13,0)+IF($G$12="CO7",$G$13,0)+IF($H$12="CO7",$H$13,0)+IF($I$12="CO7",$I$13,0)+IF($J$12="CO7",$J$13,0)+IF($K$12="CO7",$K$13,0)+IF($L$12="CO7",$L$13,0)+IF($M$12="CO7",$M$13,0)+IF($N$12="CO7",$N$13,0)+IF($O$12="CO7",$O$13,0)+IF($P$12="CO7",$P$13,0)+IF($Q$12="CO7",$Q$13,0)+IF($R$12="CO7",$R$13,0)+IF($S$12="CO7",$S$13,0)+IF($T$12="CO7",$T$13,0))*100,2)</f>
        <v>#DIV/0!</v>
      </c>
      <c r="AO15" s="2" t="e">
        <f t="shared" ref="AO15:AO78" si="20">ROUND(AC15/(IF($D$12="CO8",$D$13,0)+IF($E$12="CO8",$E$13,0)+IF($F$12="CO8",$F$13,0)+IF($G$12="CO8",$G$13,0)+IF($H$12="CO8",$H$13,0)+IF($I$12="CO8",$I$13,0)+IF($J$12="CO8",$J$13,0)+IF($K$12="CO8",$K$13,0)+IF($L$12="CO8",$L$13,0)+IF($M$12="CO8",$M$13,0)+IF($N$12="CO8",$N$13,0)+IF($O$12="CO8",$O$13,0)+IF($P$12="CO8",$P$13,0)+IF($Q$12="CO8",$Q$13,0)+IF($R$12="CO8",$R$13,0)+IF($S$12="CO8",$S$13,0)+IF($T$12="CO8",$T$13,0))*100,2)</f>
        <v>#DIV/0!</v>
      </c>
      <c r="AP15" s="2" t="e">
        <f t="shared" ref="AP15:AP78" si="21">ROUND(AD15/(IF($D$12="CO9",$D$13,0)+IF($E$12="CO9",$E$13,0)+IF($F$12="CO9",$F$13,0)+IF($G$12="CO9",$G$13,0)+IF($H$12="CO9",$H$13,0)+IF($I$12="CO9",$I$13,0)+IF($J$12="CO9",$J$13,0)+IF($K$12="CO9",$K$13,0)+IF($L$12="CO9",$L$13,0)+IF($M$12="CO9",$M$13,0)+IF($N$12="CO9",$N$13,0)+IF($O$12="CO9",$O$13,0)+IF($P$12="CO9",$P$13,0)+IF($Q$12="CO9",$Q$13,0)+IF($R$12="CO9",$R$13,0)+IF($S$12="CO9",$S$13,0)+IF($T$12="CO9",$T$13,0))*100,2)</f>
        <v>#DIV/0!</v>
      </c>
      <c r="AQ15" s="2" t="e">
        <f t="shared" ref="AQ15:AQ78" si="22">ROUND(AE15/(IF($D$12="CO10",$D$13,0)+IF($E$12="CO10",$E$13,0)+IF($F$12="CO10",$F$13,0)+IF($G$12="CO10",$G$13,0)+IF($H$12="CO10",$H$13,0)+IF($I$12="CO10",$I$13,0)+IF($J$12="CO10",$J$13,0)+IF($K$12="CO10",$K$13,0)+IF($L$12="CO10",$L$13,0)+IF($M$12="CO10",$M$13,0)+IF($N$12="CO10",$N$13,0)+IF($O$12="CO10",$O$13,0)+IF($P$12="CO10",$P$13,0)+IF($Q$12="CO10",$Q$13,0)+IF($R$12="CO10",$R$13,0)+IF($S$12="CO10",$S$13,0)+IF($T$12="CO10",$T$13,0))*100,2)</f>
        <v>#DIV/0!</v>
      </c>
      <c r="AR15" s="2" t="e">
        <f t="shared" ref="AR15:AR78" si="23">ROUND(AF15/(IF($D$12="CO11",$D$13,0)+IF($E$12="CO11",$E$13,0)+IF($F$12="CO11",$F$13,0)+IF($G$12="CO11",$G$13,0)+IF($H$12="CO11",$H$13,0)+IF($I$12="CO11",$I$13,0)+IF($J$12="CO11",$J$13,0)+IF($K$12="CO11",$K$13,0)+IF($L$12="CO11",$L$13,0)+IF($M$12="CO11",$M$13,0)+IF($N$12="CO11",$N$13,0)+IF($O$12="CO11",$O$13,0)+IF($P$12="CO11",$P$13,0)+IF($Q$12="CO11",$Q$13,0)+IF($R$12="CO11",$R$13,0)+IF($S$12="CO11",$S$13,0)+IF($T$12="CO11",$T$13,0))*100,2)</f>
        <v>#DIV/0!</v>
      </c>
      <c r="AS15" s="2" t="e">
        <f t="shared" ref="AS15:AS78" si="24">ROUND(AG15/(IF($D$12="CO12",$D$13,0)+IF($E$12="CO12",$E$13,0)+IF($F$12="CO12",$F$13,0)+IF($G$12="CO12",$G$13,0)+IF($H$12="CO12",$H$13,0)+IF($I$12="CO12",$I$13,0)+IF($J$12="CO12",$J$13,0)+IF($K$12="CO12",$K$13,0)+IF($L$12="CO12",$L$13,0)+IF($M$12="CO12",$M$13,0)+IF($N$12="CO12",$N$13,0)+IF($O$12="CO12",$O$13,0)+IF($P$12="CO12",$P$13,0)+IF($Q$12="CO12",$Q$13,0)+IF($R$12="CO12",$R$13,0)+IF($S$12="CO12",$S$13,0)+IF($T$12="CO12",$T$13,0))*100,2)</f>
        <v>#DIV/0!</v>
      </c>
    </row>
    <row r="16" spans="1:45" ht="20.100000000000001" hidden="1" customHeight="1">
      <c r="A16" s="12">
        <v>0</v>
      </c>
      <c r="B16" s="13">
        <f>'INTERNAL TEST-1  '!B16</f>
        <v>0</v>
      </c>
      <c r="C16" s="64">
        <f>'INTERNAL TEST-1  '!C16</f>
        <v>0</v>
      </c>
      <c r="D16" s="12"/>
      <c r="E16" s="12"/>
      <c r="F16" s="12"/>
      <c r="G16" s="12"/>
      <c r="H16" s="12"/>
      <c r="I16" s="12"/>
      <c r="J16" s="12"/>
      <c r="K16" s="12"/>
      <c r="L16" s="12"/>
      <c r="M16" s="12"/>
      <c r="N16" s="12"/>
      <c r="O16" s="12"/>
      <c r="P16" s="12"/>
      <c r="Q16" s="12"/>
      <c r="R16" s="12"/>
      <c r="S16" s="12"/>
      <c r="T16" s="12"/>
      <c r="U16" s="13">
        <f t="shared" si="0"/>
        <v>0</v>
      </c>
      <c r="V16" s="13">
        <f t="shared" si="1"/>
        <v>0</v>
      </c>
      <c r="W16" s="13">
        <f t="shared" si="2"/>
        <v>0</v>
      </c>
      <c r="X16" s="13">
        <f t="shared" si="3"/>
        <v>0</v>
      </c>
      <c r="Y16" s="13">
        <f t="shared" si="4"/>
        <v>0</v>
      </c>
      <c r="Z16" s="13">
        <f t="shared" si="5"/>
        <v>0</v>
      </c>
      <c r="AA16" s="13">
        <f t="shared" si="6"/>
        <v>0</v>
      </c>
      <c r="AB16" s="13">
        <f t="shared" si="7"/>
        <v>0</v>
      </c>
      <c r="AC16" s="13">
        <f t="shared" si="8"/>
        <v>0</v>
      </c>
      <c r="AD16" s="13">
        <f t="shared" si="9"/>
        <v>0</v>
      </c>
      <c r="AE16" s="13">
        <f t="shared" si="10"/>
        <v>0</v>
      </c>
      <c r="AF16" s="13">
        <f t="shared" si="11"/>
        <v>0</v>
      </c>
      <c r="AG16" s="13">
        <f t="shared" si="12"/>
        <v>0</v>
      </c>
      <c r="AH16" s="13" t="e">
        <f t="shared" si="13"/>
        <v>#DIV/0!</v>
      </c>
      <c r="AI16" s="13" t="e">
        <f t="shared" si="14"/>
        <v>#DIV/0!</v>
      </c>
      <c r="AJ16" s="13" t="e">
        <f t="shared" si="15"/>
        <v>#DIV/0!</v>
      </c>
      <c r="AK16" s="13" t="e">
        <f t="shared" si="16"/>
        <v>#DIV/0!</v>
      </c>
      <c r="AL16" s="13" t="e">
        <f t="shared" si="17"/>
        <v>#DIV/0!</v>
      </c>
      <c r="AM16" s="13" t="e">
        <f t="shared" si="18"/>
        <v>#DIV/0!</v>
      </c>
      <c r="AN16" s="13" t="e">
        <f t="shared" si="19"/>
        <v>#DIV/0!</v>
      </c>
      <c r="AO16" s="2" t="e">
        <f t="shared" si="20"/>
        <v>#DIV/0!</v>
      </c>
      <c r="AP16" s="2" t="e">
        <f t="shared" si="21"/>
        <v>#DIV/0!</v>
      </c>
      <c r="AQ16" s="2" t="e">
        <f t="shared" si="22"/>
        <v>#DIV/0!</v>
      </c>
      <c r="AR16" s="2" t="e">
        <f t="shared" si="23"/>
        <v>#DIV/0!</v>
      </c>
      <c r="AS16" s="2" t="e">
        <f t="shared" si="24"/>
        <v>#DIV/0!</v>
      </c>
    </row>
    <row r="17" spans="1:45" ht="20.100000000000001" hidden="1" customHeight="1">
      <c r="A17" s="12">
        <v>0</v>
      </c>
      <c r="B17" s="13">
        <f>'INTERNAL TEST-1  '!B17</f>
        <v>0</v>
      </c>
      <c r="C17" s="64">
        <f>'INTERNAL TEST-1  '!C17</f>
        <v>0</v>
      </c>
      <c r="D17" s="12"/>
      <c r="E17" s="12"/>
      <c r="F17" s="12"/>
      <c r="G17" s="12"/>
      <c r="H17" s="12"/>
      <c r="I17" s="12"/>
      <c r="J17" s="12"/>
      <c r="K17" s="12"/>
      <c r="L17" s="12"/>
      <c r="M17" s="12"/>
      <c r="N17" s="12"/>
      <c r="O17" s="12"/>
      <c r="P17" s="12"/>
      <c r="Q17" s="12"/>
      <c r="R17" s="12"/>
      <c r="S17" s="12"/>
      <c r="T17" s="12"/>
      <c r="U17" s="13">
        <f t="shared" si="0"/>
        <v>0</v>
      </c>
      <c r="V17" s="13">
        <f t="shared" si="1"/>
        <v>0</v>
      </c>
      <c r="W17" s="13">
        <f t="shared" si="2"/>
        <v>0</v>
      </c>
      <c r="X17" s="13">
        <f t="shared" si="3"/>
        <v>0</v>
      </c>
      <c r="Y17" s="13">
        <f t="shared" si="4"/>
        <v>0</v>
      </c>
      <c r="Z17" s="13">
        <f t="shared" si="5"/>
        <v>0</v>
      </c>
      <c r="AA17" s="13">
        <f t="shared" si="6"/>
        <v>0</v>
      </c>
      <c r="AB17" s="13">
        <f t="shared" si="7"/>
        <v>0</v>
      </c>
      <c r="AC17" s="13">
        <f t="shared" si="8"/>
        <v>0</v>
      </c>
      <c r="AD17" s="13">
        <f t="shared" si="9"/>
        <v>0</v>
      </c>
      <c r="AE17" s="13">
        <f t="shared" si="10"/>
        <v>0</v>
      </c>
      <c r="AF17" s="13">
        <f t="shared" si="11"/>
        <v>0</v>
      </c>
      <c r="AG17" s="13">
        <f t="shared" si="12"/>
        <v>0</v>
      </c>
      <c r="AH17" s="13" t="e">
        <f t="shared" si="13"/>
        <v>#DIV/0!</v>
      </c>
      <c r="AI17" s="13" t="e">
        <f t="shared" si="14"/>
        <v>#DIV/0!</v>
      </c>
      <c r="AJ17" s="13" t="e">
        <f t="shared" si="15"/>
        <v>#DIV/0!</v>
      </c>
      <c r="AK17" s="13" t="e">
        <f t="shared" si="16"/>
        <v>#DIV/0!</v>
      </c>
      <c r="AL17" s="13" t="e">
        <f t="shared" si="17"/>
        <v>#DIV/0!</v>
      </c>
      <c r="AM17" s="13" t="e">
        <f t="shared" si="18"/>
        <v>#DIV/0!</v>
      </c>
      <c r="AN17" s="13" t="e">
        <f t="shared" si="19"/>
        <v>#DIV/0!</v>
      </c>
      <c r="AO17" s="2" t="e">
        <f t="shared" si="20"/>
        <v>#DIV/0!</v>
      </c>
      <c r="AP17" s="2" t="e">
        <f t="shared" si="21"/>
        <v>#DIV/0!</v>
      </c>
      <c r="AQ17" s="2" t="e">
        <f t="shared" si="22"/>
        <v>#DIV/0!</v>
      </c>
      <c r="AR17" s="2" t="e">
        <f t="shared" si="23"/>
        <v>#DIV/0!</v>
      </c>
      <c r="AS17" s="2" t="e">
        <f t="shared" si="24"/>
        <v>#DIV/0!</v>
      </c>
    </row>
    <row r="18" spans="1:45" ht="20.100000000000001" hidden="1" customHeight="1">
      <c r="A18" s="12">
        <v>0</v>
      </c>
      <c r="B18" s="13">
        <f>'INTERNAL TEST-1  '!B18</f>
        <v>0</v>
      </c>
      <c r="C18" s="64">
        <f>'INTERNAL TEST-1  '!C18</f>
        <v>0</v>
      </c>
      <c r="D18" s="12"/>
      <c r="E18" s="12"/>
      <c r="F18" s="12"/>
      <c r="G18" s="12"/>
      <c r="H18" s="12"/>
      <c r="I18" s="12"/>
      <c r="J18" s="12"/>
      <c r="K18" s="12"/>
      <c r="L18" s="12"/>
      <c r="M18" s="12"/>
      <c r="N18" s="12"/>
      <c r="O18" s="12"/>
      <c r="P18" s="12"/>
      <c r="Q18" s="12"/>
      <c r="R18" s="12"/>
      <c r="S18" s="12"/>
      <c r="T18" s="12"/>
      <c r="U18" s="13">
        <f t="shared" si="0"/>
        <v>0</v>
      </c>
      <c r="V18" s="13">
        <f t="shared" si="1"/>
        <v>0</v>
      </c>
      <c r="W18" s="13">
        <f t="shared" si="2"/>
        <v>0</v>
      </c>
      <c r="X18" s="13">
        <f t="shared" si="3"/>
        <v>0</v>
      </c>
      <c r="Y18" s="13">
        <f t="shared" si="4"/>
        <v>0</v>
      </c>
      <c r="Z18" s="13">
        <f t="shared" si="5"/>
        <v>0</v>
      </c>
      <c r="AA18" s="13">
        <f t="shared" si="6"/>
        <v>0</v>
      </c>
      <c r="AB18" s="13">
        <f t="shared" si="7"/>
        <v>0</v>
      </c>
      <c r="AC18" s="13">
        <f t="shared" si="8"/>
        <v>0</v>
      </c>
      <c r="AD18" s="13">
        <f t="shared" si="9"/>
        <v>0</v>
      </c>
      <c r="AE18" s="13">
        <f t="shared" si="10"/>
        <v>0</v>
      </c>
      <c r="AF18" s="13">
        <f t="shared" si="11"/>
        <v>0</v>
      </c>
      <c r="AG18" s="13">
        <f t="shared" si="12"/>
        <v>0</v>
      </c>
      <c r="AH18" s="13" t="e">
        <f t="shared" si="13"/>
        <v>#DIV/0!</v>
      </c>
      <c r="AI18" s="13" t="e">
        <f t="shared" si="14"/>
        <v>#DIV/0!</v>
      </c>
      <c r="AJ18" s="13" t="e">
        <f t="shared" si="15"/>
        <v>#DIV/0!</v>
      </c>
      <c r="AK18" s="13" t="e">
        <f t="shared" si="16"/>
        <v>#DIV/0!</v>
      </c>
      <c r="AL18" s="13" t="e">
        <f t="shared" si="17"/>
        <v>#DIV/0!</v>
      </c>
      <c r="AM18" s="13" t="e">
        <f t="shared" si="18"/>
        <v>#DIV/0!</v>
      </c>
      <c r="AN18" s="13" t="e">
        <f t="shared" si="19"/>
        <v>#DIV/0!</v>
      </c>
      <c r="AO18" s="2" t="e">
        <f t="shared" si="20"/>
        <v>#DIV/0!</v>
      </c>
      <c r="AP18" s="2" t="e">
        <f t="shared" si="21"/>
        <v>#DIV/0!</v>
      </c>
      <c r="AQ18" s="2" t="e">
        <f t="shared" si="22"/>
        <v>#DIV/0!</v>
      </c>
      <c r="AR18" s="2" t="e">
        <f t="shared" si="23"/>
        <v>#DIV/0!</v>
      </c>
      <c r="AS18" s="2" t="e">
        <f t="shared" si="24"/>
        <v>#DIV/0!</v>
      </c>
    </row>
    <row r="19" spans="1:45" ht="20.100000000000001" hidden="1" customHeight="1">
      <c r="A19" s="12">
        <v>0</v>
      </c>
      <c r="B19" s="13">
        <f>'INTERNAL TEST-1  '!B19</f>
        <v>0</v>
      </c>
      <c r="C19" s="64">
        <f>'INTERNAL TEST-1  '!C19</f>
        <v>0</v>
      </c>
      <c r="D19" s="12"/>
      <c r="E19" s="12"/>
      <c r="F19" s="12"/>
      <c r="G19" s="12"/>
      <c r="H19" s="12"/>
      <c r="I19" s="12"/>
      <c r="J19" s="12"/>
      <c r="K19" s="12"/>
      <c r="L19" s="12"/>
      <c r="M19" s="12"/>
      <c r="N19" s="12"/>
      <c r="O19" s="12"/>
      <c r="P19" s="12"/>
      <c r="Q19" s="12"/>
      <c r="R19" s="12"/>
      <c r="S19" s="12"/>
      <c r="T19" s="12"/>
      <c r="U19" s="13">
        <f t="shared" si="0"/>
        <v>0</v>
      </c>
      <c r="V19" s="13">
        <f t="shared" si="1"/>
        <v>0</v>
      </c>
      <c r="W19" s="13">
        <f t="shared" si="2"/>
        <v>0</v>
      </c>
      <c r="X19" s="13">
        <f t="shared" si="3"/>
        <v>0</v>
      </c>
      <c r="Y19" s="13">
        <f t="shared" si="4"/>
        <v>0</v>
      </c>
      <c r="Z19" s="13">
        <f t="shared" si="5"/>
        <v>0</v>
      </c>
      <c r="AA19" s="13">
        <f t="shared" si="6"/>
        <v>0</v>
      </c>
      <c r="AB19" s="13">
        <f t="shared" si="7"/>
        <v>0</v>
      </c>
      <c r="AC19" s="13">
        <f t="shared" si="8"/>
        <v>0</v>
      </c>
      <c r="AD19" s="13">
        <f t="shared" si="9"/>
        <v>0</v>
      </c>
      <c r="AE19" s="13">
        <f t="shared" si="10"/>
        <v>0</v>
      </c>
      <c r="AF19" s="13">
        <f t="shared" si="11"/>
        <v>0</v>
      </c>
      <c r="AG19" s="13">
        <f t="shared" si="12"/>
        <v>0</v>
      </c>
      <c r="AH19" s="13" t="e">
        <f t="shared" si="13"/>
        <v>#DIV/0!</v>
      </c>
      <c r="AI19" s="13" t="e">
        <f t="shared" si="14"/>
        <v>#DIV/0!</v>
      </c>
      <c r="AJ19" s="13" t="e">
        <f t="shared" si="15"/>
        <v>#DIV/0!</v>
      </c>
      <c r="AK19" s="13" t="e">
        <f t="shared" si="16"/>
        <v>#DIV/0!</v>
      </c>
      <c r="AL19" s="13" t="e">
        <f t="shared" si="17"/>
        <v>#DIV/0!</v>
      </c>
      <c r="AM19" s="13" t="e">
        <f t="shared" si="18"/>
        <v>#DIV/0!</v>
      </c>
      <c r="AN19" s="13" t="e">
        <f t="shared" si="19"/>
        <v>#DIV/0!</v>
      </c>
      <c r="AO19" s="2" t="e">
        <f t="shared" si="20"/>
        <v>#DIV/0!</v>
      </c>
      <c r="AP19" s="2" t="e">
        <f t="shared" si="21"/>
        <v>#DIV/0!</v>
      </c>
      <c r="AQ19" s="2" t="e">
        <f t="shared" si="22"/>
        <v>#DIV/0!</v>
      </c>
      <c r="AR19" s="2" t="e">
        <f t="shared" si="23"/>
        <v>#DIV/0!</v>
      </c>
      <c r="AS19" s="2" t="e">
        <f t="shared" si="24"/>
        <v>#DIV/0!</v>
      </c>
    </row>
    <row r="20" spans="1:45" ht="20.100000000000001" hidden="1" customHeight="1">
      <c r="A20" s="12">
        <v>0</v>
      </c>
      <c r="B20" s="13">
        <f>'INTERNAL TEST-1  '!B20</f>
        <v>0</v>
      </c>
      <c r="C20" s="64">
        <f>'INTERNAL TEST-1  '!C20</f>
        <v>0</v>
      </c>
      <c r="D20" s="12"/>
      <c r="E20" s="12"/>
      <c r="F20" s="12"/>
      <c r="G20" s="12"/>
      <c r="H20" s="12"/>
      <c r="I20" s="12"/>
      <c r="J20" s="12"/>
      <c r="K20" s="12"/>
      <c r="L20" s="12"/>
      <c r="M20" s="12"/>
      <c r="N20" s="12"/>
      <c r="O20" s="12"/>
      <c r="P20" s="12"/>
      <c r="Q20" s="12"/>
      <c r="R20" s="12"/>
      <c r="S20" s="12"/>
      <c r="T20" s="12"/>
      <c r="U20" s="13">
        <f t="shared" si="0"/>
        <v>0</v>
      </c>
      <c r="V20" s="13">
        <f t="shared" si="1"/>
        <v>0</v>
      </c>
      <c r="W20" s="13">
        <f t="shared" si="2"/>
        <v>0</v>
      </c>
      <c r="X20" s="13">
        <f t="shared" si="3"/>
        <v>0</v>
      </c>
      <c r="Y20" s="13">
        <f t="shared" si="4"/>
        <v>0</v>
      </c>
      <c r="Z20" s="13">
        <f t="shared" si="5"/>
        <v>0</v>
      </c>
      <c r="AA20" s="13">
        <f t="shared" si="6"/>
        <v>0</v>
      </c>
      <c r="AB20" s="13">
        <f t="shared" si="7"/>
        <v>0</v>
      </c>
      <c r="AC20" s="13">
        <f t="shared" si="8"/>
        <v>0</v>
      </c>
      <c r="AD20" s="13">
        <f t="shared" si="9"/>
        <v>0</v>
      </c>
      <c r="AE20" s="13">
        <f t="shared" si="10"/>
        <v>0</v>
      </c>
      <c r="AF20" s="13">
        <f t="shared" si="11"/>
        <v>0</v>
      </c>
      <c r="AG20" s="13">
        <f t="shared" si="12"/>
        <v>0</v>
      </c>
      <c r="AH20" s="13" t="e">
        <f t="shared" si="13"/>
        <v>#DIV/0!</v>
      </c>
      <c r="AI20" s="13" t="e">
        <f t="shared" si="14"/>
        <v>#DIV/0!</v>
      </c>
      <c r="AJ20" s="13" t="e">
        <f t="shared" si="15"/>
        <v>#DIV/0!</v>
      </c>
      <c r="AK20" s="13" t="e">
        <f t="shared" si="16"/>
        <v>#DIV/0!</v>
      </c>
      <c r="AL20" s="13" t="e">
        <f t="shared" si="17"/>
        <v>#DIV/0!</v>
      </c>
      <c r="AM20" s="13" t="e">
        <f t="shared" si="18"/>
        <v>#DIV/0!</v>
      </c>
      <c r="AN20" s="13" t="e">
        <f t="shared" si="19"/>
        <v>#DIV/0!</v>
      </c>
      <c r="AO20" s="2" t="e">
        <f t="shared" si="20"/>
        <v>#DIV/0!</v>
      </c>
      <c r="AP20" s="2" t="e">
        <f t="shared" si="21"/>
        <v>#DIV/0!</v>
      </c>
      <c r="AQ20" s="2" t="e">
        <f t="shared" si="22"/>
        <v>#DIV/0!</v>
      </c>
      <c r="AR20" s="2" t="e">
        <f t="shared" si="23"/>
        <v>#DIV/0!</v>
      </c>
      <c r="AS20" s="2" t="e">
        <f t="shared" si="24"/>
        <v>#DIV/0!</v>
      </c>
    </row>
    <row r="21" spans="1:45" ht="20.100000000000001" hidden="1" customHeight="1">
      <c r="A21" s="12">
        <v>0</v>
      </c>
      <c r="B21" s="13">
        <f>'INTERNAL TEST-1  '!B21</f>
        <v>0</v>
      </c>
      <c r="C21" s="64">
        <f>'INTERNAL TEST-1  '!C21</f>
        <v>0</v>
      </c>
      <c r="D21" s="12"/>
      <c r="E21" s="12"/>
      <c r="F21" s="12"/>
      <c r="G21" s="12"/>
      <c r="H21" s="12"/>
      <c r="I21" s="12"/>
      <c r="J21" s="12"/>
      <c r="K21" s="12"/>
      <c r="L21" s="12"/>
      <c r="M21" s="12"/>
      <c r="N21" s="12"/>
      <c r="O21" s="12"/>
      <c r="P21" s="12"/>
      <c r="Q21" s="12"/>
      <c r="R21" s="12"/>
      <c r="S21" s="12"/>
      <c r="T21" s="12"/>
      <c r="U21" s="13">
        <f t="shared" si="0"/>
        <v>0</v>
      </c>
      <c r="V21" s="13">
        <f t="shared" si="1"/>
        <v>0</v>
      </c>
      <c r="W21" s="13">
        <f t="shared" si="2"/>
        <v>0</v>
      </c>
      <c r="X21" s="13">
        <f t="shared" si="3"/>
        <v>0</v>
      </c>
      <c r="Y21" s="13">
        <f t="shared" si="4"/>
        <v>0</v>
      </c>
      <c r="Z21" s="13">
        <f t="shared" si="5"/>
        <v>0</v>
      </c>
      <c r="AA21" s="13">
        <f t="shared" si="6"/>
        <v>0</v>
      </c>
      <c r="AB21" s="13">
        <f t="shared" si="7"/>
        <v>0</v>
      </c>
      <c r="AC21" s="13">
        <f t="shared" si="8"/>
        <v>0</v>
      </c>
      <c r="AD21" s="13">
        <f t="shared" si="9"/>
        <v>0</v>
      </c>
      <c r="AE21" s="13">
        <f t="shared" si="10"/>
        <v>0</v>
      </c>
      <c r="AF21" s="13">
        <f t="shared" si="11"/>
        <v>0</v>
      </c>
      <c r="AG21" s="13">
        <f t="shared" si="12"/>
        <v>0</v>
      </c>
      <c r="AH21" s="13" t="e">
        <f t="shared" si="13"/>
        <v>#DIV/0!</v>
      </c>
      <c r="AI21" s="13" t="e">
        <f t="shared" si="14"/>
        <v>#DIV/0!</v>
      </c>
      <c r="AJ21" s="13" t="e">
        <f t="shared" si="15"/>
        <v>#DIV/0!</v>
      </c>
      <c r="AK21" s="13" t="e">
        <f t="shared" si="16"/>
        <v>#DIV/0!</v>
      </c>
      <c r="AL21" s="13" t="e">
        <f t="shared" si="17"/>
        <v>#DIV/0!</v>
      </c>
      <c r="AM21" s="13" t="e">
        <f t="shared" si="18"/>
        <v>#DIV/0!</v>
      </c>
      <c r="AN21" s="13" t="e">
        <f t="shared" si="19"/>
        <v>#DIV/0!</v>
      </c>
      <c r="AO21" s="2" t="e">
        <f t="shared" si="20"/>
        <v>#DIV/0!</v>
      </c>
      <c r="AP21" s="2" t="e">
        <f t="shared" si="21"/>
        <v>#DIV/0!</v>
      </c>
      <c r="AQ21" s="2" t="e">
        <f t="shared" si="22"/>
        <v>#DIV/0!</v>
      </c>
      <c r="AR21" s="2" t="e">
        <f t="shared" si="23"/>
        <v>#DIV/0!</v>
      </c>
      <c r="AS21" s="2" t="e">
        <f t="shared" si="24"/>
        <v>#DIV/0!</v>
      </c>
    </row>
    <row r="22" spans="1:45" ht="20.100000000000001" hidden="1" customHeight="1">
      <c r="A22" s="12">
        <v>0</v>
      </c>
      <c r="B22" s="13">
        <f>'INTERNAL TEST-1  '!B22</f>
        <v>0</v>
      </c>
      <c r="C22" s="64">
        <f>'INTERNAL TEST-1  '!C22</f>
        <v>0</v>
      </c>
      <c r="D22" s="12"/>
      <c r="E22" s="12"/>
      <c r="F22" s="12"/>
      <c r="G22" s="12"/>
      <c r="H22" s="12"/>
      <c r="I22" s="12"/>
      <c r="J22" s="12"/>
      <c r="K22" s="12"/>
      <c r="L22" s="12"/>
      <c r="M22" s="12"/>
      <c r="N22" s="12"/>
      <c r="O22" s="12"/>
      <c r="P22" s="12"/>
      <c r="Q22" s="12"/>
      <c r="R22" s="12"/>
      <c r="S22" s="12"/>
      <c r="T22" s="12"/>
      <c r="U22" s="13">
        <f t="shared" si="0"/>
        <v>0</v>
      </c>
      <c r="V22" s="13">
        <f t="shared" si="1"/>
        <v>0</v>
      </c>
      <c r="W22" s="13">
        <f t="shared" si="2"/>
        <v>0</v>
      </c>
      <c r="X22" s="13">
        <f t="shared" si="3"/>
        <v>0</v>
      </c>
      <c r="Y22" s="13">
        <f t="shared" si="4"/>
        <v>0</v>
      </c>
      <c r="Z22" s="13">
        <f t="shared" si="5"/>
        <v>0</v>
      </c>
      <c r="AA22" s="13">
        <f t="shared" si="6"/>
        <v>0</v>
      </c>
      <c r="AB22" s="13">
        <f t="shared" si="7"/>
        <v>0</v>
      </c>
      <c r="AC22" s="13">
        <f t="shared" si="8"/>
        <v>0</v>
      </c>
      <c r="AD22" s="13">
        <f t="shared" si="9"/>
        <v>0</v>
      </c>
      <c r="AE22" s="13">
        <f t="shared" si="10"/>
        <v>0</v>
      </c>
      <c r="AF22" s="13">
        <f t="shared" si="11"/>
        <v>0</v>
      </c>
      <c r="AG22" s="13">
        <f t="shared" si="12"/>
        <v>0</v>
      </c>
      <c r="AH22" s="13" t="e">
        <f t="shared" si="13"/>
        <v>#DIV/0!</v>
      </c>
      <c r="AI22" s="13" t="e">
        <f t="shared" si="14"/>
        <v>#DIV/0!</v>
      </c>
      <c r="AJ22" s="13" t="e">
        <f t="shared" si="15"/>
        <v>#DIV/0!</v>
      </c>
      <c r="AK22" s="13" t="e">
        <f t="shared" si="16"/>
        <v>#DIV/0!</v>
      </c>
      <c r="AL22" s="13" t="e">
        <f t="shared" si="17"/>
        <v>#DIV/0!</v>
      </c>
      <c r="AM22" s="13" t="e">
        <f t="shared" si="18"/>
        <v>#DIV/0!</v>
      </c>
      <c r="AN22" s="13" t="e">
        <f t="shared" si="19"/>
        <v>#DIV/0!</v>
      </c>
      <c r="AO22" s="2" t="e">
        <f t="shared" si="20"/>
        <v>#DIV/0!</v>
      </c>
      <c r="AP22" s="2" t="e">
        <f t="shared" si="21"/>
        <v>#DIV/0!</v>
      </c>
      <c r="AQ22" s="2" t="e">
        <f t="shared" si="22"/>
        <v>#DIV/0!</v>
      </c>
      <c r="AR22" s="2" t="e">
        <f t="shared" si="23"/>
        <v>#DIV/0!</v>
      </c>
      <c r="AS22" s="2" t="e">
        <f t="shared" si="24"/>
        <v>#DIV/0!</v>
      </c>
    </row>
    <row r="23" spans="1:45" ht="20.100000000000001" hidden="1" customHeight="1">
      <c r="A23" s="12">
        <v>0</v>
      </c>
      <c r="B23" s="13">
        <f>'INTERNAL TEST-1  '!B23</f>
        <v>0</v>
      </c>
      <c r="C23" s="64">
        <f>'INTERNAL TEST-1  '!C23</f>
        <v>0</v>
      </c>
      <c r="D23" s="12"/>
      <c r="E23" s="12"/>
      <c r="F23" s="12"/>
      <c r="G23" s="12"/>
      <c r="H23" s="12"/>
      <c r="I23" s="12"/>
      <c r="J23" s="12"/>
      <c r="K23" s="12"/>
      <c r="L23" s="12"/>
      <c r="M23" s="12"/>
      <c r="N23" s="12"/>
      <c r="O23" s="12"/>
      <c r="P23" s="12"/>
      <c r="Q23" s="12"/>
      <c r="R23" s="12"/>
      <c r="S23" s="12"/>
      <c r="T23" s="12"/>
      <c r="U23" s="13">
        <f t="shared" si="0"/>
        <v>0</v>
      </c>
      <c r="V23" s="13">
        <f t="shared" si="1"/>
        <v>0</v>
      </c>
      <c r="W23" s="13">
        <f t="shared" si="2"/>
        <v>0</v>
      </c>
      <c r="X23" s="13">
        <f t="shared" si="3"/>
        <v>0</v>
      </c>
      <c r="Y23" s="13">
        <f t="shared" si="4"/>
        <v>0</v>
      </c>
      <c r="Z23" s="13">
        <f t="shared" si="5"/>
        <v>0</v>
      </c>
      <c r="AA23" s="13">
        <f t="shared" si="6"/>
        <v>0</v>
      </c>
      <c r="AB23" s="13">
        <f t="shared" si="7"/>
        <v>0</v>
      </c>
      <c r="AC23" s="13">
        <f t="shared" si="8"/>
        <v>0</v>
      </c>
      <c r="AD23" s="13">
        <f t="shared" si="9"/>
        <v>0</v>
      </c>
      <c r="AE23" s="13">
        <f t="shared" si="10"/>
        <v>0</v>
      </c>
      <c r="AF23" s="13">
        <f t="shared" si="11"/>
        <v>0</v>
      </c>
      <c r="AG23" s="13">
        <f t="shared" si="12"/>
        <v>0</v>
      </c>
      <c r="AH23" s="13" t="e">
        <f t="shared" si="13"/>
        <v>#DIV/0!</v>
      </c>
      <c r="AI23" s="13" t="e">
        <f t="shared" si="14"/>
        <v>#DIV/0!</v>
      </c>
      <c r="AJ23" s="13" t="e">
        <f t="shared" si="15"/>
        <v>#DIV/0!</v>
      </c>
      <c r="AK23" s="13" t="e">
        <f t="shared" si="16"/>
        <v>#DIV/0!</v>
      </c>
      <c r="AL23" s="13" t="e">
        <f t="shared" si="17"/>
        <v>#DIV/0!</v>
      </c>
      <c r="AM23" s="13" t="e">
        <f t="shared" si="18"/>
        <v>#DIV/0!</v>
      </c>
      <c r="AN23" s="13" t="e">
        <f t="shared" si="19"/>
        <v>#DIV/0!</v>
      </c>
      <c r="AO23" s="2" t="e">
        <f t="shared" si="20"/>
        <v>#DIV/0!</v>
      </c>
      <c r="AP23" s="2" t="e">
        <f t="shared" si="21"/>
        <v>#DIV/0!</v>
      </c>
      <c r="AQ23" s="2" t="e">
        <f t="shared" si="22"/>
        <v>#DIV/0!</v>
      </c>
      <c r="AR23" s="2" t="e">
        <f t="shared" si="23"/>
        <v>#DIV/0!</v>
      </c>
      <c r="AS23" s="2" t="e">
        <f t="shared" si="24"/>
        <v>#DIV/0!</v>
      </c>
    </row>
    <row r="24" spans="1:45" ht="20.100000000000001" hidden="1" customHeight="1">
      <c r="A24" s="12">
        <v>0</v>
      </c>
      <c r="B24" s="13">
        <f>'INTERNAL TEST-1  '!B24</f>
        <v>0</v>
      </c>
      <c r="C24" s="64">
        <f>'INTERNAL TEST-1  '!C24</f>
        <v>0</v>
      </c>
      <c r="D24" s="12"/>
      <c r="E24" s="12"/>
      <c r="F24" s="12"/>
      <c r="G24" s="12"/>
      <c r="H24" s="12"/>
      <c r="I24" s="12"/>
      <c r="J24" s="12"/>
      <c r="K24" s="12"/>
      <c r="L24" s="12"/>
      <c r="M24" s="12"/>
      <c r="N24" s="12"/>
      <c r="O24" s="12"/>
      <c r="P24" s="12"/>
      <c r="Q24" s="12"/>
      <c r="R24" s="12"/>
      <c r="S24" s="12"/>
      <c r="T24" s="12"/>
      <c r="U24" s="13">
        <f t="shared" si="0"/>
        <v>0</v>
      </c>
      <c r="V24" s="13">
        <f t="shared" si="1"/>
        <v>0</v>
      </c>
      <c r="W24" s="13">
        <f t="shared" si="2"/>
        <v>0</v>
      </c>
      <c r="X24" s="13">
        <f t="shared" si="3"/>
        <v>0</v>
      </c>
      <c r="Y24" s="13">
        <f t="shared" si="4"/>
        <v>0</v>
      </c>
      <c r="Z24" s="13">
        <f t="shared" si="5"/>
        <v>0</v>
      </c>
      <c r="AA24" s="13">
        <f t="shared" si="6"/>
        <v>0</v>
      </c>
      <c r="AB24" s="13">
        <f t="shared" si="7"/>
        <v>0</v>
      </c>
      <c r="AC24" s="13">
        <f t="shared" si="8"/>
        <v>0</v>
      </c>
      <c r="AD24" s="13">
        <f t="shared" si="9"/>
        <v>0</v>
      </c>
      <c r="AE24" s="13">
        <f t="shared" si="10"/>
        <v>0</v>
      </c>
      <c r="AF24" s="13">
        <f t="shared" si="11"/>
        <v>0</v>
      </c>
      <c r="AG24" s="13">
        <f t="shared" si="12"/>
        <v>0</v>
      </c>
      <c r="AH24" s="13" t="e">
        <f t="shared" si="13"/>
        <v>#DIV/0!</v>
      </c>
      <c r="AI24" s="13" t="e">
        <f t="shared" si="14"/>
        <v>#DIV/0!</v>
      </c>
      <c r="AJ24" s="13" t="e">
        <f t="shared" si="15"/>
        <v>#DIV/0!</v>
      </c>
      <c r="AK24" s="13" t="e">
        <f t="shared" si="16"/>
        <v>#DIV/0!</v>
      </c>
      <c r="AL24" s="13" t="e">
        <f t="shared" si="17"/>
        <v>#DIV/0!</v>
      </c>
      <c r="AM24" s="13" t="e">
        <f t="shared" si="18"/>
        <v>#DIV/0!</v>
      </c>
      <c r="AN24" s="13" t="e">
        <f t="shared" si="19"/>
        <v>#DIV/0!</v>
      </c>
      <c r="AO24" s="2" t="e">
        <f t="shared" si="20"/>
        <v>#DIV/0!</v>
      </c>
      <c r="AP24" s="2" t="e">
        <f t="shared" si="21"/>
        <v>#DIV/0!</v>
      </c>
      <c r="AQ24" s="2" t="e">
        <f t="shared" si="22"/>
        <v>#DIV/0!</v>
      </c>
      <c r="AR24" s="2" t="e">
        <f t="shared" si="23"/>
        <v>#DIV/0!</v>
      </c>
      <c r="AS24" s="2" t="e">
        <f t="shared" si="24"/>
        <v>#DIV/0!</v>
      </c>
    </row>
    <row r="25" spans="1:45" ht="20.100000000000001" hidden="1" customHeight="1">
      <c r="A25" s="12">
        <v>0</v>
      </c>
      <c r="B25" s="13">
        <f>'INTERNAL TEST-1  '!B25</f>
        <v>0</v>
      </c>
      <c r="C25" s="64">
        <f>'INTERNAL TEST-1  '!C25</f>
        <v>0</v>
      </c>
      <c r="D25" s="12"/>
      <c r="E25" s="12"/>
      <c r="F25" s="12"/>
      <c r="G25" s="12"/>
      <c r="H25" s="12"/>
      <c r="I25" s="12"/>
      <c r="J25" s="12"/>
      <c r="K25" s="12"/>
      <c r="L25" s="12"/>
      <c r="M25" s="12"/>
      <c r="N25" s="12"/>
      <c r="O25" s="12"/>
      <c r="P25" s="12"/>
      <c r="Q25" s="12"/>
      <c r="R25" s="12"/>
      <c r="S25" s="12"/>
      <c r="T25" s="12"/>
      <c r="U25" s="13">
        <f t="shared" si="0"/>
        <v>0</v>
      </c>
      <c r="V25" s="13">
        <f t="shared" si="1"/>
        <v>0</v>
      </c>
      <c r="W25" s="13">
        <f t="shared" si="2"/>
        <v>0</v>
      </c>
      <c r="X25" s="13">
        <f t="shared" si="3"/>
        <v>0</v>
      </c>
      <c r="Y25" s="13">
        <f t="shared" si="4"/>
        <v>0</v>
      </c>
      <c r="Z25" s="13">
        <f t="shared" si="5"/>
        <v>0</v>
      </c>
      <c r="AA25" s="13">
        <f t="shared" si="6"/>
        <v>0</v>
      </c>
      <c r="AB25" s="13">
        <f t="shared" si="7"/>
        <v>0</v>
      </c>
      <c r="AC25" s="13">
        <f t="shared" si="8"/>
        <v>0</v>
      </c>
      <c r="AD25" s="13">
        <f t="shared" si="9"/>
        <v>0</v>
      </c>
      <c r="AE25" s="13">
        <f t="shared" si="10"/>
        <v>0</v>
      </c>
      <c r="AF25" s="13">
        <f t="shared" si="11"/>
        <v>0</v>
      </c>
      <c r="AG25" s="13">
        <f t="shared" si="12"/>
        <v>0</v>
      </c>
      <c r="AH25" s="13" t="e">
        <f t="shared" si="13"/>
        <v>#DIV/0!</v>
      </c>
      <c r="AI25" s="13" t="e">
        <f t="shared" si="14"/>
        <v>#DIV/0!</v>
      </c>
      <c r="AJ25" s="13" t="e">
        <f t="shared" si="15"/>
        <v>#DIV/0!</v>
      </c>
      <c r="AK25" s="13" t="e">
        <f t="shared" si="16"/>
        <v>#DIV/0!</v>
      </c>
      <c r="AL25" s="13" t="e">
        <f t="shared" si="17"/>
        <v>#DIV/0!</v>
      </c>
      <c r="AM25" s="13" t="e">
        <f t="shared" si="18"/>
        <v>#DIV/0!</v>
      </c>
      <c r="AN25" s="13" t="e">
        <f t="shared" si="19"/>
        <v>#DIV/0!</v>
      </c>
      <c r="AO25" s="2" t="e">
        <f t="shared" si="20"/>
        <v>#DIV/0!</v>
      </c>
      <c r="AP25" s="2" t="e">
        <f t="shared" si="21"/>
        <v>#DIV/0!</v>
      </c>
      <c r="AQ25" s="2" t="e">
        <f t="shared" si="22"/>
        <v>#DIV/0!</v>
      </c>
      <c r="AR25" s="2" t="e">
        <f t="shared" si="23"/>
        <v>#DIV/0!</v>
      </c>
      <c r="AS25" s="2" t="e">
        <f t="shared" si="24"/>
        <v>#DIV/0!</v>
      </c>
    </row>
    <row r="26" spans="1:45" ht="20.100000000000001" hidden="1" customHeight="1">
      <c r="A26" s="12">
        <v>0</v>
      </c>
      <c r="B26" s="13">
        <f>'INTERNAL TEST-1  '!B26</f>
        <v>0</v>
      </c>
      <c r="C26" s="64">
        <f>'INTERNAL TEST-1  '!C26</f>
        <v>0</v>
      </c>
      <c r="D26" s="12"/>
      <c r="E26" s="12"/>
      <c r="F26" s="12"/>
      <c r="G26" s="12"/>
      <c r="H26" s="12"/>
      <c r="I26" s="12"/>
      <c r="J26" s="12"/>
      <c r="K26" s="12"/>
      <c r="L26" s="12"/>
      <c r="M26" s="12"/>
      <c r="N26" s="12"/>
      <c r="O26" s="12"/>
      <c r="P26" s="12"/>
      <c r="Q26" s="12"/>
      <c r="R26" s="12"/>
      <c r="S26" s="12"/>
      <c r="T26" s="12"/>
      <c r="U26" s="13">
        <f t="shared" si="0"/>
        <v>0</v>
      </c>
      <c r="V26" s="13">
        <f t="shared" si="1"/>
        <v>0</v>
      </c>
      <c r="W26" s="13">
        <f t="shared" si="2"/>
        <v>0</v>
      </c>
      <c r="X26" s="13">
        <f t="shared" si="3"/>
        <v>0</v>
      </c>
      <c r="Y26" s="13">
        <f t="shared" si="4"/>
        <v>0</v>
      </c>
      <c r="Z26" s="13">
        <f t="shared" si="5"/>
        <v>0</v>
      </c>
      <c r="AA26" s="13">
        <f t="shared" si="6"/>
        <v>0</v>
      </c>
      <c r="AB26" s="13">
        <f t="shared" si="7"/>
        <v>0</v>
      </c>
      <c r="AC26" s="13">
        <f t="shared" si="8"/>
        <v>0</v>
      </c>
      <c r="AD26" s="13">
        <f t="shared" si="9"/>
        <v>0</v>
      </c>
      <c r="AE26" s="13">
        <f t="shared" si="10"/>
        <v>0</v>
      </c>
      <c r="AF26" s="13">
        <f t="shared" si="11"/>
        <v>0</v>
      </c>
      <c r="AG26" s="13">
        <f t="shared" si="12"/>
        <v>0</v>
      </c>
      <c r="AH26" s="13" t="e">
        <f t="shared" si="13"/>
        <v>#DIV/0!</v>
      </c>
      <c r="AI26" s="13" t="e">
        <f t="shared" si="14"/>
        <v>#DIV/0!</v>
      </c>
      <c r="AJ26" s="13" t="e">
        <f t="shared" si="15"/>
        <v>#DIV/0!</v>
      </c>
      <c r="AK26" s="13" t="e">
        <f t="shared" si="16"/>
        <v>#DIV/0!</v>
      </c>
      <c r="AL26" s="13" t="e">
        <f t="shared" si="17"/>
        <v>#DIV/0!</v>
      </c>
      <c r="AM26" s="13" t="e">
        <f t="shared" si="18"/>
        <v>#DIV/0!</v>
      </c>
      <c r="AN26" s="13" t="e">
        <f t="shared" si="19"/>
        <v>#DIV/0!</v>
      </c>
      <c r="AO26" s="2" t="e">
        <f t="shared" si="20"/>
        <v>#DIV/0!</v>
      </c>
      <c r="AP26" s="2" t="e">
        <f t="shared" si="21"/>
        <v>#DIV/0!</v>
      </c>
      <c r="AQ26" s="2" t="e">
        <f t="shared" si="22"/>
        <v>#DIV/0!</v>
      </c>
      <c r="AR26" s="2" t="e">
        <f t="shared" si="23"/>
        <v>#DIV/0!</v>
      </c>
      <c r="AS26" s="2" t="e">
        <f t="shared" si="24"/>
        <v>#DIV/0!</v>
      </c>
    </row>
    <row r="27" spans="1:45" ht="20.100000000000001" hidden="1" customHeight="1">
      <c r="A27" s="12">
        <v>0</v>
      </c>
      <c r="B27" s="13">
        <f>'INTERNAL TEST-1  '!B27</f>
        <v>0</v>
      </c>
      <c r="C27" s="64">
        <f>'INTERNAL TEST-1  '!C27</f>
        <v>0</v>
      </c>
      <c r="D27" s="12"/>
      <c r="E27" s="12"/>
      <c r="F27" s="12"/>
      <c r="G27" s="12"/>
      <c r="H27" s="12"/>
      <c r="I27" s="12"/>
      <c r="J27" s="12"/>
      <c r="K27" s="12"/>
      <c r="L27" s="12"/>
      <c r="M27" s="12"/>
      <c r="N27" s="12"/>
      <c r="O27" s="12"/>
      <c r="P27" s="12"/>
      <c r="Q27" s="12"/>
      <c r="R27" s="12"/>
      <c r="S27" s="12"/>
      <c r="T27" s="12"/>
      <c r="U27" s="13">
        <f t="shared" si="0"/>
        <v>0</v>
      </c>
      <c r="V27" s="13">
        <f t="shared" si="1"/>
        <v>0</v>
      </c>
      <c r="W27" s="13">
        <f t="shared" si="2"/>
        <v>0</v>
      </c>
      <c r="X27" s="13">
        <f t="shared" si="3"/>
        <v>0</v>
      </c>
      <c r="Y27" s="13">
        <f t="shared" si="4"/>
        <v>0</v>
      </c>
      <c r="Z27" s="13">
        <f t="shared" si="5"/>
        <v>0</v>
      </c>
      <c r="AA27" s="13">
        <f t="shared" si="6"/>
        <v>0</v>
      </c>
      <c r="AB27" s="13">
        <f t="shared" si="7"/>
        <v>0</v>
      </c>
      <c r="AC27" s="13">
        <f t="shared" si="8"/>
        <v>0</v>
      </c>
      <c r="AD27" s="13">
        <f t="shared" si="9"/>
        <v>0</v>
      </c>
      <c r="AE27" s="13">
        <f t="shared" si="10"/>
        <v>0</v>
      </c>
      <c r="AF27" s="13">
        <f t="shared" si="11"/>
        <v>0</v>
      </c>
      <c r="AG27" s="13">
        <f t="shared" si="12"/>
        <v>0</v>
      </c>
      <c r="AH27" s="13" t="e">
        <f t="shared" si="13"/>
        <v>#DIV/0!</v>
      </c>
      <c r="AI27" s="13" t="e">
        <f t="shared" si="14"/>
        <v>#DIV/0!</v>
      </c>
      <c r="AJ27" s="13" t="e">
        <f t="shared" si="15"/>
        <v>#DIV/0!</v>
      </c>
      <c r="AK27" s="13" t="e">
        <f t="shared" si="16"/>
        <v>#DIV/0!</v>
      </c>
      <c r="AL27" s="13" t="e">
        <f t="shared" si="17"/>
        <v>#DIV/0!</v>
      </c>
      <c r="AM27" s="13" t="e">
        <f t="shared" si="18"/>
        <v>#DIV/0!</v>
      </c>
      <c r="AN27" s="13" t="e">
        <f t="shared" si="19"/>
        <v>#DIV/0!</v>
      </c>
      <c r="AO27" s="2" t="e">
        <f t="shared" si="20"/>
        <v>#DIV/0!</v>
      </c>
      <c r="AP27" s="2" t="e">
        <f t="shared" si="21"/>
        <v>#DIV/0!</v>
      </c>
      <c r="AQ27" s="2" t="e">
        <f t="shared" si="22"/>
        <v>#DIV/0!</v>
      </c>
      <c r="AR27" s="2" t="e">
        <f t="shared" si="23"/>
        <v>#DIV/0!</v>
      </c>
      <c r="AS27" s="2" t="e">
        <f t="shared" si="24"/>
        <v>#DIV/0!</v>
      </c>
    </row>
    <row r="28" spans="1:45" ht="20.100000000000001" hidden="1" customHeight="1">
      <c r="A28" s="12">
        <v>0</v>
      </c>
      <c r="B28" s="13">
        <f>'INTERNAL TEST-1  '!B28</f>
        <v>0</v>
      </c>
      <c r="C28" s="64">
        <f>'INTERNAL TEST-1  '!C28</f>
        <v>0</v>
      </c>
      <c r="D28" s="12"/>
      <c r="E28" s="12"/>
      <c r="F28" s="12"/>
      <c r="G28" s="12"/>
      <c r="H28" s="12"/>
      <c r="I28" s="12"/>
      <c r="J28" s="12"/>
      <c r="K28" s="12"/>
      <c r="L28" s="12"/>
      <c r="M28" s="12"/>
      <c r="N28" s="12"/>
      <c r="O28" s="12"/>
      <c r="P28" s="12"/>
      <c r="Q28" s="12"/>
      <c r="R28" s="12"/>
      <c r="S28" s="12"/>
      <c r="T28" s="12"/>
      <c r="U28" s="13">
        <f t="shared" si="0"/>
        <v>0</v>
      </c>
      <c r="V28" s="13">
        <f t="shared" si="1"/>
        <v>0</v>
      </c>
      <c r="W28" s="13">
        <f t="shared" si="2"/>
        <v>0</v>
      </c>
      <c r="X28" s="13">
        <f t="shared" si="3"/>
        <v>0</v>
      </c>
      <c r="Y28" s="13">
        <f t="shared" si="4"/>
        <v>0</v>
      </c>
      <c r="Z28" s="13">
        <f t="shared" si="5"/>
        <v>0</v>
      </c>
      <c r="AA28" s="13">
        <f t="shared" si="6"/>
        <v>0</v>
      </c>
      <c r="AB28" s="13">
        <f t="shared" si="7"/>
        <v>0</v>
      </c>
      <c r="AC28" s="13">
        <f t="shared" si="8"/>
        <v>0</v>
      </c>
      <c r="AD28" s="13">
        <f t="shared" si="9"/>
        <v>0</v>
      </c>
      <c r="AE28" s="13">
        <f t="shared" si="10"/>
        <v>0</v>
      </c>
      <c r="AF28" s="13">
        <f t="shared" si="11"/>
        <v>0</v>
      </c>
      <c r="AG28" s="13">
        <f t="shared" si="12"/>
        <v>0</v>
      </c>
      <c r="AH28" s="13" t="e">
        <f t="shared" si="13"/>
        <v>#DIV/0!</v>
      </c>
      <c r="AI28" s="13" t="e">
        <f t="shared" si="14"/>
        <v>#DIV/0!</v>
      </c>
      <c r="AJ28" s="13" t="e">
        <f t="shared" si="15"/>
        <v>#DIV/0!</v>
      </c>
      <c r="AK28" s="13" t="e">
        <f t="shared" si="16"/>
        <v>#DIV/0!</v>
      </c>
      <c r="AL28" s="13" t="e">
        <f t="shared" si="17"/>
        <v>#DIV/0!</v>
      </c>
      <c r="AM28" s="13" t="e">
        <f t="shared" si="18"/>
        <v>#DIV/0!</v>
      </c>
      <c r="AN28" s="13" t="e">
        <f t="shared" si="19"/>
        <v>#DIV/0!</v>
      </c>
      <c r="AO28" s="2" t="e">
        <f t="shared" si="20"/>
        <v>#DIV/0!</v>
      </c>
      <c r="AP28" s="2" t="e">
        <f t="shared" si="21"/>
        <v>#DIV/0!</v>
      </c>
      <c r="AQ28" s="2" t="e">
        <f t="shared" si="22"/>
        <v>#DIV/0!</v>
      </c>
      <c r="AR28" s="2" t="e">
        <f t="shared" si="23"/>
        <v>#DIV/0!</v>
      </c>
      <c r="AS28" s="2" t="e">
        <f t="shared" si="24"/>
        <v>#DIV/0!</v>
      </c>
    </row>
    <row r="29" spans="1:45" ht="20.100000000000001" hidden="1" customHeight="1">
      <c r="A29" s="12">
        <v>0</v>
      </c>
      <c r="B29" s="13">
        <f>'INTERNAL TEST-1  '!B29</f>
        <v>0</v>
      </c>
      <c r="C29" s="64">
        <f>'INTERNAL TEST-1  '!C29</f>
        <v>0</v>
      </c>
      <c r="D29" s="12"/>
      <c r="E29" s="12"/>
      <c r="F29" s="12"/>
      <c r="G29" s="12"/>
      <c r="H29" s="12"/>
      <c r="I29" s="12"/>
      <c r="J29" s="12"/>
      <c r="K29" s="12"/>
      <c r="L29" s="12"/>
      <c r="M29" s="12"/>
      <c r="N29" s="12"/>
      <c r="O29" s="12"/>
      <c r="P29" s="12"/>
      <c r="Q29" s="12"/>
      <c r="R29" s="12"/>
      <c r="S29" s="12"/>
      <c r="T29" s="12"/>
      <c r="U29" s="13">
        <f t="shared" si="0"/>
        <v>0</v>
      </c>
      <c r="V29" s="13">
        <f t="shared" si="1"/>
        <v>0</v>
      </c>
      <c r="W29" s="13">
        <f t="shared" si="2"/>
        <v>0</v>
      </c>
      <c r="X29" s="13">
        <f t="shared" si="3"/>
        <v>0</v>
      </c>
      <c r="Y29" s="13">
        <f t="shared" si="4"/>
        <v>0</v>
      </c>
      <c r="Z29" s="13">
        <f t="shared" si="5"/>
        <v>0</v>
      </c>
      <c r="AA29" s="13">
        <f t="shared" si="6"/>
        <v>0</v>
      </c>
      <c r="AB29" s="13">
        <f t="shared" si="7"/>
        <v>0</v>
      </c>
      <c r="AC29" s="13">
        <f t="shared" si="8"/>
        <v>0</v>
      </c>
      <c r="AD29" s="13">
        <f t="shared" si="9"/>
        <v>0</v>
      </c>
      <c r="AE29" s="13">
        <f t="shared" si="10"/>
        <v>0</v>
      </c>
      <c r="AF29" s="13">
        <f t="shared" si="11"/>
        <v>0</v>
      </c>
      <c r="AG29" s="13">
        <f t="shared" si="12"/>
        <v>0</v>
      </c>
      <c r="AH29" s="13" t="e">
        <f t="shared" si="13"/>
        <v>#DIV/0!</v>
      </c>
      <c r="AI29" s="13" t="e">
        <f t="shared" si="14"/>
        <v>#DIV/0!</v>
      </c>
      <c r="AJ29" s="13" t="e">
        <f t="shared" si="15"/>
        <v>#DIV/0!</v>
      </c>
      <c r="AK29" s="13" t="e">
        <f t="shared" si="16"/>
        <v>#DIV/0!</v>
      </c>
      <c r="AL29" s="13" t="e">
        <f t="shared" si="17"/>
        <v>#DIV/0!</v>
      </c>
      <c r="AM29" s="13" t="e">
        <f t="shared" si="18"/>
        <v>#DIV/0!</v>
      </c>
      <c r="AN29" s="13" t="e">
        <f t="shared" si="19"/>
        <v>#DIV/0!</v>
      </c>
      <c r="AO29" s="2" t="e">
        <f t="shared" si="20"/>
        <v>#DIV/0!</v>
      </c>
      <c r="AP29" s="2" t="e">
        <f t="shared" si="21"/>
        <v>#DIV/0!</v>
      </c>
      <c r="AQ29" s="2" t="e">
        <f t="shared" si="22"/>
        <v>#DIV/0!</v>
      </c>
      <c r="AR29" s="2" t="e">
        <f t="shared" si="23"/>
        <v>#DIV/0!</v>
      </c>
      <c r="AS29" s="2" t="e">
        <f t="shared" si="24"/>
        <v>#DIV/0!</v>
      </c>
    </row>
    <row r="30" spans="1:45" ht="20.100000000000001" hidden="1" customHeight="1">
      <c r="A30" s="12">
        <v>0</v>
      </c>
      <c r="B30" s="13">
        <f>'INTERNAL TEST-1  '!B30</f>
        <v>0</v>
      </c>
      <c r="C30" s="64">
        <f>'INTERNAL TEST-1  '!C30</f>
        <v>0</v>
      </c>
      <c r="D30" s="12"/>
      <c r="E30" s="12"/>
      <c r="F30" s="12"/>
      <c r="G30" s="12"/>
      <c r="H30" s="12"/>
      <c r="I30" s="12"/>
      <c r="J30" s="12"/>
      <c r="K30" s="12"/>
      <c r="L30" s="12"/>
      <c r="M30" s="12"/>
      <c r="N30" s="12"/>
      <c r="O30" s="12"/>
      <c r="P30" s="12"/>
      <c r="Q30" s="12"/>
      <c r="R30" s="12"/>
      <c r="S30" s="12"/>
      <c r="T30" s="12"/>
      <c r="U30" s="13">
        <f t="shared" si="0"/>
        <v>0</v>
      </c>
      <c r="V30" s="13">
        <f t="shared" si="1"/>
        <v>0</v>
      </c>
      <c r="W30" s="13">
        <f t="shared" si="2"/>
        <v>0</v>
      </c>
      <c r="X30" s="13">
        <f t="shared" si="3"/>
        <v>0</v>
      </c>
      <c r="Y30" s="13">
        <f t="shared" si="4"/>
        <v>0</v>
      </c>
      <c r="Z30" s="13">
        <f t="shared" si="5"/>
        <v>0</v>
      </c>
      <c r="AA30" s="13">
        <f t="shared" si="6"/>
        <v>0</v>
      </c>
      <c r="AB30" s="13">
        <f t="shared" si="7"/>
        <v>0</v>
      </c>
      <c r="AC30" s="13">
        <f t="shared" si="8"/>
        <v>0</v>
      </c>
      <c r="AD30" s="13">
        <f t="shared" si="9"/>
        <v>0</v>
      </c>
      <c r="AE30" s="13">
        <f t="shared" si="10"/>
        <v>0</v>
      </c>
      <c r="AF30" s="13">
        <f t="shared" si="11"/>
        <v>0</v>
      </c>
      <c r="AG30" s="13">
        <f t="shared" si="12"/>
        <v>0</v>
      </c>
      <c r="AH30" s="13" t="e">
        <f t="shared" si="13"/>
        <v>#DIV/0!</v>
      </c>
      <c r="AI30" s="13" t="e">
        <f t="shared" si="14"/>
        <v>#DIV/0!</v>
      </c>
      <c r="AJ30" s="13" t="e">
        <f t="shared" si="15"/>
        <v>#DIV/0!</v>
      </c>
      <c r="AK30" s="13" t="e">
        <f t="shared" si="16"/>
        <v>#DIV/0!</v>
      </c>
      <c r="AL30" s="13" t="e">
        <f t="shared" si="17"/>
        <v>#DIV/0!</v>
      </c>
      <c r="AM30" s="13" t="e">
        <f t="shared" si="18"/>
        <v>#DIV/0!</v>
      </c>
      <c r="AN30" s="13" t="e">
        <f t="shared" si="19"/>
        <v>#DIV/0!</v>
      </c>
      <c r="AO30" s="2" t="e">
        <f t="shared" si="20"/>
        <v>#DIV/0!</v>
      </c>
      <c r="AP30" s="2" t="e">
        <f t="shared" si="21"/>
        <v>#DIV/0!</v>
      </c>
      <c r="AQ30" s="2" t="e">
        <f t="shared" si="22"/>
        <v>#DIV/0!</v>
      </c>
      <c r="AR30" s="2" t="e">
        <f t="shared" si="23"/>
        <v>#DIV/0!</v>
      </c>
      <c r="AS30" s="2" t="e">
        <f t="shared" si="24"/>
        <v>#DIV/0!</v>
      </c>
    </row>
    <row r="31" spans="1:45" ht="20.100000000000001" hidden="1" customHeight="1">
      <c r="A31" s="12">
        <v>0</v>
      </c>
      <c r="B31" s="13">
        <f>'INTERNAL TEST-1  '!B31</f>
        <v>0</v>
      </c>
      <c r="C31" s="64">
        <f>'INTERNAL TEST-1  '!C31</f>
        <v>0</v>
      </c>
      <c r="D31" s="12"/>
      <c r="E31" s="12"/>
      <c r="F31" s="12"/>
      <c r="G31" s="12"/>
      <c r="H31" s="12"/>
      <c r="I31" s="12"/>
      <c r="J31" s="12"/>
      <c r="K31" s="12"/>
      <c r="L31" s="12"/>
      <c r="M31" s="12"/>
      <c r="N31" s="12"/>
      <c r="O31" s="12"/>
      <c r="P31" s="12"/>
      <c r="Q31" s="12"/>
      <c r="R31" s="12"/>
      <c r="S31" s="12"/>
      <c r="T31" s="12"/>
      <c r="U31" s="13">
        <f t="shared" si="0"/>
        <v>0</v>
      </c>
      <c r="V31" s="13">
        <f t="shared" si="1"/>
        <v>0</v>
      </c>
      <c r="W31" s="13">
        <f t="shared" si="2"/>
        <v>0</v>
      </c>
      <c r="X31" s="13">
        <f t="shared" si="3"/>
        <v>0</v>
      </c>
      <c r="Y31" s="13">
        <f t="shared" si="4"/>
        <v>0</v>
      </c>
      <c r="Z31" s="13">
        <f t="shared" si="5"/>
        <v>0</v>
      </c>
      <c r="AA31" s="13">
        <f t="shared" si="6"/>
        <v>0</v>
      </c>
      <c r="AB31" s="13">
        <f t="shared" si="7"/>
        <v>0</v>
      </c>
      <c r="AC31" s="13">
        <f t="shared" si="8"/>
        <v>0</v>
      </c>
      <c r="AD31" s="13">
        <f t="shared" si="9"/>
        <v>0</v>
      </c>
      <c r="AE31" s="13">
        <f t="shared" si="10"/>
        <v>0</v>
      </c>
      <c r="AF31" s="13">
        <f t="shared" si="11"/>
        <v>0</v>
      </c>
      <c r="AG31" s="13">
        <f t="shared" si="12"/>
        <v>0</v>
      </c>
      <c r="AH31" s="13" t="e">
        <f t="shared" si="13"/>
        <v>#DIV/0!</v>
      </c>
      <c r="AI31" s="13" t="e">
        <f t="shared" si="14"/>
        <v>#DIV/0!</v>
      </c>
      <c r="AJ31" s="13" t="e">
        <f t="shared" si="15"/>
        <v>#DIV/0!</v>
      </c>
      <c r="AK31" s="13" t="e">
        <f t="shared" si="16"/>
        <v>#DIV/0!</v>
      </c>
      <c r="AL31" s="13" t="e">
        <f t="shared" si="17"/>
        <v>#DIV/0!</v>
      </c>
      <c r="AM31" s="13" t="e">
        <f t="shared" si="18"/>
        <v>#DIV/0!</v>
      </c>
      <c r="AN31" s="13" t="e">
        <f t="shared" si="19"/>
        <v>#DIV/0!</v>
      </c>
      <c r="AO31" s="2" t="e">
        <f t="shared" si="20"/>
        <v>#DIV/0!</v>
      </c>
      <c r="AP31" s="2" t="e">
        <f t="shared" si="21"/>
        <v>#DIV/0!</v>
      </c>
      <c r="AQ31" s="2" t="e">
        <f t="shared" si="22"/>
        <v>#DIV/0!</v>
      </c>
      <c r="AR31" s="2" t="e">
        <f t="shared" si="23"/>
        <v>#DIV/0!</v>
      </c>
      <c r="AS31" s="2" t="e">
        <f t="shared" si="24"/>
        <v>#DIV/0!</v>
      </c>
    </row>
    <row r="32" spans="1:45" ht="20.100000000000001" hidden="1" customHeight="1">
      <c r="A32" s="12">
        <v>0</v>
      </c>
      <c r="B32" s="13">
        <f>'INTERNAL TEST-1  '!B32</f>
        <v>0</v>
      </c>
      <c r="C32" s="64">
        <f>'INTERNAL TEST-1  '!C32</f>
        <v>0</v>
      </c>
      <c r="D32" s="12"/>
      <c r="E32" s="12"/>
      <c r="F32" s="12"/>
      <c r="G32" s="12"/>
      <c r="H32" s="12"/>
      <c r="I32" s="12"/>
      <c r="J32" s="12"/>
      <c r="K32" s="12"/>
      <c r="L32" s="12"/>
      <c r="M32" s="12"/>
      <c r="N32" s="12"/>
      <c r="O32" s="12"/>
      <c r="P32" s="12"/>
      <c r="Q32" s="12"/>
      <c r="R32" s="12"/>
      <c r="S32" s="12"/>
      <c r="T32" s="12"/>
      <c r="U32" s="13">
        <f t="shared" si="0"/>
        <v>0</v>
      </c>
      <c r="V32" s="13">
        <f t="shared" si="1"/>
        <v>0</v>
      </c>
      <c r="W32" s="13">
        <f t="shared" si="2"/>
        <v>0</v>
      </c>
      <c r="X32" s="13">
        <f t="shared" si="3"/>
        <v>0</v>
      </c>
      <c r="Y32" s="13">
        <f t="shared" si="4"/>
        <v>0</v>
      </c>
      <c r="Z32" s="13">
        <f t="shared" si="5"/>
        <v>0</v>
      </c>
      <c r="AA32" s="13">
        <f t="shared" si="6"/>
        <v>0</v>
      </c>
      <c r="AB32" s="13">
        <f t="shared" si="7"/>
        <v>0</v>
      </c>
      <c r="AC32" s="13">
        <f t="shared" si="8"/>
        <v>0</v>
      </c>
      <c r="AD32" s="13">
        <f t="shared" si="9"/>
        <v>0</v>
      </c>
      <c r="AE32" s="13">
        <f t="shared" si="10"/>
        <v>0</v>
      </c>
      <c r="AF32" s="13">
        <f t="shared" si="11"/>
        <v>0</v>
      </c>
      <c r="AG32" s="13">
        <f t="shared" si="12"/>
        <v>0</v>
      </c>
      <c r="AH32" s="13" t="e">
        <f t="shared" si="13"/>
        <v>#DIV/0!</v>
      </c>
      <c r="AI32" s="13" t="e">
        <f t="shared" si="14"/>
        <v>#DIV/0!</v>
      </c>
      <c r="AJ32" s="13" t="e">
        <f t="shared" si="15"/>
        <v>#DIV/0!</v>
      </c>
      <c r="AK32" s="13" t="e">
        <f t="shared" si="16"/>
        <v>#DIV/0!</v>
      </c>
      <c r="AL32" s="13" t="e">
        <f t="shared" si="17"/>
        <v>#DIV/0!</v>
      </c>
      <c r="AM32" s="13" t="e">
        <f t="shared" si="18"/>
        <v>#DIV/0!</v>
      </c>
      <c r="AN32" s="13" t="e">
        <f t="shared" si="19"/>
        <v>#DIV/0!</v>
      </c>
      <c r="AO32" s="2" t="e">
        <f t="shared" si="20"/>
        <v>#DIV/0!</v>
      </c>
      <c r="AP32" s="2" t="e">
        <f t="shared" si="21"/>
        <v>#DIV/0!</v>
      </c>
      <c r="AQ32" s="2" t="e">
        <f t="shared" si="22"/>
        <v>#DIV/0!</v>
      </c>
      <c r="AR32" s="2" t="e">
        <f t="shared" si="23"/>
        <v>#DIV/0!</v>
      </c>
      <c r="AS32" s="2" t="e">
        <f t="shared" si="24"/>
        <v>#DIV/0!</v>
      </c>
    </row>
    <row r="33" spans="1:45" ht="20.100000000000001" hidden="1" customHeight="1">
      <c r="A33" s="12">
        <v>0</v>
      </c>
      <c r="B33" s="13">
        <f>'INTERNAL TEST-1  '!B33</f>
        <v>0</v>
      </c>
      <c r="C33" s="64">
        <f>'INTERNAL TEST-1  '!C33</f>
        <v>0</v>
      </c>
      <c r="D33" s="12"/>
      <c r="E33" s="12"/>
      <c r="F33" s="12"/>
      <c r="G33" s="12"/>
      <c r="H33" s="12"/>
      <c r="I33" s="12"/>
      <c r="J33" s="12"/>
      <c r="K33" s="12"/>
      <c r="L33" s="12"/>
      <c r="M33" s="12"/>
      <c r="N33" s="12"/>
      <c r="O33" s="12"/>
      <c r="P33" s="12"/>
      <c r="Q33" s="12"/>
      <c r="R33" s="12"/>
      <c r="S33" s="12"/>
      <c r="T33" s="12"/>
      <c r="U33" s="13">
        <f t="shared" si="0"/>
        <v>0</v>
      </c>
      <c r="V33" s="13">
        <f t="shared" si="1"/>
        <v>0</v>
      </c>
      <c r="W33" s="13">
        <f t="shared" si="2"/>
        <v>0</v>
      </c>
      <c r="X33" s="13">
        <f t="shared" si="3"/>
        <v>0</v>
      </c>
      <c r="Y33" s="13">
        <f t="shared" si="4"/>
        <v>0</v>
      </c>
      <c r="Z33" s="13">
        <f t="shared" si="5"/>
        <v>0</v>
      </c>
      <c r="AA33" s="13">
        <f t="shared" si="6"/>
        <v>0</v>
      </c>
      <c r="AB33" s="13">
        <f t="shared" si="7"/>
        <v>0</v>
      </c>
      <c r="AC33" s="13">
        <f t="shared" si="8"/>
        <v>0</v>
      </c>
      <c r="AD33" s="13">
        <f t="shared" si="9"/>
        <v>0</v>
      </c>
      <c r="AE33" s="13">
        <f t="shared" si="10"/>
        <v>0</v>
      </c>
      <c r="AF33" s="13">
        <f t="shared" si="11"/>
        <v>0</v>
      </c>
      <c r="AG33" s="13">
        <f t="shared" si="12"/>
        <v>0</v>
      </c>
      <c r="AH33" s="13" t="e">
        <f t="shared" si="13"/>
        <v>#DIV/0!</v>
      </c>
      <c r="AI33" s="13" t="e">
        <f t="shared" si="14"/>
        <v>#DIV/0!</v>
      </c>
      <c r="AJ33" s="13" t="e">
        <f t="shared" si="15"/>
        <v>#DIV/0!</v>
      </c>
      <c r="AK33" s="13" t="e">
        <f t="shared" si="16"/>
        <v>#DIV/0!</v>
      </c>
      <c r="AL33" s="13" t="e">
        <f t="shared" si="17"/>
        <v>#DIV/0!</v>
      </c>
      <c r="AM33" s="13" t="e">
        <f t="shared" si="18"/>
        <v>#DIV/0!</v>
      </c>
      <c r="AN33" s="13" t="e">
        <f t="shared" si="19"/>
        <v>#DIV/0!</v>
      </c>
      <c r="AO33" s="2" t="e">
        <f t="shared" si="20"/>
        <v>#DIV/0!</v>
      </c>
      <c r="AP33" s="2" t="e">
        <f t="shared" si="21"/>
        <v>#DIV/0!</v>
      </c>
      <c r="AQ33" s="2" t="e">
        <f t="shared" si="22"/>
        <v>#DIV/0!</v>
      </c>
      <c r="AR33" s="2" t="e">
        <f t="shared" si="23"/>
        <v>#DIV/0!</v>
      </c>
      <c r="AS33" s="2" t="e">
        <f t="shared" si="24"/>
        <v>#DIV/0!</v>
      </c>
    </row>
    <row r="34" spans="1:45" ht="20.100000000000001" hidden="1" customHeight="1">
      <c r="A34" s="12">
        <v>0</v>
      </c>
      <c r="B34" s="13">
        <f>'INTERNAL TEST-1  '!B34</f>
        <v>0</v>
      </c>
      <c r="C34" s="64">
        <f>'INTERNAL TEST-1  '!C34</f>
        <v>0</v>
      </c>
      <c r="D34" s="12"/>
      <c r="E34" s="12"/>
      <c r="F34" s="12"/>
      <c r="G34" s="12"/>
      <c r="H34" s="12"/>
      <c r="I34" s="12"/>
      <c r="J34" s="12"/>
      <c r="K34" s="12"/>
      <c r="L34" s="12"/>
      <c r="M34" s="12"/>
      <c r="N34" s="12"/>
      <c r="O34" s="12"/>
      <c r="P34" s="12"/>
      <c r="Q34" s="12"/>
      <c r="R34" s="12"/>
      <c r="S34" s="12"/>
      <c r="T34" s="12"/>
      <c r="U34" s="13">
        <f t="shared" si="0"/>
        <v>0</v>
      </c>
      <c r="V34" s="13">
        <f t="shared" si="1"/>
        <v>0</v>
      </c>
      <c r="W34" s="13">
        <f t="shared" si="2"/>
        <v>0</v>
      </c>
      <c r="X34" s="13">
        <f t="shared" si="3"/>
        <v>0</v>
      </c>
      <c r="Y34" s="13">
        <f t="shared" si="4"/>
        <v>0</v>
      </c>
      <c r="Z34" s="13">
        <f t="shared" si="5"/>
        <v>0</v>
      </c>
      <c r="AA34" s="13">
        <f t="shared" si="6"/>
        <v>0</v>
      </c>
      <c r="AB34" s="13">
        <f t="shared" si="7"/>
        <v>0</v>
      </c>
      <c r="AC34" s="13">
        <f t="shared" si="8"/>
        <v>0</v>
      </c>
      <c r="AD34" s="13">
        <f t="shared" si="9"/>
        <v>0</v>
      </c>
      <c r="AE34" s="13">
        <f t="shared" si="10"/>
        <v>0</v>
      </c>
      <c r="AF34" s="13">
        <f t="shared" si="11"/>
        <v>0</v>
      </c>
      <c r="AG34" s="13">
        <f t="shared" si="12"/>
        <v>0</v>
      </c>
      <c r="AH34" s="13" t="e">
        <f t="shared" si="13"/>
        <v>#DIV/0!</v>
      </c>
      <c r="AI34" s="13" t="e">
        <f t="shared" si="14"/>
        <v>#DIV/0!</v>
      </c>
      <c r="AJ34" s="13" t="e">
        <f t="shared" si="15"/>
        <v>#DIV/0!</v>
      </c>
      <c r="AK34" s="13" t="e">
        <f t="shared" si="16"/>
        <v>#DIV/0!</v>
      </c>
      <c r="AL34" s="13" t="e">
        <f t="shared" si="17"/>
        <v>#DIV/0!</v>
      </c>
      <c r="AM34" s="13" t="e">
        <f t="shared" si="18"/>
        <v>#DIV/0!</v>
      </c>
      <c r="AN34" s="13" t="e">
        <f t="shared" si="19"/>
        <v>#DIV/0!</v>
      </c>
      <c r="AO34" s="2" t="e">
        <f t="shared" si="20"/>
        <v>#DIV/0!</v>
      </c>
      <c r="AP34" s="2" t="e">
        <f t="shared" si="21"/>
        <v>#DIV/0!</v>
      </c>
      <c r="AQ34" s="2" t="e">
        <f t="shared" si="22"/>
        <v>#DIV/0!</v>
      </c>
      <c r="AR34" s="2" t="e">
        <f t="shared" si="23"/>
        <v>#DIV/0!</v>
      </c>
      <c r="AS34" s="2" t="e">
        <f t="shared" si="24"/>
        <v>#DIV/0!</v>
      </c>
    </row>
    <row r="35" spans="1:45" ht="20.100000000000001" hidden="1" customHeight="1">
      <c r="A35" s="12">
        <v>0</v>
      </c>
      <c r="B35" s="13">
        <f>'INTERNAL TEST-1  '!B35</f>
        <v>0</v>
      </c>
      <c r="C35" s="64">
        <f>'INTERNAL TEST-1  '!C35</f>
        <v>0</v>
      </c>
      <c r="D35" s="12"/>
      <c r="E35" s="12"/>
      <c r="F35" s="12"/>
      <c r="G35" s="12"/>
      <c r="H35" s="12"/>
      <c r="I35" s="12"/>
      <c r="J35" s="12"/>
      <c r="K35" s="12"/>
      <c r="L35" s="12"/>
      <c r="M35" s="12"/>
      <c r="N35" s="12"/>
      <c r="O35" s="12"/>
      <c r="P35" s="12"/>
      <c r="Q35" s="12"/>
      <c r="R35" s="12"/>
      <c r="S35" s="12"/>
      <c r="T35" s="12"/>
      <c r="U35" s="13">
        <f t="shared" si="0"/>
        <v>0</v>
      </c>
      <c r="V35" s="13">
        <f t="shared" si="1"/>
        <v>0</v>
      </c>
      <c r="W35" s="13">
        <f t="shared" si="2"/>
        <v>0</v>
      </c>
      <c r="X35" s="13">
        <f t="shared" si="3"/>
        <v>0</v>
      </c>
      <c r="Y35" s="13">
        <f t="shared" si="4"/>
        <v>0</v>
      </c>
      <c r="Z35" s="13">
        <f t="shared" si="5"/>
        <v>0</v>
      </c>
      <c r="AA35" s="13">
        <f t="shared" si="6"/>
        <v>0</v>
      </c>
      <c r="AB35" s="13">
        <f t="shared" si="7"/>
        <v>0</v>
      </c>
      <c r="AC35" s="13">
        <f t="shared" si="8"/>
        <v>0</v>
      </c>
      <c r="AD35" s="13">
        <f t="shared" si="9"/>
        <v>0</v>
      </c>
      <c r="AE35" s="13">
        <f t="shared" si="10"/>
        <v>0</v>
      </c>
      <c r="AF35" s="13">
        <f t="shared" si="11"/>
        <v>0</v>
      </c>
      <c r="AG35" s="13">
        <f t="shared" si="12"/>
        <v>0</v>
      </c>
      <c r="AH35" s="13" t="e">
        <f t="shared" si="13"/>
        <v>#DIV/0!</v>
      </c>
      <c r="AI35" s="13" t="e">
        <f t="shared" si="14"/>
        <v>#DIV/0!</v>
      </c>
      <c r="AJ35" s="13" t="e">
        <f t="shared" si="15"/>
        <v>#DIV/0!</v>
      </c>
      <c r="AK35" s="13" t="e">
        <f t="shared" si="16"/>
        <v>#DIV/0!</v>
      </c>
      <c r="AL35" s="13" t="e">
        <f t="shared" si="17"/>
        <v>#DIV/0!</v>
      </c>
      <c r="AM35" s="13" t="e">
        <f t="shared" si="18"/>
        <v>#DIV/0!</v>
      </c>
      <c r="AN35" s="13" t="e">
        <f t="shared" si="19"/>
        <v>#DIV/0!</v>
      </c>
      <c r="AO35" s="2" t="e">
        <f t="shared" si="20"/>
        <v>#DIV/0!</v>
      </c>
      <c r="AP35" s="2" t="e">
        <f t="shared" si="21"/>
        <v>#DIV/0!</v>
      </c>
      <c r="AQ35" s="2" t="e">
        <f t="shared" si="22"/>
        <v>#DIV/0!</v>
      </c>
      <c r="AR35" s="2" t="e">
        <f t="shared" si="23"/>
        <v>#DIV/0!</v>
      </c>
      <c r="AS35" s="2" t="e">
        <f t="shared" si="24"/>
        <v>#DIV/0!</v>
      </c>
    </row>
    <row r="36" spans="1:45" ht="20.100000000000001" hidden="1" customHeight="1">
      <c r="A36" s="12">
        <v>0</v>
      </c>
      <c r="B36" s="13">
        <f>'INTERNAL TEST-1  '!B36</f>
        <v>0</v>
      </c>
      <c r="C36" s="64">
        <f>'INTERNAL TEST-1  '!C36</f>
        <v>0</v>
      </c>
      <c r="D36" s="12"/>
      <c r="E36" s="12"/>
      <c r="F36" s="12"/>
      <c r="G36" s="12"/>
      <c r="H36" s="12"/>
      <c r="I36" s="12"/>
      <c r="J36" s="12"/>
      <c r="K36" s="12"/>
      <c r="L36" s="12"/>
      <c r="M36" s="12"/>
      <c r="N36" s="12"/>
      <c r="O36" s="12"/>
      <c r="P36" s="12"/>
      <c r="Q36" s="12"/>
      <c r="R36" s="12"/>
      <c r="S36" s="12"/>
      <c r="T36" s="12"/>
      <c r="U36" s="13">
        <f t="shared" si="0"/>
        <v>0</v>
      </c>
      <c r="V36" s="13">
        <f t="shared" si="1"/>
        <v>0</v>
      </c>
      <c r="W36" s="13">
        <f t="shared" si="2"/>
        <v>0</v>
      </c>
      <c r="X36" s="13">
        <f t="shared" si="3"/>
        <v>0</v>
      </c>
      <c r="Y36" s="13">
        <f t="shared" si="4"/>
        <v>0</v>
      </c>
      <c r="Z36" s="13">
        <f t="shared" si="5"/>
        <v>0</v>
      </c>
      <c r="AA36" s="13">
        <f t="shared" si="6"/>
        <v>0</v>
      </c>
      <c r="AB36" s="13">
        <f t="shared" si="7"/>
        <v>0</v>
      </c>
      <c r="AC36" s="13">
        <f t="shared" si="8"/>
        <v>0</v>
      </c>
      <c r="AD36" s="13">
        <f t="shared" si="9"/>
        <v>0</v>
      </c>
      <c r="AE36" s="13">
        <f t="shared" si="10"/>
        <v>0</v>
      </c>
      <c r="AF36" s="13">
        <f t="shared" si="11"/>
        <v>0</v>
      </c>
      <c r="AG36" s="13">
        <f t="shared" si="12"/>
        <v>0</v>
      </c>
      <c r="AH36" s="13" t="e">
        <f t="shared" si="13"/>
        <v>#DIV/0!</v>
      </c>
      <c r="AI36" s="13" t="e">
        <f t="shared" si="14"/>
        <v>#DIV/0!</v>
      </c>
      <c r="AJ36" s="13" t="e">
        <f t="shared" si="15"/>
        <v>#DIV/0!</v>
      </c>
      <c r="AK36" s="13" t="e">
        <f t="shared" si="16"/>
        <v>#DIV/0!</v>
      </c>
      <c r="AL36" s="13" t="e">
        <f t="shared" si="17"/>
        <v>#DIV/0!</v>
      </c>
      <c r="AM36" s="13" t="e">
        <f t="shared" si="18"/>
        <v>#DIV/0!</v>
      </c>
      <c r="AN36" s="13" t="e">
        <f t="shared" si="19"/>
        <v>#DIV/0!</v>
      </c>
      <c r="AO36" s="2" t="e">
        <f t="shared" si="20"/>
        <v>#DIV/0!</v>
      </c>
      <c r="AP36" s="2" t="e">
        <f t="shared" si="21"/>
        <v>#DIV/0!</v>
      </c>
      <c r="AQ36" s="2" t="e">
        <f t="shared" si="22"/>
        <v>#DIV/0!</v>
      </c>
      <c r="AR36" s="2" t="e">
        <f t="shared" si="23"/>
        <v>#DIV/0!</v>
      </c>
      <c r="AS36" s="2" t="e">
        <f t="shared" si="24"/>
        <v>#DIV/0!</v>
      </c>
    </row>
    <row r="37" spans="1:45" ht="20.100000000000001" hidden="1" customHeight="1">
      <c r="A37" s="12">
        <v>0</v>
      </c>
      <c r="B37" s="13">
        <f>'INTERNAL TEST-1  '!B37</f>
        <v>0</v>
      </c>
      <c r="C37" s="64">
        <f>'INTERNAL TEST-1  '!C37</f>
        <v>0</v>
      </c>
      <c r="D37" s="12"/>
      <c r="E37" s="12"/>
      <c r="F37" s="12"/>
      <c r="G37" s="12"/>
      <c r="H37" s="12"/>
      <c r="I37" s="12"/>
      <c r="J37" s="12"/>
      <c r="K37" s="12"/>
      <c r="L37" s="12"/>
      <c r="M37" s="12"/>
      <c r="N37" s="12"/>
      <c r="O37" s="12"/>
      <c r="P37" s="12"/>
      <c r="Q37" s="12"/>
      <c r="R37" s="12"/>
      <c r="S37" s="12"/>
      <c r="T37" s="12"/>
      <c r="U37" s="13">
        <f t="shared" si="0"/>
        <v>0</v>
      </c>
      <c r="V37" s="13">
        <f t="shared" si="1"/>
        <v>0</v>
      </c>
      <c r="W37" s="13">
        <f t="shared" si="2"/>
        <v>0</v>
      </c>
      <c r="X37" s="13">
        <f t="shared" si="3"/>
        <v>0</v>
      </c>
      <c r="Y37" s="13">
        <f t="shared" si="4"/>
        <v>0</v>
      </c>
      <c r="Z37" s="13">
        <f t="shared" si="5"/>
        <v>0</v>
      </c>
      <c r="AA37" s="13">
        <f t="shared" si="6"/>
        <v>0</v>
      </c>
      <c r="AB37" s="13">
        <f t="shared" si="7"/>
        <v>0</v>
      </c>
      <c r="AC37" s="13">
        <f t="shared" si="8"/>
        <v>0</v>
      </c>
      <c r="AD37" s="13">
        <f t="shared" si="9"/>
        <v>0</v>
      </c>
      <c r="AE37" s="13">
        <f t="shared" si="10"/>
        <v>0</v>
      </c>
      <c r="AF37" s="13">
        <f t="shared" si="11"/>
        <v>0</v>
      </c>
      <c r="AG37" s="13">
        <f t="shared" si="12"/>
        <v>0</v>
      </c>
      <c r="AH37" s="13" t="e">
        <f t="shared" si="13"/>
        <v>#DIV/0!</v>
      </c>
      <c r="AI37" s="13" t="e">
        <f t="shared" si="14"/>
        <v>#DIV/0!</v>
      </c>
      <c r="AJ37" s="13" t="e">
        <f t="shared" si="15"/>
        <v>#DIV/0!</v>
      </c>
      <c r="AK37" s="13" t="e">
        <f t="shared" si="16"/>
        <v>#DIV/0!</v>
      </c>
      <c r="AL37" s="13" t="e">
        <f t="shared" si="17"/>
        <v>#DIV/0!</v>
      </c>
      <c r="AM37" s="13" t="e">
        <f t="shared" si="18"/>
        <v>#DIV/0!</v>
      </c>
      <c r="AN37" s="13" t="e">
        <f t="shared" si="19"/>
        <v>#DIV/0!</v>
      </c>
      <c r="AO37" s="2" t="e">
        <f t="shared" si="20"/>
        <v>#DIV/0!</v>
      </c>
      <c r="AP37" s="2" t="e">
        <f t="shared" si="21"/>
        <v>#DIV/0!</v>
      </c>
      <c r="AQ37" s="2" t="e">
        <f t="shared" si="22"/>
        <v>#DIV/0!</v>
      </c>
      <c r="AR37" s="2" t="e">
        <f t="shared" si="23"/>
        <v>#DIV/0!</v>
      </c>
      <c r="AS37" s="2" t="e">
        <f t="shared" si="24"/>
        <v>#DIV/0!</v>
      </c>
    </row>
    <row r="38" spans="1:45" ht="20.100000000000001" hidden="1" customHeight="1">
      <c r="A38" s="12">
        <v>0</v>
      </c>
      <c r="B38" s="13">
        <f>'INTERNAL TEST-1  '!B38</f>
        <v>0</v>
      </c>
      <c r="C38" s="64">
        <f>'INTERNAL TEST-1  '!C38</f>
        <v>0</v>
      </c>
      <c r="D38" s="12"/>
      <c r="E38" s="12"/>
      <c r="F38" s="12"/>
      <c r="G38" s="12"/>
      <c r="H38" s="12"/>
      <c r="I38" s="12"/>
      <c r="J38" s="12"/>
      <c r="K38" s="12"/>
      <c r="L38" s="12"/>
      <c r="M38" s="12"/>
      <c r="N38" s="12"/>
      <c r="O38" s="12"/>
      <c r="P38" s="12"/>
      <c r="Q38" s="12"/>
      <c r="R38" s="12"/>
      <c r="S38" s="12"/>
      <c r="T38" s="12"/>
      <c r="U38" s="13">
        <f t="shared" si="0"/>
        <v>0</v>
      </c>
      <c r="V38" s="13">
        <f t="shared" si="1"/>
        <v>0</v>
      </c>
      <c r="W38" s="13">
        <f t="shared" si="2"/>
        <v>0</v>
      </c>
      <c r="X38" s="13">
        <f t="shared" si="3"/>
        <v>0</v>
      </c>
      <c r="Y38" s="13">
        <f t="shared" si="4"/>
        <v>0</v>
      </c>
      <c r="Z38" s="13">
        <f t="shared" si="5"/>
        <v>0</v>
      </c>
      <c r="AA38" s="13">
        <f t="shared" si="6"/>
        <v>0</v>
      </c>
      <c r="AB38" s="13">
        <f t="shared" si="7"/>
        <v>0</v>
      </c>
      <c r="AC38" s="13">
        <f t="shared" si="8"/>
        <v>0</v>
      </c>
      <c r="AD38" s="13">
        <f t="shared" si="9"/>
        <v>0</v>
      </c>
      <c r="AE38" s="13">
        <f t="shared" si="10"/>
        <v>0</v>
      </c>
      <c r="AF38" s="13">
        <f t="shared" si="11"/>
        <v>0</v>
      </c>
      <c r="AG38" s="13">
        <f t="shared" si="12"/>
        <v>0</v>
      </c>
      <c r="AH38" s="13" t="e">
        <f t="shared" si="13"/>
        <v>#DIV/0!</v>
      </c>
      <c r="AI38" s="13" t="e">
        <f t="shared" si="14"/>
        <v>#DIV/0!</v>
      </c>
      <c r="AJ38" s="13" t="e">
        <f t="shared" si="15"/>
        <v>#DIV/0!</v>
      </c>
      <c r="AK38" s="13" t="e">
        <f t="shared" si="16"/>
        <v>#DIV/0!</v>
      </c>
      <c r="AL38" s="13" t="e">
        <f t="shared" si="17"/>
        <v>#DIV/0!</v>
      </c>
      <c r="AM38" s="13" t="e">
        <f t="shared" si="18"/>
        <v>#DIV/0!</v>
      </c>
      <c r="AN38" s="13" t="e">
        <f t="shared" si="19"/>
        <v>#DIV/0!</v>
      </c>
      <c r="AO38" s="2" t="e">
        <f t="shared" si="20"/>
        <v>#DIV/0!</v>
      </c>
      <c r="AP38" s="2" t="e">
        <f t="shared" si="21"/>
        <v>#DIV/0!</v>
      </c>
      <c r="AQ38" s="2" t="e">
        <f t="shared" si="22"/>
        <v>#DIV/0!</v>
      </c>
      <c r="AR38" s="2" t="e">
        <f t="shared" si="23"/>
        <v>#DIV/0!</v>
      </c>
      <c r="AS38" s="2" t="e">
        <f t="shared" si="24"/>
        <v>#DIV/0!</v>
      </c>
    </row>
    <row r="39" spans="1:45" ht="20.100000000000001" hidden="1" customHeight="1">
      <c r="A39" s="12">
        <v>0</v>
      </c>
      <c r="B39" s="13">
        <f>'INTERNAL TEST-1  '!B39</f>
        <v>0</v>
      </c>
      <c r="C39" s="64">
        <f>'INTERNAL TEST-1  '!C39</f>
        <v>0</v>
      </c>
      <c r="D39" s="12"/>
      <c r="E39" s="12"/>
      <c r="F39" s="12"/>
      <c r="G39" s="12"/>
      <c r="H39" s="12"/>
      <c r="I39" s="12"/>
      <c r="J39" s="12"/>
      <c r="K39" s="12"/>
      <c r="L39" s="12"/>
      <c r="M39" s="12"/>
      <c r="N39" s="12"/>
      <c r="O39" s="12"/>
      <c r="P39" s="12"/>
      <c r="Q39" s="12"/>
      <c r="R39" s="12"/>
      <c r="S39" s="12"/>
      <c r="T39" s="12"/>
      <c r="U39" s="13">
        <f t="shared" si="0"/>
        <v>0</v>
      </c>
      <c r="V39" s="13">
        <f t="shared" si="1"/>
        <v>0</v>
      </c>
      <c r="W39" s="13">
        <f t="shared" si="2"/>
        <v>0</v>
      </c>
      <c r="X39" s="13">
        <f t="shared" si="3"/>
        <v>0</v>
      </c>
      <c r="Y39" s="13">
        <f t="shared" si="4"/>
        <v>0</v>
      </c>
      <c r="Z39" s="13">
        <f t="shared" si="5"/>
        <v>0</v>
      </c>
      <c r="AA39" s="13">
        <f t="shared" si="6"/>
        <v>0</v>
      </c>
      <c r="AB39" s="13">
        <f t="shared" si="7"/>
        <v>0</v>
      </c>
      <c r="AC39" s="13">
        <f t="shared" si="8"/>
        <v>0</v>
      </c>
      <c r="AD39" s="13">
        <f t="shared" si="9"/>
        <v>0</v>
      </c>
      <c r="AE39" s="13">
        <f t="shared" si="10"/>
        <v>0</v>
      </c>
      <c r="AF39" s="13">
        <f t="shared" si="11"/>
        <v>0</v>
      </c>
      <c r="AG39" s="13">
        <f t="shared" si="12"/>
        <v>0</v>
      </c>
      <c r="AH39" s="13" t="e">
        <f t="shared" si="13"/>
        <v>#DIV/0!</v>
      </c>
      <c r="AI39" s="13" t="e">
        <f t="shared" si="14"/>
        <v>#DIV/0!</v>
      </c>
      <c r="AJ39" s="13" t="e">
        <f t="shared" si="15"/>
        <v>#DIV/0!</v>
      </c>
      <c r="AK39" s="13" t="e">
        <f t="shared" si="16"/>
        <v>#DIV/0!</v>
      </c>
      <c r="AL39" s="13" t="e">
        <f t="shared" si="17"/>
        <v>#DIV/0!</v>
      </c>
      <c r="AM39" s="13" t="e">
        <f t="shared" si="18"/>
        <v>#DIV/0!</v>
      </c>
      <c r="AN39" s="13" t="e">
        <f t="shared" si="19"/>
        <v>#DIV/0!</v>
      </c>
      <c r="AO39" s="2" t="e">
        <f t="shared" si="20"/>
        <v>#DIV/0!</v>
      </c>
      <c r="AP39" s="2" t="e">
        <f t="shared" si="21"/>
        <v>#DIV/0!</v>
      </c>
      <c r="AQ39" s="2" t="e">
        <f t="shared" si="22"/>
        <v>#DIV/0!</v>
      </c>
      <c r="AR39" s="2" t="e">
        <f t="shared" si="23"/>
        <v>#DIV/0!</v>
      </c>
      <c r="AS39" s="2" t="e">
        <f t="shared" si="24"/>
        <v>#DIV/0!</v>
      </c>
    </row>
    <row r="40" spans="1:45" ht="20.100000000000001" hidden="1" customHeight="1">
      <c r="A40" s="12">
        <v>0</v>
      </c>
      <c r="B40" s="13">
        <f>'INTERNAL TEST-1  '!B40</f>
        <v>0</v>
      </c>
      <c r="C40" s="64">
        <f>'INTERNAL TEST-1  '!C40</f>
        <v>0</v>
      </c>
      <c r="D40" s="12"/>
      <c r="E40" s="12"/>
      <c r="F40" s="12"/>
      <c r="G40" s="12"/>
      <c r="H40" s="12"/>
      <c r="I40" s="12"/>
      <c r="J40" s="12"/>
      <c r="K40" s="12"/>
      <c r="L40" s="12"/>
      <c r="M40" s="12"/>
      <c r="N40" s="12"/>
      <c r="O40" s="12"/>
      <c r="P40" s="12"/>
      <c r="Q40" s="12"/>
      <c r="R40" s="12"/>
      <c r="S40" s="12"/>
      <c r="T40" s="12"/>
      <c r="U40" s="13">
        <f t="shared" si="0"/>
        <v>0</v>
      </c>
      <c r="V40" s="13">
        <f t="shared" si="1"/>
        <v>0</v>
      </c>
      <c r="W40" s="13">
        <f t="shared" si="2"/>
        <v>0</v>
      </c>
      <c r="X40" s="13">
        <f t="shared" si="3"/>
        <v>0</v>
      </c>
      <c r="Y40" s="13">
        <f t="shared" si="4"/>
        <v>0</v>
      </c>
      <c r="Z40" s="13">
        <f t="shared" si="5"/>
        <v>0</v>
      </c>
      <c r="AA40" s="13">
        <f t="shared" si="6"/>
        <v>0</v>
      </c>
      <c r="AB40" s="13">
        <f t="shared" si="7"/>
        <v>0</v>
      </c>
      <c r="AC40" s="13">
        <f t="shared" si="8"/>
        <v>0</v>
      </c>
      <c r="AD40" s="13">
        <f t="shared" si="9"/>
        <v>0</v>
      </c>
      <c r="AE40" s="13">
        <f t="shared" si="10"/>
        <v>0</v>
      </c>
      <c r="AF40" s="13">
        <f t="shared" si="11"/>
        <v>0</v>
      </c>
      <c r="AG40" s="13">
        <f t="shared" si="12"/>
        <v>0</v>
      </c>
      <c r="AH40" s="13" t="e">
        <f t="shared" si="13"/>
        <v>#DIV/0!</v>
      </c>
      <c r="AI40" s="13" t="e">
        <f t="shared" si="14"/>
        <v>#DIV/0!</v>
      </c>
      <c r="AJ40" s="13" t="e">
        <f t="shared" si="15"/>
        <v>#DIV/0!</v>
      </c>
      <c r="AK40" s="13" t="e">
        <f t="shared" si="16"/>
        <v>#DIV/0!</v>
      </c>
      <c r="AL40" s="13" t="e">
        <f t="shared" si="17"/>
        <v>#DIV/0!</v>
      </c>
      <c r="AM40" s="13" t="e">
        <f t="shared" si="18"/>
        <v>#DIV/0!</v>
      </c>
      <c r="AN40" s="13" t="e">
        <f t="shared" si="19"/>
        <v>#DIV/0!</v>
      </c>
      <c r="AO40" s="2" t="e">
        <f t="shared" si="20"/>
        <v>#DIV/0!</v>
      </c>
      <c r="AP40" s="2" t="e">
        <f t="shared" si="21"/>
        <v>#DIV/0!</v>
      </c>
      <c r="AQ40" s="2" t="e">
        <f t="shared" si="22"/>
        <v>#DIV/0!</v>
      </c>
      <c r="AR40" s="2" t="e">
        <f t="shared" si="23"/>
        <v>#DIV/0!</v>
      </c>
      <c r="AS40" s="2" t="e">
        <f t="shared" si="24"/>
        <v>#DIV/0!</v>
      </c>
    </row>
    <row r="41" spans="1:45" ht="20.100000000000001" hidden="1" customHeight="1">
      <c r="A41" s="12">
        <v>0</v>
      </c>
      <c r="B41" s="13">
        <f>'INTERNAL TEST-1  '!B41</f>
        <v>0</v>
      </c>
      <c r="C41" s="64">
        <f>'INTERNAL TEST-1  '!C41</f>
        <v>0</v>
      </c>
      <c r="D41" s="12"/>
      <c r="E41" s="12"/>
      <c r="F41" s="12"/>
      <c r="G41" s="12"/>
      <c r="H41" s="12"/>
      <c r="I41" s="12"/>
      <c r="J41" s="12"/>
      <c r="K41" s="12"/>
      <c r="L41" s="12"/>
      <c r="M41" s="12"/>
      <c r="N41" s="12"/>
      <c r="O41" s="12"/>
      <c r="P41" s="12"/>
      <c r="Q41" s="12"/>
      <c r="R41" s="12"/>
      <c r="S41" s="12"/>
      <c r="T41" s="12"/>
      <c r="U41" s="13">
        <f t="shared" si="0"/>
        <v>0</v>
      </c>
      <c r="V41" s="13">
        <f t="shared" si="1"/>
        <v>0</v>
      </c>
      <c r="W41" s="13">
        <f t="shared" si="2"/>
        <v>0</v>
      </c>
      <c r="X41" s="13">
        <f t="shared" si="3"/>
        <v>0</v>
      </c>
      <c r="Y41" s="13">
        <f t="shared" si="4"/>
        <v>0</v>
      </c>
      <c r="Z41" s="13">
        <f t="shared" si="5"/>
        <v>0</v>
      </c>
      <c r="AA41" s="13">
        <f t="shared" si="6"/>
        <v>0</v>
      </c>
      <c r="AB41" s="13">
        <f t="shared" si="7"/>
        <v>0</v>
      </c>
      <c r="AC41" s="13">
        <f t="shared" si="8"/>
        <v>0</v>
      </c>
      <c r="AD41" s="13">
        <f t="shared" si="9"/>
        <v>0</v>
      </c>
      <c r="AE41" s="13">
        <f t="shared" si="10"/>
        <v>0</v>
      </c>
      <c r="AF41" s="13">
        <f t="shared" si="11"/>
        <v>0</v>
      </c>
      <c r="AG41" s="13">
        <f t="shared" si="12"/>
        <v>0</v>
      </c>
      <c r="AH41" s="13" t="e">
        <f t="shared" si="13"/>
        <v>#DIV/0!</v>
      </c>
      <c r="AI41" s="13" t="e">
        <f t="shared" si="14"/>
        <v>#DIV/0!</v>
      </c>
      <c r="AJ41" s="13" t="e">
        <f t="shared" si="15"/>
        <v>#DIV/0!</v>
      </c>
      <c r="AK41" s="13" t="e">
        <f t="shared" si="16"/>
        <v>#DIV/0!</v>
      </c>
      <c r="AL41" s="13" t="e">
        <f t="shared" si="17"/>
        <v>#DIV/0!</v>
      </c>
      <c r="AM41" s="13" t="e">
        <f t="shared" si="18"/>
        <v>#DIV/0!</v>
      </c>
      <c r="AN41" s="13" t="e">
        <f t="shared" si="19"/>
        <v>#DIV/0!</v>
      </c>
      <c r="AO41" s="2" t="e">
        <f t="shared" si="20"/>
        <v>#DIV/0!</v>
      </c>
      <c r="AP41" s="2" t="e">
        <f t="shared" si="21"/>
        <v>#DIV/0!</v>
      </c>
      <c r="AQ41" s="2" t="e">
        <f t="shared" si="22"/>
        <v>#DIV/0!</v>
      </c>
      <c r="AR41" s="2" t="e">
        <f t="shared" si="23"/>
        <v>#DIV/0!</v>
      </c>
      <c r="AS41" s="2" t="e">
        <f t="shared" si="24"/>
        <v>#DIV/0!</v>
      </c>
    </row>
    <row r="42" spans="1:45" ht="20.100000000000001" hidden="1" customHeight="1">
      <c r="A42" s="12">
        <v>0</v>
      </c>
      <c r="B42" s="13">
        <f>'INTERNAL TEST-1  '!B42</f>
        <v>0</v>
      </c>
      <c r="C42" s="64">
        <f>'INTERNAL TEST-1  '!C42</f>
        <v>0</v>
      </c>
      <c r="D42" s="12"/>
      <c r="E42" s="12"/>
      <c r="F42" s="12"/>
      <c r="G42" s="12"/>
      <c r="H42" s="12"/>
      <c r="I42" s="12"/>
      <c r="J42" s="12"/>
      <c r="K42" s="12"/>
      <c r="L42" s="12"/>
      <c r="M42" s="12"/>
      <c r="N42" s="12"/>
      <c r="O42" s="12"/>
      <c r="P42" s="12"/>
      <c r="Q42" s="12"/>
      <c r="R42" s="12"/>
      <c r="S42" s="12"/>
      <c r="T42" s="12"/>
      <c r="U42" s="13">
        <f t="shared" si="0"/>
        <v>0</v>
      </c>
      <c r="V42" s="13">
        <f t="shared" si="1"/>
        <v>0</v>
      </c>
      <c r="W42" s="13">
        <f t="shared" si="2"/>
        <v>0</v>
      </c>
      <c r="X42" s="13">
        <f t="shared" si="3"/>
        <v>0</v>
      </c>
      <c r="Y42" s="13">
        <f t="shared" si="4"/>
        <v>0</v>
      </c>
      <c r="Z42" s="13">
        <f t="shared" si="5"/>
        <v>0</v>
      </c>
      <c r="AA42" s="13">
        <f t="shared" si="6"/>
        <v>0</v>
      </c>
      <c r="AB42" s="13">
        <f t="shared" si="7"/>
        <v>0</v>
      </c>
      <c r="AC42" s="13">
        <f t="shared" si="8"/>
        <v>0</v>
      </c>
      <c r="AD42" s="13">
        <f t="shared" si="9"/>
        <v>0</v>
      </c>
      <c r="AE42" s="13">
        <f t="shared" si="10"/>
        <v>0</v>
      </c>
      <c r="AF42" s="13">
        <f t="shared" si="11"/>
        <v>0</v>
      </c>
      <c r="AG42" s="13">
        <f t="shared" si="12"/>
        <v>0</v>
      </c>
      <c r="AH42" s="13" t="e">
        <f t="shared" si="13"/>
        <v>#DIV/0!</v>
      </c>
      <c r="AI42" s="13" t="e">
        <f t="shared" si="14"/>
        <v>#DIV/0!</v>
      </c>
      <c r="AJ42" s="13" t="e">
        <f t="shared" si="15"/>
        <v>#DIV/0!</v>
      </c>
      <c r="AK42" s="13" t="e">
        <f t="shared" si="16"/>
        <v>#DIV/0!</v>
      </c>
      <c r="AL42" s="13" t="e">
        <f t="shared" si="17"/>
        <v>#DIV/0!</v>
      </c>
      <c r="AM42" s="13" t="e">
        <f t="shared" si="18"/>
        <v>#DIV/0!</v>
      </c>
      <c r="AN42" s="13" t="e">
        <f t="shared" si="19"/>
        <v>#DIV/0!</v>
      </c>
      <c r="AO42" s="2" t="e">
        <f t="shared" si="20"/>
        <v>#DIV/0!</v>
      </c>
      <c r="AP42" s="2" t="e">
        <f t="shared" si="21"/>
        <v>#DIV/0!</v>
      </c>
      <c r="AQ42" s="2" t="e">
        <f t="shared" si="22"/>
        <v>#DIV/0!</v>
      </c>
      <c r="AR42" s="2" t="e">
        <f t="shared" si="23"/>
        <v>#DIV/0!</v>
      </c>
      <c r="AS42" s="2" t="e">
        <f t="shared" si="24"/>
        <v>#DIV/0!</v>
      </c>
    </row>
    <row r="43" spans="1:45" ht="20.100000000000001" hidden="1" customHeight="1">
      <c r="A43" s="12">
        <v>0</v>
      </c>
      <c r="B43" s="13">
        <f>'INTERNAL TEST-1  '!B43</f>
        <v>0</v>
      </c>
      <c r="C43" s="64">
        <f>'INTERNAL TEST-1  '!C43</f>
        <v>0</v>
      </c>
      <c r="D43" s="12"/>
      <c r="E43" s="12"/>
      <c r="F43" s="12"/>
      <c r="G43" s="12"/>
      <c r="H43" s="12"/>
      <c r="I43" s="12"/>
      <c r="J43" s="12"/>
      <c r="K43" s="12"/>
      <c r="L43" s="12"/>
      <c r="M43" s="12"/>
      <c r="N43" s="12"/>
      <c r="O43" s="12"/>
      <c r="P43" s="12"/>
      <c r="Q43" s="12"/>
      <c r="R43" s="12"/>
      <c r="S43" s="12"/>
      <c r="T43" s="12"/>
      <c r="U43" s="13">
        <f t="shared" si="0"/>
        <v>0</v>
      </c>
      <c r="V43" s="13">
        <f t="shared" si="1"/>
        <v>0</v>
      </c>
      <c r="W43" s="13">
        <f t="shared" si="2"/>
        <v>0</v>
      </c>
      <c r="X43" s="13">
        <f t="shared" si="3"/>
        <v>0</v>
      </c>
      <c r="Y43" s="13">
        <f t="shared" si="4"/>
        <v>0</v>
      </c>
      <c r="Z43" s="13">
        <f t="shared" si="5"/>
        <v>0</v>
      </c>
      <c r="AA43" s="13">
        <f t="shared" si="6"/>
        <v>0</v>
      </c>
      <c r="AB43" s="13">
        <f t="shared" si="7"/>
        <v>0</v>
      </c>
      <c r="AC43" s="13">
        <f t="shared" si="8"/>
        <v>0</v>
      </c>
      <c r="AD43" s="13">
        <f t="shared" si="9"/>
        <v>0</v>
      </c>
      <c r="AE43" s="13">
        <f t="shared" si="10"/>
        <v>0</v>
      </c>
      <c r="AF43" s="13">
        <f t="shared" si="11"/>
        <v>0</v>
      </c>
      <c r="AG43" s="13">
        <f t="shared" si="12"/>
        <v>0</v>
      </c>
      <c r="AH43" s="13" t="e">
        <f t="shared" si="13"/>
        <v>#DIV/0!</v>
      </c>
      <c r="AI43" s="13" t="e">
        <f t="shared" si="14"/>
        <v>#DIV/0!</v>
      </c>
      <c r="AJ43" s="13" t="e">
        <f t="shared" si="15"/>
        <v>#DIV/0!</v>
      </c>
      <c r="AK43" s="13" t="e">
        <f t="shared" si="16"/>
        <v>#DIV/0!</v>
      </c>
      <c r="AL43" s="13" t="e">
        <f t="shared" si="17"/>
        <v>#DIV/0!</v>
      </c>
      <c r="AM43" s="13" t="e">
        <f t="shared" si="18"/>
        <v>#DIV/0!</v>
      </c>
      <c r="AN43" s="13" t="e">
        <f t="shared" si="19"/>
        <v>#DIV/0!</v>
      </c>
      <c r="AO43" s="2" t="e">
        <f t="shared" si="20"/>
        <v>#DIV/0!</v>
      </c>
      <c r="AP43" s="2" t="e">
        <f t="shared" si="21"/>
        <v>#DIV/0!</v>
      </c>
      <c r="AQ43" s="2" t="e">
        <f t="shared" si="22"/>
        <v>#DIV/0!</v>
      </c>
      <c r="AR43" s="2" t="e">
        <f t="shared" si="23"/>
        <v>#DIV/0!</v>
      </c>
      <c r="AS43" s="2" t="e">
        <f t="shared" si="24"/>
        <v>#DIV/0!</v>
      </c>
    </row>
    <row r="44" spans="1:45" ht="20.100000000000001" hidden="1" customHeight="1">
      <c r="A44" s="12">
        <v>0</v>
      </c>
      <c r="B44" s="13">
        <f>'INTERNAL TEST-1  '!B44</f>
        <v>0</v>
      </c>
      <c r="C44" s="64">
        <f>'INTERNAL TEST-1  '!C44</f>
        <v>0</v>
      </c>
      <c r="D44" s="12"/>
      <c r="E44" s="12"/>
      <c r="F44" s="12"/>
      <c r="G44" s="12"/>
      <c r="H44" s="12"/>
      <c r="I44" s="12"/>
      <c r="J44" s="12"/>
      <c r="K44" s="12"/>
      <c r="L44" s="12"/>
      <c r="M44" s="12"/>
      <c r="N44" s="12"/>
      <c r="O44" s="12"/>
      <c r="P44" s="12"/>
      <c r="Q44" s="12"/>
      <c r="R44" s="12"/>
      <c r="S44" s="12"/>
      <c r="T44" s="12"/>
      <c r="U44" s="13">
        <f t="shared" si="0"/>
        <v>0</v>
      </c>
      <c r="V44" s="13">
        <f t="shared" si="1"/>
        <v>0</v>
      </c>
      <c r="W44" s="13">
        <f t="shared" si="2"/>
        <v>0</v>
      </c>
      <c r="X44" s="13">
        <f t="shared" si="3"/>
        <v>0</v>
      </c>
      <c r="Y44" s="13">
        <f t="shared" si="4"/>
        <v>0</v>
      </c>
      <c r="Z44" s="13">
        <f t="shared" si="5"/>
        <v>0</v>
      </c>
      <c r="AA44" s="13">
        <f t="shared" si="6"/>
        <v>0</v>
      </c>
      <c r="AB44" s="13">
        <f t="shared" si="7"/>
        <v>0</v>
      </c>
      <c r="AC44" s="13">
        <f t="shared" si="8"/>
        <v>0</v>
      </c>
      <c r="AD44" s="13">
        <f t="shared" si="9"/>
        <v>0</v>
      </c>
      <c r="AE44" s="13">
        <f t="shared" si="10"/>
        <v>0</v>
      </c>
      <c r="AF44" s="13">
        <f t="shared" si="11"/>
        <v>0</v>
      </c>
      <c r="AG44" s="13">
        <f t="shared" si="12"/>
        <v>0</v>
      </c>
      <c r="AH44" s="13" t="e">
        <f t="shared" si="13"/>
        <v>#DIV/0!</v>
      </c>
      <c r="AI44" s="13" t="e">
        <f t="shared" si="14"/>
        <v>#DIV/0!</v>
      </c>
      <c r="AJ44" s="13" t="e">
        <f t="shared" si="15"/>
        <v>#DIV/0!</v>
      </c>
      <c r="AK44" s="13" t="e">
        <f t="shared" si="16"/>
        <v>#DIV/0!</v>
      </c>
      <c r="AL44" s="13" t="e">
        <f t="shared" si="17"/>
        <v>#DIV/0!</v>
      </c>
      <c r="AM44" s="13" t="e">
        <f t="shared" si="18"/>
        <v>#DIV/0!</v>
      </c>
      <c r="AN44" s="13" t="e">
        <f t="shared" si="19"/>
        <v>#DIV/0!</v>
      </c>
      <c r="AO44" s="2" t="e">
        <f t="shared" si="20"/>
        <v>#DIV/0!</v>
      </c>
      <c r="AP44" s="2" t="e">
        <f t="shared" si="21"/>
        <v>#DIV/0!</v>
      </c>
      <c r="AQ44" s="2" t="e">
        <f t="shared" si="22"/>
        <v>#DIV/0!</v>
      </c>
      <c r="AR44" s="2" t="e">
        <f t="shared" si="23"/>
        <v>#DIV/0!</v>
      </c>
      <c r="AS44" s="2" t="e">
        <f t="shared" si="24"/>
        <v>#DIV/0!</v>
      </c>
    </row>
    <row r="45" spans="1:45" ht="20.100000000000001" hidden="1" customHeight="1">
      <c r="A45" s="12">
        <v>0</v>
      </c>
      <c r="B45" s="13">
        <f>'INTERNAL TEST-1  '!B45</f>
        <v>0</v>
      </c>
      <c r="C45" s="64">
        <f>'INTERNAL TEST-1  '!C45</f>
        <v>0</v>
      </c>
      <c r="D45" s="12"/>
      <c r="E45" s="12"/>
      <c r="F45" s="12"/>
      <c r="G45" s="12"/>
      <c r="H45" s="12"/>
      <c r="I45" s="12"/>
      <c r="J45" s="12"/>
      <c r="K45" s="12"/>
      <c r="L45" s="12"/>
      <c r="M45" s="12"/>
      <c r="N45" s="12"/>
      <c r="O45" s="12"/>
      <c r="P45" s="12"/>
      <c r="Q45" s="12"/>
      <c r="R45" s="12"/>
      <c r="S45" s="12"/>
      <c r="T45" s="12"/>
      <c r="U45" s="13">
        <f t="shared" si="0"/>
        <v>0</v>
      </c>
      <c r="V45" s="13">
        <f t="shared" si="1"/>
        <v>0</v>
      </c>
      <c r="W45" s="13">
        <f t="shared" si="2"/>
        <v>0</v>
      </c>
      <c r="X45" s="13">
        <f t="shared" si="3"/>
        <v>0</v>
      </c>
      <c r="Y45" s="13">
        <f t="shared" si="4"/>
        <v>0</v>
      </c>
      <c r="Z45" s="13">
        <f t="shared" si="5"/>
        <v>0</v>
      </c>
      <c r="AA45" s="13">
        <f t="shared" si="6"/>
        <v>0</v>
      </c>
      <c r="AB45" s="13">
        <f t="shared" si="7"/>
        <v>0</v>
      </c>
      <c r="AC45" s="13">
        <f t="shared" si="8"/>
        <v>0</v>
      </c>
      <c r="AD45" s="13">
        <f t="shared" si="9"/>
        <v>0</v>
      </c>
      <c r="AE45" s="13">
        <f t="shared" si="10"/>
        <v>0</v>
      </c>
      <c r="AF45" s="13">
        <f t="shared" si="11"/>
        <v>0</v>
      </c>
      <c r="AG45" s="13">
        <f t="shared" si="12"/>
        <v>0</v>
      </c>
      <c r="AH45" s="13" t="e">
        <f t="shared" si="13"/>
        <v>#DIV/0!</v>
      </c>
      <c r="AI45" s="13" t="e">
        <f t="shared" si="14"/>
        <v>#DIV/0!</v>
      </c>
      <c r="AJ45" s="13" t="e">
        <f t="shared" si="15"/>
        <v>#DIV/0!</v>
      </c>
      <c r="AK45" s="13" t="e">
        <f t="shared" si="16"/>
        <v>#DIV/0!</v>
      </c>
      <c r="AL45" s="13" t="e">
        <f t="shared" si="17"/>
        <v>#DIV/0!</v>
      </c>
      <c r="AM45" s="13" t="e">
        <f t="shared" si="18"/>
        <v>#DIV/0!</v>
      </c>
      <c r="AN45" s="13" t="e">
        <f t="shared" si="19"/>
        <v>#DIV/0!</v>
      </c>
      <c r="AO45" s="2" t="e">
        <f t="shared" si="20"/>
        <v>#DIV/0!</v>
      </c>
      <c r="AP45" s="2" t="e">
        <f t="shared" si="21"/>
        <v>#DIV/0!</v>
      </c>
      <c r="AQ45" s="2" t="e">
        <f t="shared" si="22"/>
        <v>#DIV/0!</v>
      </c>
      <c r="AR45" s="2" t="e">
        <f t="shared" si="23"/>
        <v>#DIV/0!</v>
      </c>
      <c r="AS45" s="2" t="e">
        <f t="shared" si="24"/>
        <v>#DIV/0!</v>
      </c>
    </row>
    <row r="46" spans="1:45" ht="20.100000000000001" hidden="1" customHeight="1">
      <c r="A46" s="12">
        <v>0</v>
      </c>
      <c r="B46" s="13">
        <f>'INTERNAL TEST-1  '!B46</f>
        <v>0</v>
      </c>
      <c r="C46" s="64">
        <f>'INTERNAL TEST-1  '!C46</f>
        <v>0</v>
      </c>
      <c r="D46" s="12"/>
      <c r="E46" s="12"/>
      <c r="F46" s="12"/>
      <c r="G46" s="12"/>
      <c r="H46" s="12"/>
      <c r="I46" s="12"/>
      <c r="J46" s="12"/>
      <c r="K46" s="12"/>
      <c r="L46" s="12"/>
      <c r="M46" s="12"/>
      <c r="N46" s="12"/>
      <c r="O46" s="12"/>
      <c r="P46" s="12"/>
      <c r="Q46" s="12"/>
      <c r="R46" s="12"/>
      <c r="S46" s="12"/>
      <c r="T46" s="12"/>
      <c r="U46" s="13">
        <f t="shared" ref="U46:U68" si="25">SUM(D46:T46)</f>
        <v>0</v>
      </c>
      <c r="V46" s="13">
        <f t="shared" si="1"/>
        <v>0</v>
      </c>
      <c r="W46" s="13">
        <f t="shared" si="2"/>
        <v>0</v>
      </c>
      <c r="X46" s="13">
        <f t="shared" si="3"/>
        <v>0</v>
      </c>
      <c r="Y46" s="13">
        <f t="shared" si="4"/>
        <v>0</v>
      </c>
      <c r="Z46" s="13">
        <f t="shared" si="5"/>
        <v>0</v>
      </c>
      <c r="AA46" s="13">
        <f t="shared" si="6"/>
        <v>0</v>
      </c>
      <c r="AB46" s="13">
        <f t="shared" si="7"/>
        <v>0</v>
      </c>
      <c r="AC46" s="13">
        <f t="shared" si="8"/>
        <v>0</v>
      </c>
      <c r="AD46" s="13">
        <f t="shared" si="9"/>
        <v>0</v>
      </c>
      <c r="AE46" s="13">
        <f t="shared" si="10"/>
        <v>0</v>
      </c>
      <c r="AF46" s="13">
        <f t="shared" si="11"/>
        <v>0</v>
      </c>
      <c r="AG46" s="13">
        <f t="shared" si="12"/>
        <v>0</v>
      </c>
      <c r="AH46" s="13" t="e">
        <f t="shared" si="13"/>
        <v>#DIV/0!</v>
      </c>
      <c r="AI46" s="13" t="e">
        <f t="shared" si="14"/>
        <v>#DIV/0!</v>
      </c>
      <c r="AJ46" s="13" t="e">
        <f t="shared" si="15"/>
        <v>#DIV/0!</v>
      </c>
      <c r="AK46" s="13" t="e">
        <f t="shared" si="16"/>
        <v>#DIV/0!</v>
      </c>
      <c r="AL46" s="13" t="e">
        <f t="shared" si="17"/>
        <v>#DIV/0!</v>
      </c>
      <c r="AM46" s="13" t="e">
        <f t="shared" si="18"/>
        <v>#DIV/0!</v>
      </c>
      <c r="AN46" s="13" t="e">
        <f t="shared" si="19"/>
        <v>#DIV/0!</v>
      </c>
      <c r="AO46" s="2" t="e">
        <f t="shared" si="20"/>
        <v>#DIV/0!</v>
      </c>
      <c r="AP46" s="2" t="e">
        <f t="shared" si="21"/>
        <v>#DIV/0!</v>
      </c>
      <c r="AQ46" s="2" t="e">
        <f t="shared" si="22"/>
        <v>#DIV/0!</v>
      </c>
      <c r="AR46" s="2" t="e">
        <f t="shared" si="23"/>
        <v>#DIV/0!</v>
      </c>
      <c r="AS46" s="2" t="e">
        <f t="shared" si="24"/>
        <v>#DIV/0!</v>
      </c>
    </row>
    <row r="47" spans="1:45" ht="20.100000000000001" hidden="1" customHeight="1">
      <c r="A47" s="12">
        <v>0</v>
      </c>
      <c r="B47" s="13">
        <f>'INTERNAL TEST-1  '!B47</f>
        <v>0</v>
      </c>
      <c r="C47" s="64">
        <f>'INTERNAL TEST-1  '!C47</f>
        <v>0</v>
      </c>
      <c r="D47" s="12"/>
      <c r="E47" s="12"/>
      <c r="F47" s="12"/>
      <c r="G47" s="12"/>
      <c r="H47" s="12"/>
      <c r="I47" s="12"/>
      <c r="J47" s="12"/>
      <c r="K47" s="12"/>
      <c r="L47" s="12"/>
      <c r="M47" s="12"/>
      <c r="N47" s="12"/>
      <c r="O47" s="12"/>
      <c r="P47" s="12"/>
      <c r="Q47" s="12"/>
      <c r="R47" s="12"/>
      <c r="S47" s="12"/>
      <c r="T47" s="12"/>
      <c r="U47" s="13">
        <f t="shared" si="25"/>
        <v>0</v>
      </c>
      <c r="V47" s="13">
        <f t="shared" si="1"/>
        <v>0</v>
      </c>
      <c r="W47" s="13">
        <f t="shared" si="2"/>
        <v>0</v>
      </c>
      <c r="X47" s="13">
        <f t="shared" si="3"/>
        <v>0</v>
      </c>
      <c r="Y47" s="13">
        <f t="shared" si="4"/>
        <v>0</v>
      </c>
      <c r="Z47" s="13">
        <f t="shared" si="5"/>
        <v>0</v>
      </c>
      <c r="AA47" s="13">
        <f t="shared" si="6"/>
        <v>0</v>
      </c>
      <c r="AB47" s="13">
        <f t="shared" si="7"/>
        <v>0</v>
      </c>
      <c r="AC47" s="13">
        <f t="shared" si="8"/>
        <v>0</v>
      </c>
      <c r="AD47" s="13">
        <f t="shared" si="9"/>
        <v>0</v>
      </c>
      <c r="AE47" s="13">
        <f t="shared" si="10"/>
        <v>0</v>
      </c>
      <c r="AF47" s="13">
        <f t="shared" si="11"/>
        <v>0</v>
      </c>
      <c r="AG47" s="13">
        <f t="shared" si="12"/>
        <v>0</v>
      </c>
      <c r="AH47" s="13" t="e">
        <f t="shared" si="13"/>
        <v>#DIV/0!</v>
      </c>
      <c r="AI47" s="13" t="e">
        <f t="shared" si="14"/>
        <v>#DIV/0!</v>
      </c>
      <c r="AJ47" s="13" t="e">
        <f t="shared" si="15"/>
        <v>#DIV/0!</v>
      </c>
      <c r="AK47" s="13" t="e">
        <f t="shared" si="16"/>
        <v>#DIV/0!</v>
      </c>
      <c r="AL47" s="13" t="e">
        <f t="shared" si="17"/>
        <v>#DIV/0!</v>
      </c>
      <c r="AM47" s="13" t="e">
        <f t="shared" si="18"/>
        <v>#DIV/0!</v>
      </c>
      <c r="AN47" s="13" t="e">
        <f t="shared" si="19"/>
        <v>#DIV/0!</v>
      </c>
      <c r="AO47" s="2" t="e">
        <f t="shared" si="20"/>
        <v>#DIV/0!</v>
      </c>
      <c r="AP47" s="2" t="e">
        <f t="shared" si="21"/>
        <v>#DIV/0!</v>
      </c>
      <c r="AQ47" s="2" t="e">
        <f t="shared" si="22"/>
        <v>#DIV/0!</v>
      </c>
      <c r="AR47" s="2" t="e">
        <f t="shared" si="23"/>
        <v>#DIV/0!</v>
      </c>
      <c r="AS47" s="2" t="e">
        <f t="shared" si="24"/>
        <v>#DIV/0!</v>
      </c>
    </row>
    <row r="48" spans="1:45" ht="20.100000000000001" hidden="1" customHeight="1">
      <c r="A48" s="12">
        <v>0</v>
      </c>
      <c r="B48" s="13">
        <f>'INTERNAL TEST-1  '!B48</f>
        <v>0</v>
      </c>
      <c r="C48" s="64">
        <f>'INTERNAL TEST-1  '!C48</f>
        <v>0</v>
      </c>
      <c r="D48" s="12"/>
      <c r="E48" s="12"/>
      <c r="F48" s="12"/>
      <c r="G48" s="12"/>
      <c r="H48" s="12"/>
      <c r="I48" s="12"/>
      <c r="J48" s="12"/>
      <c r="K48" s="12"/>
      <c r="L48" s="12"/>
      <c r="M48" s="12"/>
      <c r="N48" s="12"/>
      <c r="O48" s="12"/>
      <c r="P48" s="12"/>
      <c r="Q48" s="12"/>
      <c r="R48" s="12"/>
      <c r="S48" s="12"/>
      <c r="T48" s="12"/>
      <c r="U48" s="13">
        <f t="shared" si="25"/>
        <v>0</v>
      </c>
      <c r="V48" s="13">
        <f t="shared" si="1"/>
        <v>0</v>
      </c>
      <c r="W48" s="13">
        <f t="shared" si="2"/>
        <v>0</v>
      </c>
      <c r="X48" s="13">
        <f t="shared" si="3"/>
        <v>0</v>
      </c>
      <c r="Y48" s="13">
        <f t="shared" si="4"/>
        <v>0</v>
      </c>
      <c r="Z48" s="13">
        <f t="shared" si="5"/>
        <v>0</v>
      </c>
      <c r="AA48" s="13">
        <f t="shared" si="6"/>
        <v>0</v>
      </c>
      <c r="AB48" s="13">
        <f t="shared" si="7"/>
        <v>0</v>
      </c>
      <c r="AC48" s="13">
        <f t="shared" si="8"/>
        <v>0</v>
      </c>
      <c r="AD48" s="13">
        <f t="shared" si="9"/>
        <v>0</v>
      </c>
      <c r="AE48" s="13">
        <f t="shared" si="10"/>
        <v>0</v>
      </c>
      <c r="AF48" s="13">
        <f t="shared" si="11"/>
        <v>0</v>
      </c>
      <c r="AG48" s="13">
        <f t="shared" si="12"/>
        <v>0</v>
      </c>
      <c r="AH48" s="13" t="e">
        <f t="shared" si="13"/>
        <v>#DIV/0!</v>
      </c>
      <c r="AI48" s="13" t="e">
        <f t="shared" si="14"/>
        <v>#DIV/0!</v>
      </c>
      <c r="AJ48" s="13" t="e">
        <f t="shared" si="15"/>
        <v>#DIV/0!</v>
      </c>
      <c r="AK48" s="13" t="e">
        <f t="shared" si="16"/>
        <v>#DIV/0!</v>
      </c>
      <c r="AL48" s="13" t="e">
        <f t="shared" si="17"/>
        <v>#DIV/0!</v>
      </c>
      <c r="AM48" s="13" t="e">
        <f t="shared" si="18"/>
        <v>#DIV/0!</v>
      </c>
      <c r="AN48" s="13" t="e">
        <f t="shared" si="19"/>
        <v>#DIV/0!</v>
      </c>
      <c r="AO48" s="2" t="e">
        <f t="shared" si="20"/>
        <v>#DIV/0!</v>
      </c>
      <c r="AP48" s="2" t="e">
        <f t="shared" si="21"/>
        <v>#DIV/0!</v>
      </c>
      <c r="AQ48" s="2" t="e">
        <f t="shared" si="22"/>
        <v>#DIV/0!</v>
      </c>
      <c r="AR48" s="2" t="e">
        <f t="shared" si="23"/>
        <v>#DIV/0!</v>
      </c>
      <c r="AS48" s="2" t="e">
        <f t="shared" si="24"/>
        <v>#DIV/0!</v>
      </c>
    </row>
    <row r="49" spans="1:45" ht="20.100000000000001" hidden="1" customHeight="1">
      <c r="A49" s="12">
        <v>0</v>
      </c>
      <c r="B49" s="13">
        <f>'INTERNAL TEST-1  '!B49</f>
        <v>0</v>
      </c>
      <c r="C49" s="64">
        <f>'INTERNAL TEST-1  '!C49</f>
        <v>0</v>
      </c>
      <c r="D49" s="12"/>
      <c r="E49" s="12"/>
      <c r="F49" s="12"/>
      <c r="G49" s="12"/>
      <c r="H49" s="12"/>
      <c r="I49" s="12"/>
      <c r="J49" s="12"/>
      <c r="K49" s="12"/>
      <c r="L49" s="12"/>
      <c r="M49" s="12"/>
      <c r="N49" s="12"/>
      <c r="O49" s="12"/>
      <c r="P49" s="12"/>
      <c r="Q49" s="12"/>
      <c r="R49" s="12"/>
      <c r="S49" s="12"/>
      <c r="T49" s="12"/>
      <c r="U49" s="13">
        <f t="shared" si="25"/>
        <v>0</v>
      </c>
      <c r="V49" s="13">
        <f t="shared" si="1"/>
        <v>0</v>
      </c>
      <c r="W49" s="13">
        <f t="shared" si="2"/>
        <v>0</v>
      </c>
      <c r="X49" s="13">
        <f t="shared" si="3"/>
        <v>0</v>
      </c>
      <c r="Y49" s="13">
        <f t="shared" si="4"/>
        <v>0</v>
      </c>
      <c r="Z49" s="13">
        <f t="shared" si="5"/>
        <v>0</v>
      </c>
      <c r="AA49" s="13">
        <f t="shared" si="6"/>
        <v>0</v>
      </c>
      <c r="AB49" s="13">
        <f t="shared" si="7"/>
        <v>0</v>
      </c>
      <c r="AC49" s="13">
        <f t="shared" si="8"/>
        <v>0</v>
      </c>
      <c r="AD49" s="13">
        <f t="shared" si="9"/>
        <v>0</v>
      </c>
      <c r="AE49" s="13">
        <f t="shared" si="10"/>
        <v>0</v>
      </c>
      <c r="AF49" s="13">
        <f t="shared" si="11"/>
        <v>0</v>
      </c>
      <c r="AG49" s="13">
        <f t="shared" si="12"/>
        <v>0</v>
      </c>
      <c r="AH49" s="13" t="e">
        <f t="shared" si="13"/>
        <v>#DIV/0!</v>
      </c>
      <c r="AI49" s="13" t="e">
        <f t="shared" si="14"/>
        <v>#DIV/0!</v>
      </c>
      <c r="AJ49" s="13" t="e">
        <f t="shared" si="15"/>
        <v>#DIV/0!</v>
      </c>
      <c r="AK49" s="13" t="e">
        <f t="shared" si="16"/>
        <v>#DIV/0!</v>
      </c>
      <c r="AL49" s="13" t="e">
        <f t="shared" si="17"/>
        <v>#DIV/0!</v>
      </c>
      <c r="AM49" s="13" t="e">
        <f t="shared" si="18"/>
        <v>#DIV/0!</v>
      </c>
      <c r="AN49" s="13" t="e">
        <f t="shared" si="19"/>
        <v>#DIV/0!</v>
      </c>
      <c r="AO49" s="2" t="e">
        <f t="shared" si="20"/>
        <v>#DIV/0!</v>
      </c>
      <c r="AP49" s="2" t="e">
        <f t="shared" si="21"/>
        <v>#DIV/0!</v>
      </c>
      <c r="AQ49" s="2" t="e">
        <f t="shared" si="22"/>
        <v>#DIV/0!</v>
      </c>
      <c r="AR49" s="2" t="e">
        <f t="shared" si="23"/>
        <v>#DIV/0!</v>
      </c>
      <c r="AS49" s="2" t="e">
        <f t="shared" si="24"/>
        <v>#DIV/0!</v>
      </c>
    </row>
    <row r="50" spans="1:45" ht="20.100000000000001" hidden="1" customHeight="1">
      <c r="A50" s="12">
        <v>0</v>
      </c>
      <c r="B50" s="13">
        <f>'INTERNAL TEST-1  '!B50</f>
        <v>0</v>
      </c>
      <c r="C50" s="64">
        <f>'INTERNAL TEST-1  '!C50</f>
        <v>0</v>
      </c>
      <c r="D50" s="12"/>
      <c r="E50" s="12"/>
      <c r="F50" s="12"/>
      <c r="G50" s="12"/>
      <c r="H50" s="12"/>
      <c r="I50" s="12"/>
      <c r="J50" s="12"/>
      <c r="K50" s="12"/>
      <c r="L50" s="12"/>
      <c r="M50" s="12"/>
      <c r="N50" s="12"/>
      <c r="O50" s="12"/>
      <c r="P50" s="12"/>
      <c r="Q50" s="12"/>
      <c r="R50" s="12"/>
      <c r="S50" s="12"/>
      <c r="T50" s="12"/>
      <c r="U50" s="13">
        <f t="shared" si="25"/>
        <v>0</v>
      </c>
      <c r="V50" s="13">
        <f t="shared" si="1"/>
        <v>0</v>
      </c>
      <c r="W50" s="13">
        <f t="shared" si="2"/>
        <v>0</v>
      </c>
      <c r="X50" s="13">
        <f t="shared" si="3"/>
        <v>0</v>
      </c>
      <c r="Y50" s="13">
        <f t="shared" si="4"/>
        <v>0</v>
      </c>
      <c r="Z50" s="13">
        <f t="shared" si="5"/>
        <v>0</v>
      </c>
      <c r="AA50" s="13">
        <f t="shared" si="6"/>
        <v>0</v>
      </c>
      <c r="AB50" s="13">
        <f t="shared" si="7"/>
        <v>0</v>
      </c>
      <c r="AC50" s="13">
        <f t="shared" si="8"/>
        <v>0</v>
      </c>
      <c r="AD50" s="13">
        <f t="shared" si="9"/>
        <v>0</v>
      </c>
      <c r="AE50" s="13">
        <f t="shared" si="10"/>
        <v>0</v>
      </c>
      <c r="AF50" s="13">
        <f t="shared" si="11"/>
        <v>0</v>
      </c>
      <c r="AG50" s="13">
        <f t="shared" si="12"/>
        <v>0</v>
      </c>
      <c r="AH50" s="13" t="e">
        <f t="shared" si="13"/>
        <v>#DIV/0!</v>
      </c>
      <c r="AI50" s="13" t="e">
        <f t="shared" si="14"/>
        <v>#DIV/0!</v>
      </c>
      <c r="AJ50" s="13" t="e">
        <f t="shared" si="15"/>
        <v>#DIV/0!</v>
      </c>
      <c r="AK50" s="13" t="e">
        <f t="shared" si="16"/>
        <v>#DIV/0!</v>
      </c>
      <c r="AL50" s="13" t="e">
        <f t="shared" si="17"/>
        <v>#DIV/0!</v>
      </c>
      <c r="AM50" s="13" t="e">
        <f t="shared" si="18"/>
        <v>#DIV/0!</v>
      </c>
      <c r="AN50" s="13" t="e">
        <f t="shared" si="19"/>
        <v>#DIV/0!</v>
      </c>
      <c r="AO50" s="2" t="e">
        <f t="shared" si="20"/>
        <v>#DIV/0!</v>
      </c>
      <c r="AP50" s="2" t="e">
        <f t="shared" si="21"/>
        <v>#DIV/0!</v>
      </c>
      <c r="AQ50" s="2" t="e">
        <f t="shared" si="22"/>
        <v>#DIV/0!</v>
      </c>
      <c r="AR50" s="2" t="e">
        <f t="shared" si="23"/>
        <v>#DIV/0!</v>
      </c>
      <c r="AS50" s="2" t="e">
        <f t="shared" si="24"/>
        <v>#DIV/0!</v>
      </c>
    </row>
    <row r="51" spans="1:45" ht="20.100000000000001" hidden="1" customHeight="1">
      <c r="A51" s="12">
        <v>0</v>
      </c>
      <c r="B51" s="13">
        <f>'INTERNAL TEST-1  '!B51</f>
        <v>0</v>
      </c>
      <c r="C51" s="64">
        <f>'INTERNAL TEST-1  '!C51</f>
        <v>0</v>
      </c>
      <c r="D51" s="12"/>
      <c r="E51" s="12"/>
      <c r="F51" s="12"/>
      <c r="G51" s="12"/>
      <c r="H51" s="12"/>
      <c r="I51" s="12"/>
      <c r="J51" s="12"/>
      <c r="K51" s="12"/>
      <c r="L51" s="12"/>
      <c r="M51" s="12"/>
      <c r="N51" s="12"/>
      <c r="O51" s="12"/>
      <c r="P51" s="12"/>
      <c r="Q51" s="12"/>
      <c r="R51" s="12"/>
      <c r="S51" s="12"/>
      <c r="T51" s="12"/>
      <c r="U51" s="13">
        <f t="shared" si="25"/>
        <v>0</v>
      </c>
      <c r="V51" s="13">
        <f t="shared" si="1"/>
        <v>0</v>
      </c>
      <c r="W51" s="13">
        <f t="shared" si="2"/>
        <v>0</v>
      </c>
      <c r="X51" s="13">
        <f t="shared" si="3"/>
        <v>0</v>
      </c>
      <c r="Y51" s="13">
        <f t="shared" si="4"/>
        <v>0</v>
      </c>
      <c r="Z51" s="13">
        <f t="shared" si="5"/>
        <v>0</v>
      </c>
      <c r="AA51" s="13">
        <f t="shared" si="6"/>
        <v>0</v>
      </c>
      <c r="AB51" s="13">
        <f t="shared" si="7"/>
        <v>0</v>
      </c>
      <c r="AC51" s="13">
        <f t="shared" si="8"/>
        <v>0</v>
      </c>
      <c r="AD51" s="13">
        <f t="shared" si="9"/>
        <v>0</v>
      </c>
      <c r="AE51" s="13">
        <f t="shared" si="10"/>
        <v>0</v>
      </c>
      <c r="AF51" s="13">
        <f t="shared" si="11"/>
        <v>0</v>
      </c>
      <c r="AG51" s="13">
        <f t="shared" si="12"/>
        <v>0</v>
      </c>
      <c r="AH51" s="13" t="e">
        <f t="shared" si="13"/>
        <v>#DIV/0!</v>
      </c>
      <c r="AI51" s="13" t="e">
        <f t="shared" si="14"/>
        <v>#DIV/0!</v>
      </c>
      <c r="AJ51" s="13" t="e">
        <f t="shared" si="15"/>
        <v>#DIV/0!</v>
      </c>
      <c r="AK51" s="13" t="e">
        <f t="shared" si="16"/>
        <v>#DIV/0!</v>
      </c>
      <c r="AL51" s="13" t="e">
        <f t="shared" si="17"/>
        <v>#DIV/0!</v>
      </c>
      <c r="AM51" s="13" t="e">
        <f t="shared" si="18"/>
        <v>#DIV/0!</v>
      </c>
      <c r="AN51" s="13" t="e">
        <f t="shared" si="19"/>
        <v>#DIV/0!</v>
      </c>
      <c r="AO51" s="2" t="e">
        <f t="shared" si="20"/>
        <v>#DIV/0!</v>
      </c>
      <c r="AP51" s="2" t="e">
        <f t="shared" si="21"/>
        <v>#DIV/0!</v>
      </c>
      <c r="AQ51" s="2" t="e">
        <f t="shared" si="22"/>
        <v>#DIV/0!</v>
      </c>
      <c r="AR51" s="2" t="e">
        <f t="shared" si="23"/>
        <v>#DIV/0!</v>
      </c>
      <c r="AS51" s="2" t="e">
        <f t="shared" si="24"/>
        <v>#DIV/0!</v>
      </c>
    </row>
    <row r="52" spans="1:45" ht="20.100000000000001" hidden="1" customHeight="1">
      <c r="A52" s="12">
        <v>0</v>
      </c>
      <c r="B52" s="13">
        <f>'INTERNAL TEST-1  '!B52</f>
        <v>0</v>
      </c>
      <c r="C52" s="64">
        <f>'INTERNAL TEST-1  '!C52</f>
        <v>0</v>
      </c>
      <c r="D52" s="12"/>
      <c r="E52" s="12"/>
      <c r="F52" s="12"/>
      <c r="G52" s="12"/>
      <c r="H52" s="12"/>
      <c r="I52" s="12"/>
      <c r="J52" s="12"/>
      <c r="K52" s="12"/>
      <c r="L52" s="12"/>
      <c r="M52" s="12"/>
      <c r="N52" s="12"/>
      <c r="O52" s="12"/>
      <c r="P52" s="12"/>
      <c r="Q52" s="12"/>
      <c r="R52" s="12"/>
      <c r="S52" s="12"/>
      <c r="T52" s="12"/>
      <c r="U52" s="13">
        <f t="shared" si="25"/>
        <v>0</v>
      </c>
      <c r="V52" s="13">
        <f t="shared" si="1"/>
        <v>0</v>
      </c>
      <c r="W52" s="13">
        <f t="shared" si="2"/>
        <v>0</v>
      </c>
      <c r="X52" s="13">
        <f t="shared" si="3"/>
        <v>0</v>
      </c>
      <c r="Y52" s="13">
        <f t="shared" si="4"/>
        <v>0</v>
      </c>
      <c r="Z52" s="13">
        <f t="shared" si="5"/>
        <v>0</v>
      </c>
      <c r="AA52" s="13">
        <f t="shared" si="6"/>
        <v>0</v>
      </c>
      <c r="AB52" s="13">
        <f t="shared" si="7"/>
        <v>0</v>
      </c>
      <c r="AC52" s="13">
        <f t="shared" si="8"/>
        <v>0</v>
      </c>
      <c r="AD52" s="13">
        <f t="shared" si="9"/>
        <v>0</v>
      </c>
      <c r="AE52" s="13">
        <f t="shared" si="10"/>
        <v>0</v>
      </c>
      <c r="AF52" s="13">
        <f t="shared" si="11"/>
        <v>0</v>
      </c>
      <c r="AG52" s="13">
        <f t="shared" si="12"/>
        <v>0</v>
      </c>
      <c r="AH52" s="13" t="e">
        <f t="shared" si="13"/>
        <v>#DIV/0!</v>
      </c>
      <c r="AI52" s="13" t="e">
        <f t="shared" si="14"/>
        <v>#DIV/0!</v>
      </c>
      <c r="AJ52" s="13" t="e">
        <f t="shared" si="15"/>
        <v>#DIV/0!</v>
      </c>
      <c r="AK52" s="13" t="e">
        <f t="shared" si="16"/>
        <v>#DIV/0!</v>
      </c>
      <c r="AL52" s="13" t="e">
        <f t="shared" si="17"/>
        <v>#DIV/0!</v>
      </c>
      <c r="AM52" s="13" t="e">
        <f t="shared" si="18"/>
        <v>#DIV/0!</v>
      </c>
      <c r="AN52" s="13" t="e">
        <f t="shared" si="19"/>
        <v>#DIV/0!</v>
      </c>
      <c r="AO52" s="2" t="e">
        <f t="shared" si="20"/>
        <v>#DIV/0!</v>
      </c>
      <c r="AP52" s="2" t="e">
        <f t="shared" si="21"/>
        <v>#DIV/0!</v>
      </c>
      <c r="AQ52" s="2" t="e">
        <f t="shared" si="22"/>
        <v>#DIV/0!</v>
      </c>
      <c r="AR52" s="2" t="e">
        <f t="shared" si="23"/>
        <v>#DIV/0!</v>
      </c>
      <c r="AS52" s="2" t="e">
        <f t="shared" si="24"/>
        <v>#DIV/0!</v>
      </c>
    </row>
    <row r="53" spans="1:45" ht="20.100000000000001" hidden="1" customHeight="1">
      <c r="A53" s="12">
        <v>0</v>
      </c>
      <c r="B53" s="13">
        <f>'INTERNAL TEST-1  '!B53</f>
        <v>0</v>
      </c>
      <c r="C53" s="64">
        <f>'INTERNAL TEST-1  '!C53</f>
        <v>0</v>
      </c>
      <c r="D53" s="12"/>
      <c r="E53" s="12"/>
      <c r="F53" s="12"/>
      <c r="G53" s="12"/>
      <c r="H53" s="12"/>
      <c r="I53" s="12"/>
      <c r="J53" s="12"/>
      <c r="K53" s="12"/>
      <c r="L53" s="12"/>
      <c r="M53" s="12"/>
      <c r="N53" s="12"/>
      <c r="O53" s="12"/>
      <c r="P53" s="12"/>
      <c r="Q53" s="12"/>
      <c r="R53" s="12"/>
      <c r="S53" s="12"/>
      <c r="T53" s="12"/>
      <c r="U53" s="13">
        <f t="shared" si="25"/>
        <v>0</v>
      </c>
      <c r="V53" s="13">
        <f t="shared" si="1"/>
        <v>0</v>
      </c>
      <c r="W53" s="13">
        <f t="shared" si="2"/>
        <v>0</v>
      </c>
      <c r="X53" s="13">
        <f t="shared" si="3"/>
        <v>0</v>
      </c>
      <c r="Y53" s="13">
        <f t="shared" si="4"/>
        <v>0</v>
      </c>
      <c r="Z53" s="13">
        <f t="shared" si="5"/>
        <v>0</v>
      </c>
      <c r="AA53" s="13">
        <f t="shared" si="6"/>
        <v>0</v>
      </c>
      <c r="AB53" s="13">
        <f t="shared" si="7"/>
        <v>0</v>
      </c>
      <c r="AC53" s="13">
        <f t="shared" si="8"/>
        <v>0</v>
      </c>
      <c r="AD53" s="13">
        <f t="shared" si="9"/>
        <v>0</v>
      </c>
      <c r="AE53" s="13">
        <f t="shared" si="10"/>
        <v>0</v>
      </c>
      <c r="AF53" s="13">
        <f t="shared" si="11"/>
        <v>0</v>
      </c>
      <c r="AG53" s="13">
        <f t="shared" si="12"/>
        <v>0</v>
      </c>
      <c r="AH53" s="13" t="e">
        <f t="shared" si="13"/>
        <v>#DIV/0!</v>
      </c>
      <c r="AI53" s="13" t="e">
        <f t="shared" si="14"/>
        <v>#DIV/0!</v>
      </c>
      <c r="AJ53" s="13" t="e">
        <f t="shared" si="15"/>
        <v>#DIV/0!</v>
      </c>
      <c r="AK53" s="13" t="e">
        <f t="shared" si="16"/>
        <v>#DIV/0!</v>
      </c>
      <c r="AL53" s="13" t="e">
        <f t="shared" si="17"/>
        <v>#DIV/0!</v>
      </c>
      <c r="AM53" s="13" t="e">
        <f t="shared" si="18"/>
        <v>#DIV/0!</v>
      </c>
      <c r="AN53" s="13" t="e">
        <f t="shared" si="19"/>
        <v>#DIV/0!</v>
      </c>
      <c r="AO53" s="2" t="e">
        <f t="shared" si="20"/>
        <v>#DIV/0!</v>
      </c>
      <c r="AP53" s="2" t="e">
        <f t="shared" si="21"/>
        <v>#DIV/0!</v>
      </c>
      <c r="AQ53" s="2" t="e">
        <f t="shared" si="22"/>
        <v>#DIV/0!</v>
      </c>
      <c r="AR53" s="2" t="e">
        <f t="shared" si="23"/>
        <v>#DIV/0!</v>
      </c>
      <c r="AS53" s="2" t="e">
        <f t="shared" si="24"/>
        <v>#DIV/0!</v>
      </c>
    </row>
    <row r="54" spans="1:45" ht="20.100000000000001" hidden="1" customHeight="1">
      <c r="A54" s="12">
        <v>0</v>
      </c>
      <c r="B54" s="13">
        <f>'INTERNAL TEST-1  '!B54</f>
        <v>0</v>
      </c>
      <c r="C54" s="64">
        <f>'INTERNAL TEST-1  '!C54</f>
        <v>0</v>
      </c>
      <c r="D54" s="12"/>
      <c r="E54" s="12"/>
      <c r="F54" s="12"/>
      <c r="G54" s="12"/>
      <c r="H54" s="12"/>
      <c r="I54" s="12"/>
      <c r="J54" s="12"/>
      <c r="K54" s="12"/>
      <c r="L54" s="12"/>
      <c r="M54" s="12"/>
      <c r="N54" s="12"/>
      <c r="O54" s="12"/>
      <c r="P54" s="12"/>
      <c r="Q54" s="12"/>
      <c r="R54" s="12"/>
      <c r="S54" s="12"/>
      <c r="T54" s="12"/>
      <c r="U54" s="13">
        <f>SUM(D54:T54)</f>
        <v>0</v>
      </c>
      <c r="V54" s="13">
        <f>IF($D$12="CO1",D54,0)+IF($E$12="CO1",E54,0)+IF($F$12="CO1",F54,0)+IF($G$12="CO1",G54,0)+IF($H$12="CO1",H54,0)+IF($I$12="CO1",I54,0)+IF($J$12="CO1",J54,0)+IF($K$12="CO1",K54,0)+IF($L$12="CO1",L54,0)+IF($M$12="CO1",M54,0)+IF($N$12="CO1",N54,0)+IF($O$12="CO1",O54,0)+IF($P$12="CO1",P54,0)+IF($Q$12="CO1",Q54,0)+IF($R$12="CO1",R54,0)+IF($S$12="CO1",S54,0)+IF($T$12="CO1",T54,0)</f>
        <v>0</v>
      </c>
      <c r="W54" s="13">
        <f>IF($D$12="CO2",D54,0)+IF($E$12="CO2",E54,0)+IF($F$12="CO2",F54,0)+IF($G$12="CO2",G54,0)+IF($H$12="CO2",H54,0)+IF($I$12="CO2",I54,0)+IF($J$12="CO2",J54,0)+IF($K$12="CO2",K54,0)+IF($L$12="CO2",L54,0)+IF($M$12="CO2",M54,0)+IF($N$12="CO2",N54,0)+IF($O$12="CO2",O54,0)+IF($P$12="CO2",P54,0)+IF($Q$12="CO2",Q54,0)+IF($R$12="CO2",R54,0)+IF($S$12="CO2",S54,0)+IF($T$12="CO2",T54,0)</f>
        <v>0</v>
      </c>
      <c r="X54" s="13">
        <f>IF($D$12="CO3",D54,0)+IF($E$12="CO3",E54,0)+IF($F$12="CO3",F54,0)+IF($G$12="CO3",G54,0)+IF($H$12="CO3",H54,0)+IF($I$12="CO3",I54,0)+IF($J$12="CO3",J54,0)+IF($K$12="CO3",K54,0)+IF($L$12="CO3",L54,0)+IF($M$12="CO3",M54,0)+IF($N$12="CO3",N54,0)+IF($O$12="CO3",O54,0)+IF($P$12="CO3",P54,0)+IF($Q$12="CO3",Q54,0)+IF($R$12="CO3",R54,0)+IF($S$12="CO3",S54,0)+IF($T$12="CO3",T54,0)</f>
        <v>0</v>
      </c>
      <c r="Y54" s="13">
        <f>IF($D$12="CO4",D54,0)+IF($E$12="CO4",E54,0)+IF($F$12="CO4",F54,0)+IF($G$12="CO4",G54,0)+IF($H$12="CO4",H54,0)+IF($I$12="CO4",I54,0)+IF($J$12="CO4",J54,0)+IF($K$12="CO4",K54,0)+IF($L$12="CO4",L54,0)+IF($M$12="CO4",M54,0)+IF($N$12="CO4",N54,0)+IF($O$12="CO4",O54,0)+IF($P$12="CO4",P54,0)+IF($Q$12="CO4",Q54,0)+IF($R$12="CO4",R54,0)+IF($S$12="CO4",S54,0)+IF($T$12="CO4",T54,0)</f>
        <v>0</v>
      </c>
      <c r="Z54" s="13">
        <f>IF($D$12="CO5",D54,0)+IF($E$12="CO5",E54,0)+IF($F$12="CO5",F54,0)+IF($G$12="CO5",G54,0)+IF($H$12="CO5",H54,0)+IF($I$12="CO5",I54,0)+IF($J$12="CO5",J54,0)+IF($K$12="CO5",K54,0)+IF($L$12="CO5",L54,0)+IF($M$12="CO5",M54,0)+IF($N$12="CO5",N54,0)+IF($O$12="CO5",O54,0)+IF($P$12="CO5",P54,0)+IF($Q$12="CO5",Q54,0)+IF($R$12="CO5",R54,0)+IF($S$12="CO5",S54,0)+IF($T$12="CO5",T54,0)</f>
        <v>0</v>
      </c>
      <c r="AA54" s="13">
        <f>IF($D$12="CO6",D54,0)+IF($E$12="CO6",E54,0)+IF($F$12="CO6",F54,0)+IF($G$12="CO6",G54,0)+IF($H$12="CO6",H54,0)+IF($I$12="CO6",I54,0)+IF($J$12="CO6",J54,0)+IF($K$12="CO6",K54,0)+IF($L$12="CO6",L54,0)+IF($M$12="CO6",M54,0)+IF($N$12="CO6",N54,0)+IF($O$12="CO6",O54,0)+IF($P$12="CO6",P54,0)+IF($Q$12="CO6",Q54,0)+IF($R$12="CO6",R54,0)+IF($S$12="CO6",S54,0)+IF($T$12="CO6",T54,0)</f>
        <v>0</v>
      </c>
      <c r="AB54" s="13">
        <f>IF($D$12="CO7",D54,0)+IF($E$12="CO7",E54,0)+IF($F$12="CO7",F54,0)+IF($G$12="CO7",G54,0)+IF($H$12="CO7",H54,0)+IF($I$12="CO7",I54,0)+IF($J$12="CO7",J54,0)+IF($K$12="CO7",K54,0)+IF($L$12="CO7",L54,0)+IF($M$12="CO7",M54,0)+IF($N$12="CO7",N54,0)+IF($O$12="CO7",O54,0)+IF($P$12="CO7",P54,0)+IF($Q$12="CO7",Q54,0)+IF($R$12="CO7",R54,0)+IF($S$12="CO7",S54,0)+IF($T$12="CO7",T54,0)</f>
        <v>0</v>
      </c>
      <c r="AC54" s="13">
        <f t="shared" si="8"/>
        <v>0</v>
      </c>
      <c r="AD54" s="13">
        <f t="shared" si="9"/>
        <v>0</v>
      </c>
      <c r="AE54" s="13">
        <f t="shared" si="10"/>
        <v>0</v>
      </c>
      <c r="AF54" s="13">
        <f t="shared" si="11"/>
        <v>0</v>
      </c>
      <c r="AG54" s="13">
        <f t="shared" si="12"/>
        <v>0</v>
      </c>
      <c r="AH54" s="13" t="e">
        <f t="shared" si="13"/>
        <v>#DIV/0!</v>
      </c>
      <c r="AI54" s="13" t="e">
        <f t="shared" si="14"/>
        <v>#DIV/0!</v>
      </c>
      <c r="AJ54" s="13" t="e">
        <f t="shared" si="15"/>
        <v>#DIV/0!</v>
      </c>
      <c r="AK54" s="13" t="e">
        <f t="shared" si="16"/>
        <v>#DIV/0!</v>
      </c>
      <c r="AL54" s="13" t="e">
        <f t="shared" si="17"/>
        <v>#DIV/0!</v>
      </c>
      <c r="AM54" s="13" t="e">
        <f t="shared" si="18"/>
        <v>#DIV/0!</v>
      </c>
      <c r="AN54" s="13" t="e">
        <f t="shared" si="19"/>
        <v>#DIV/0!</v>
      </c>
      <c r="AO54" s="2" t="e">
        <f t="shared" si="20"/>
        <v>#DIV/0!</v>
      </c>
      <c r="AP54" s="2" t="e">
        <f t="shared" si="21"/>
        <v>#DIV/0!</v>
      </c>
      <c r="AQ54" s="2" t="e">
        <f t="shared" si="22"/>
        <v>#DIV/0!</v>
      </c>
      <c r="AR54" s="2" t="e">
        <f t="shared" si="23"/>
        <v>#DIV/0!</v>
      </c>
      <c r="AS54" s="2" t="e">
        <f t="shared" si="24"/>
        <v>#DIV/0!</v>
      </c>
    </row>
    <row r="55" spans="1:45" ht="20.100000000000001" hidden="1" customHeight="1">
      <c r="A55" s="12">
        <v>0</v>
      </c>
      <c r="B55" s="13">
        <f>'INTERNAL TEST-1  '!B55</f>
        <v>0</v>
      </c>
      <c r="C55" s="64">
        <f>'INTERNAL TEST-1  '!C55</f>
        <v>0</v>
      </c>
      <c r="D55" s="12"/>
      <c r="E55" s="12"/>
      <c r="F55" s="12"/>
      <c r="G55" s="12"/>
      <c r="H55" s="12"/>
      <c r="I55" s="12"/>
      <c r="J55" s="12"/>
      <c r="K55" s="12"/>
      <c r="L55" s="12"/>
      <c r="M55" s="12"/>
      <c r="N55" s="12"/>
      <c r="O55" s="12"/>
      <c r="P55" s="12"/>
      <c r="Q55" s="12"/>
      <c r="R55" s="12"/>
      <c r="S55" s="12"/>
      <c r="T55" s="12"/>
      <c r="U55" s="13">
        <f t="shared" si="25"/>
        <v>0</v>
      </c>
      <c r="V55" s="13">
        <f>IF($D$12="CO1",D55,0)+IF($E$12="CO1",E55,0)+IF($F$12="CO1",F55,0)+IF($G$12="CO1",G55,0)+IF($H$12="CO1",H55,0)+IF($I$12="CO1",I55,0)+IF($J$12="CO1",J55,0)+IF($K$12="CO1",K55,0)+IF($L$12="CO1",L55,0)+IF($M$12="CO1",M55,0)+IF($N$12="CO1",N55,0)+IF($O$12="CO1",O55,0)+IF($P$12="CO1",P55,0)+IF($Q$12="CO1",Q55,0)+IF($R$12="CO1",R55,0)+IF($S$12="CO1",S55,0)+IF($T$12="CO1",T55,0)</f>
        <v>0</v>
      </c>
      <c r="W55" s="13">
        <f>IF($D$12="CO2",D55,0)+IF($E$12="CO2",E55,0)+IF($F$12="CO2",F55,0)+IF($G$12="CO2",G55,0)+IF($H$12="CO2",H55,0)+IF($I$12="CO2",I55,0)+IF($J$12="CO2",J55,0)+IF($K$12="CO2",K55,0)+IF($L$12="CO2",L55,0)+IF($M$12="CO2",M55,0)+IF($N$12="CO2",N55,0)+IF($O$12="CO2",O55,0)+IF($P$12="CO2",P55,0)+IF($Q$12="CO2",Q55,0)+IF($R$12="CO2",R55,0)+IF($S$12="CO2",S55,0)+IF($T$12="CO2",T55,0)</f>
        <v>0</v>
      </c>
      <c r="X55" s="13">
        <f>IF($D$12="CO3",D55,0)+IF($E$12="CO3",E55,0)+IF($F$12="CO3",F55,0)+IF($G$12="CO3",G55,0)+IF($H$12="CO3",H55,0)+IF($I$12="CO3",I55,0)+IF($J$12="CO3",J55,0)+IF($K$12="CO3",K55,0)+IF($L$12="CO3",L55,0)+IF($M$12="CO3",M55,0)+IF($N$12="CO3",N55,0)+IF($O$12="CO3",O55,0)+IF($P$12="CO3",P55,0)+IF($Q$12="CO3",Q55,0)+IF($R$12="CO3",R55,0)+IF($S$12="CO3",S55,0)+IF($T$12="CO3",T55,0)</f>
        <v>0</v>
      </c>
      <c r="Y55" s="13">
        <f>IF($D$12="CO4",D55,0)+IF($E$12="CO4",E55,0)+IF($F$12="CO4",F55,0)+IF($G$12="CO4",G55,0)+IF($H$12="CO4",H55,0)+IF($I$12="CO4",I55,0)+IF($J$12="CO4",J55,0)+IF($K$12="CO4",K55,0)+IF($L$12="CO4",L55,0)+IF($M$12="CO4",M55,0)+IF($N$12="CO4",N55,0)+IF($O$12="CO4",O55,0)+IF($P$12="CO4",P55,0)+IF($Q$12="CO4",Q55,0)+IF($R$12="CO4",R55,0)+IF($S$12="CO4",S55,0)+IF($T$12="CO4",T55,0)</f>
        <v>0</v>
      </c>
      <c r="Z55" s="13">
        <f>IF($D$12="CO5",D55,0)+IF($E$12="CO5",E55,0)+IF($F$12="CO5",F55,0)+IF($G$12="CO5",G55,0)+IF($H$12="CO5",H55,0)+IF($I$12="CO5",I55,0)+IF($J$12="CO5",J55,0)+IF($K$12="CO5",K55,0)+IF($L$12="CO5",L55,0)+IF($M$12="CO5",M55,0)+IF($N$12="CO5",N55,0)+IF($O$12="CO5",O55,0)+IF($P$12="CO5",P55,0)+IF($Q$12="CO5",Q55,0)+IF($R$12="CO5",R55,0)+IF($S$12="CO5",S55,0)+IF($T$12="CO5",T55,0)</f>
        <v>0</v>
      </c>
      <c r="AA55" s="13">
        <f>IF($D$12="CO6",D55,0)+IF($E$12="CO6",E55,0)+IF($F$12="CO6",F55,0)+IF($G$12="CO6",G55,0)+IF($H$12="CO6",H55,0)+IF($I$12="CO6",I55,0)+IF($J$12="CO6",J55,0)+IF($K$12="CO6",K55,0)+IF($L$12="CO6",L55,0)+IF($M$12="CO6",M55,0)+IF($N$12="CO6",N55,0)+IF($O$12="CO6",O55,0)+IF($P$12="CO6",P55,0)+IF($Q$12="CO6",Q55,0)+IF($R$12="CO6",R55,0)+IF($S$12="CO6",S55,0)+IF($T$12="CO6",T55,0)</f>
        <v>0</v>
      </c>
      <c r="AB55" s="13">
        <f>IF($D$12="CO7",D55,0)+IF($E$12="CO7",E55,0)+IF($F$12="CO7",F55,0)+IF($G$12="CO7",G55,0)+IF($H$12="CO7",H55,0)+IF($I$12="CO7",I55,0)+IF($J$12="CO7",J55,0)+IF($K$12="CO7",K55,0)+IF($L$12="CO7",L55,0)+IF($M$12="CO7",M55,0)+IF($N$12="CO7",N55,0)+IF($O$12="CO7",O55,0)+IF($P$12="CO7",P55,0)+IF($Q$12="CO7",Q55,0)+IF($R$12="CO7",R55,0)+IF($S$12="CO7",S55,0)+IF($T$12="CO7",T55,0)</f>
        <v>0</v>
      </c>
      <c r="AC55" s="13">
        <f t="shared" si="8"/>
        <v>0</v>
      </c>
      <c r="AD55" s="13">
        <f t="shared" si="9"/>
        <v>0</v>
      </c>
      <c r="AE55" s="13">
        <f t="shared" si="10"/>
        <v>0</v>
      </c>
      <c r="AF55" s="13">
        <f t="shared" si="11"/>
        <v>0</v>
      </c>
      <c r="AG55" s="13">
        <f t="shared" si="12"/>
        <v>0</v>
      </c>
      <c r="AH55" s="13" t="e">
        <f t="shared" si="13"/>
        <v>#DIV/0!</v>
      </c>
      <c r="AI55" s="13" t="e">
        <f t="shared" si="14"/>
        <v>#DIV/0!</v>
      </c>
      <c r="AJ55" s="13" t="e">
        <f t="shared" si="15"/>
        <v>#DIV/0!</v>
      </c>
      <c r="AK55" s="13" t="e">
        <f t="shared" si="16"/>
        <v>#DIV/0!</v>
      </c>
      <c r="AL55" s="13" t="e">
        <f t="shared" si="17"/>
        <v>#DIV/0!</v>
      </c>
      <c r="AM55" s="13" t="e">
        <f t="shared" si="18"/>
        <v>#DIV/0!</v>
      </c>
      <c r="AN55" s="13" t="e">
        <f t="shared" si="19"/>
        <v>#DIV/0!</v>
      </c>
      <c r="AO55" s="2" t="e">
        <f t="shared" si="20"/>
        <v>#DIV/0!</v>
      </c>
      <c r="AP55" s="2" t="e">
        <f t="shared" si="21"/>
        <v>#DIV/0!</v>
      </c>
      <c r="AQ55" s="2" t="e">
        <f t="shared" si="22"/>
        <v>#DIV/0!</v>
      </c>
      <c r="AR55" s="2" t="e">
        <f t="shared" si="23"/>
        <v>#DIV/0!</v>
      </c>
      <c r="AS55" s="2" t="e">
        <f t="shared" si="24"/>
        <v>#DIV/0!</v>
      </c>
    </row>
    <row r="56" spans="1:45" ht="20.100000000000001" hidden="1" customHeight="1">
      <c r="A56" s="12">
        <v>0</v>
      </c>
      <c r="B56" s="13">
        <f>'INTERNAL TEST-1  '!B56</f>
        <v>0</v>
      </c>
      <c r="C56" s="64">
        <f>'INTERNAL TEST-1  '!C56</f>
        <v>0</v>
      </c>
      <c r="D56" s="12"/>
      <c r="E56" s="12"/>
      <c r="F56" s="12"/>
      <c r="G56" s="12"/>
      <c r="H56" s="12"/>
      <c r="I56" s="12"/>
      <c r="J56" s="12"/>
      <c r="K56" s="12"/>
      <c r="L56" s="12"/>
      <c r="M56" s="12"/>
      <c r="N56" s="12"/>
      <c r="O56" s="12"/>
      <c r="P56" s="12"/>
      <c r="Q56" s="12"/>
      <c r="R56" s="12"/>
      <c r="S56" s="12"/>
      <c r="T56" s="12"/>
      <c r="U56" s="13">
        <f t="shared" si="25"/>
        <v>0</v>
      </c>
      <c r="V56" s="13">
        <f t="shared" si="1"/>
        <v>0</v>
      </c>
      <c r="W56" s="13">
        <f t="shared" si="2"/>
        <v>0</v>
      </c>
      <c r="X56" s="13">
        <f t="shared" si="3"/>
        <v>0</v>
      </c>
      <c r="Y56" s="13">
        <f t="shared" si="4"/>
        <v>0</v>
      </c>
      <c r="Z56" s="13">
        <f t="shared" si="5"/>
        <v>0</v>
      </c>
      <c r="AA56" s="13">
        <f t="shared" si="6"/>
        <v>0</v>
      </c>
      <c r="AB56" s="13">
        <f t="shared" si="7"/>
        <v>0</v>
      </c>
      <c r="AC56" s="13">
        <f t="shared" si="8"/>
        <v>0</v>
      </c>
      <c r="AD56" s="13">
        <f t="shared" si="9"/>
        <v>0</v>
      </c>
      <c r="AE56" s="13">
        <f t="shared" si="10"/>
        <v>0</v>
      </c>
      <c r="AF56" s="13">
        <f t="shared" si="11"/>
        <v>0</v>
      </c>
      <c r="AG56" s="13">
        <f t="shared" si="12"/>
        <v>0</v>
      </c>
      <c r="AH56" s="13" t="e">
        <f t="shared" si="13"/>
        <v>#DIV/0!</v>
      </c>
      <c r="AI56" s="13" t="e">
        <f t="shared" si="14"/>
        <v>#DIV/0!</v>
      </c>
      <c r="AJ56" s="13" t="e">
        <f t="shared" si="15"/>
        <v>#DIV/0!</v>
      </c>
      <c r="AK56" s="13" t="e">
        <f t="shared" si="16"/>
        <v>#DIV/0!</v>
      </c>
      <c r="AL56" s="13" t="e">
        <f t="shared" si="17"/>
        <v>#DIV/0!</v>
      </c>
      <c r="AM56" s="13" t="e">
        <f t="shared" si="18"/>
        <v>#DIV/0!</v>
      </c>
      <c r="AN56" s="13" t="e">
        <f t="shared" si="19"/>
        <v>#DIV/0!</v>
      </c>
      <c r="AO56" s="2" t="e">
        <f t="shared" si="20"/>
        <v>#DIV/0!</v>
      </c>
      <c r="AP56" s="2" t="e">
        <f t="shared" si="21"/>
        <v>#DIV/0!</v>
      </c>
      <c r="AQ56" s="2" t="e">
        <f t="shared" si="22"/>
        <v>#DIV/0!</v>
      </c>
      <c r="AR56" s="2" t="e">
        <f t="shared" si="23"/>
        <v>#DIV/0!</v>
      </c>
      <c r="AS56" s="2" t="e">
        <f t="shared" si="24"/>
        <v>#DIV/0!</v>
      </c>
    </row>
    <row r="57" spans="1:45" ht="20.100000000000001" hidden="1" customHeight="1">
      <c r="A57" s="12">
        <v>0</v>
      </c>
      <c r="B57" s="13">
        <f>'INTERNAL TEST-1  '!B57</f>
        <v>0</v>
      </c>
      <c r="C57" s="64">
        <f>'INTERNAL TEST-1  '!C57</f>
        <v>0</v>
      </c>
      <c r="D57" s="12"/>
      <c r="E57" s="12"/>
      <c r="F57" s="12"/>
      <c r="G57" s="12"/>
      <c r="H57" s="12"/>
      <c r="I57" s="12"/>
      <c r="J57" s="12"/>
      <c r="K57" s="12"/>
      <c r="L57" s="12"/>
      <c r="M57" s="12"/>
      <c r="N57" s="12"/>
      <c r="O57" s="12"/>
      <c r="P57" s="12"/>
      <c r="Q57" s="12"/>
      <c r="R57" s="12"/>
      <c r="S57" s="12"/>
      <c r="T57" s="12"/>
      <c r="U57" s="13">
        <f t="shared" si="25"/>
        <v>0</v>
      </c>
      <c r="V57" s="13">
        <f t="shared" si="1"/>
        <v>0</v>
      </c>
      <c r="W57" s="13">
        <f t="shared" si="2"/>
        <v>0</v>
      </c>
      <c r="X57" s="13">
        <f t="shared" si="3"/>
        <v>0</v>
      </c>
      <c r="Y57" s="13">
        <f t="shared" si="4"/>
        <v>0</v>
      </c>
      <c r="Z57" s="13">
        <f t="shared" si="5"/>
        <v>0</v>
      </c>
      <c r="AA57" s="13">
        <f t="shared" si="6"/>
        <v>0</v>
      </c>
      <c r="AB57" s="13">
        <f t="shared" si="7"/>
        <v>0</v>
      </c>
      <c r="AC57" s="13">
        <f t="shared" si="8"/>
        <v>0</v>
      </c>
      <c r="AD57" s="13">
        <f t="shared" si="9"/>
        <v>0</v>
      </c>
      <c r="AE57" s="13">
        <f t="shared" si="10"/>
        <v>0</v>
      </c>
      <c r="AF57" s="13">
        <f t="shared" si="11"/>
        <v>0</v>
      </c>
      <c r="AG57" s="13">
        <f t="shared" si="12"/>
        <v>0</v>
      </c>
      <c r="AH57" s="13" t="e">
        <f t="shared" si="13"/>
        <v>#DIV/0!</v>
      </c>
      <c r="AI57" s="13" t="e">
        <f t="shared" si="14"/>
        <v>#DIV/0!</v>
      </c>
      <c r="AJ57" s="13" t="e">
        <f t="shared" si="15"/>
        <v>#DIV/0!</v>
      </c>
      <c r="AK57" s="13" t="e">
        <f t="shared" si="16"/>
        <v>#DIV/0!</v>
      </c>
      <c r="AL57" s="13" t="e">
        <f t="shared" si="17"/>
        <v>#DIV/0!</v>
      </c>
      <c r="AM57" s="13" t="e">
        <f t="shared" si="18"/>
        <v>#DIV/0!</v>
      </c>
      <c r="AN57" s="13" t="e">
        <f t="shared" si="19"/>
        <v>#DIV/0!</v>
      </c>
      <c r="AO57" s="2" t="e">
        <f t="shared" si="20"/>
        <v>#DIV/0!</v>
      </c>
      <c r="AP57" s="2" t="e">
        <f t="shared" si="21"/>
        <v>#DIV/0!</v>
      </c>
      <c r="AQ57" s="2" t="e">
        <f t="shared" si="22"/>
        <v>#DIV/0!</v>
      </c>
      <c r="AR57" s="2" t="e">
        <f t="shared" si="23"/>
        <v>#DIV/0!</v>
      </c>
      <c r="AS57" s="2" t="e">
        <f t="shared" si="24"/>
        <v>#DIV/0!</v>
      </c>
    </row>
    <row r="58" spans="1:45" ht="20.100000000000001" hidden="1" customHeight="1">
      <c r="A58" s="12">
        <v>0</v>
      </c>
      <c r="B58" s="13">
        <f>'INTERNAL TEST-1  '!B58</f>
        <v>0</v>
      </c>
      <c r="C58" s="64">
        <f>'INTERNAL TEST-1  '!C58</f>
        <v>0</v>
      </c>
      <c r="D58" s="12"/>
      <c r="E58" s="12"/>
      <c r="F58" s="12"/>
      <c r="G58" s="12"/>
      <c r="H58" s="12"/>
      <c r="I58" s="12"/>
      <c r="J58" s="12"/>
      <c r="K58" s="12"/>
      <c r="L58" s="12"/>
      <c r="M58" s="12"/>
      <c r="N58" s="12"/>
      <c r="O58" s="12"/>
      <c r="P58" s="12"/>
      <c r="Q58" s="12"/>
      <c r="R58" s="12"/>
      <c r="S58" s="12"/>
      <c r="T58" s="12"/>
      <c r="U58" s="13">
        <f t="shared" si="25"/>
        <v>0</v>
      </c>
      <c r="V58" s="13">
        <f t="shared" si="1"/>
        <v>0</v>
      </c>
      <c r="W58" s="13">
        <f t="shared" si="2"/>
        <v>0</v>
      </c>
      <c r="X58" s="13">
        <f t="shared" si="3"/>
        <v>0</v>
      </c>
      <c r="Y58" s="13">
        <f t="shared" si="4"/>
        <v>0</v>
      </c>
      <c r="Z58" s="13">
        <f t="shared" si="5"/>
        <v>0</v>
      </c>
      <c r="AA58" s="13">
        <f t="shared" si="6"/>
        <v>0</v>
      </c>
      <c r="AB58" s="13">
        <f t="shared" si="7"/>
        <v>0</v>
      </c>
      <c r="AC58" s="13">
        <f t="shared" si="8"/>
        <v>0</v>
      </c>
      <c r="AD58" s="13">
        <f t="shared" si="9"/>
        <v>0</v>
      </c>
      <c r="AE58" s="13">
        <f t="shared" si="10"/>
        <v>0</v>
      </c>
      <c r="AF58" s="13">
        <f t="shared" si="11"/>
        <v>0</v>
      </c>
      <c r="AG58" s="13">
        <f t="shared" si="12"/>
        <v>0</v>
      </c>
      <c r="AH58" s="13" t="e">
        <f t="shared" si="13"/>
        <v>#DIV/0!</v>
      </c>
      <c r="AI58" s="13" t="e">
        <f t="shared" si="14"/>
        <v>#DIV/0!</v>
      </c>
      <c r="AJ58" s="13" t="e">
        <f t="shared" si="15"/>
        <v>#DIV/0!</v>
      </c>
      <c r="AK58" s="13" t="e">
        <f t="shared" si="16"/>
        <v>#DIV/0!</v>
      </c>
      <c r="AL58" s="13" t="e">
        <f t="shared" si="17"/>
        <v>#DIV/0!</v>
      </c>
      <c r="AM58" s="13" t="e">
        <f t="shared" si="18"/>
        <v>#DIV/0!</v>
      </c>
      <c r="AN58" s="13" t="e">
        <f t="shared" si="19"/>
        <v>#DIV/0!</v>
      </c>
      <c r="AO58" s="2" t="e">
        <f t="shared" si="20"/>
        <v>#DIV/0!</v>
      </c>
      <c r="AP58" s="2" t="e">
        <f t="shared" si="21"/>
        <v>#DIV/0!</v>
      </c>
      <c r="AQ58" s="2" t="e">
        <f t="shared" si="22"/>
        <v>#DIV/0!</v>
      </c>
      <c r="AR58" s="2" t="e">
        <f t="shared" si="23"/>
        <v>#DIV/0!</v>
      </c>
      <c r="AS58" s="2" t="e">
        <f t="shared" si="24"/>
        <v>#DIV/0!</v>
      </c>
    </row>
    <row r="59" spans="1:45" ht="20.100000000000001" hidden="1" customHeight="1">
      <c r="A59" s="12">
        <v>0</v>
      </c>
      <c r="B59" s="13">
        <f>'INTERNAL TEST-1  '!B59</f>
        <v>0</v>
      </c>
      <c r="C59" s="64">
        <f>'INTERNAL TEST-1  '!C59</f>
        <v>0</v>
      </c>
      <c r="D59" s="12"/>
      <c r="E59" s="12"/>
      <c r="F59" s="12"/>
      <c r="G59" s="12"/>
      <c r="H59" s="12"/>
      <c r="I59" s="12"/>
      <c r="J59" s="12"/>
      <c r="K59" s="12"/>
      <c r="L59" s="12"/>
      <c r="M59" s="12"/>
      <c r="N59" s="12"/>
      <c r="O59" s="12"/>
      <c r="P59" s="12"/>
      <c r="Q59" s="12"/>
      <c r="R59" s="12"/>
      <c r="S59" s="12"/>
      <c r="T59" s="12"/>
      <c r="U59" s="13">
        <f t="shared" si="25"/>
        <v>0</v>
      </c>
      <c r="V59" s="13">
        <f t="shared" si="1"/>
        <v>0</v>
      </c>
      <c r="W59" s="13">
        <f t="shared" si="2"/>
        <v>0</v>
      </c>
      <c r="X59" s="13">
        <f t="shared" si="3"/>
        <v>0</v>
      </c>
      <c r="Y59" s="13">
        <f t="shared" si="4"/>
        <v>0</v>
      </c>
      <c r="Z59" s="13">
        <f t="shared" si="5"/>
        <v>0</v>
      </c>
      <c r="AA59" s="13">
        <f t="shared" si="6"/>
        <v>0</v>
      </c>
      <c r="AB59" s="13">
        <f t="shared" si="7"/>
        <v>0</v>
      </c>
      <c r="AC59" s="13">
        <f t="shared" si="8"/>
        <v>0</v>
      </c>
      <c r="AD59" s="13">
        <f t="shared" si="9"/>
        <v>0</v>
      </c>
      <c r="AE59" s="13">
        <f t="shared" si="10"/>
        <v>0</v>
      </c>
      <c r="AF59" s="13">
        <f t="shared" si="11"/>
        <v>0</v>
      </c>
      <c r="AG59" s="13">
        <f t="shared" si="12"/>
        <v>0</v>
      </c>
      <c r="AH59" s="13" t="e">
        <f t="shared" si="13"/>
        <v>#DIV/0!</v>
      </c>
      <c r="AI59" s="13" t="e">
        <f t="shared" si="14"/>
        <v>#DIV/0!</v>
      </c>
      <c r="AJ59" s="13" t="e">
        <f t="shared" si="15"/>
        <v>#DIV/0!</v>
      </c>
      <c r="AK59" s="13" t="e">
        <f t="shared" si="16"/>
        <v>#DIV/0!</v>
      </c>
      <c r="AL59" s="13" t="e">
        <f t="shared" si="17"/>
        <v>#DIV/0!</v>
      </c>
      <c r="AM59" s="13" t="e">
        <f t="shared" si="18"/>
        <v>#DIV/0!</v>
      </c>
      <c r="AN59" s="13" t="e">
        <f t="shared" si="19"/>
        <v>#DIV/0!</v>
      </c>
      <c r="AO59" s="2" t="e">
        <f t="shared" si="20"/>
        <v>#DIV/0!</v>
      </c>
      <c r="AP59" s="2" t="e">
        <f t="shared" si="21"/>
        <v>#DIV/0!</v>
      </c>
      <c r="AQ59" s="2" t="e">
        <f t="shared" si="22"/>
        <v>#DIV/0!</v>
      </c>
      <c r="AR59" s="2" t="e">
        <f t="shared" si="23"/>
        <v>#DIV/0!</v>
      </c>
      <c r="AS59" s="2" t="e">
        <f t="shared" si="24"/>
        <v>#DIV/0!</v>
      </c>
    </row>
    <row r="60" spans="1:45" ht="20.100000000000001" hidden="1" customHeight="1">
      <c r="A60" s="12">
        <v>0</v>
      </c>
      <c r="B60" s="13">
        <f>'INTERNAL TEST-1  '!B60</f>
        <v>0</v>
      </c>
      <c r="C60" s="64">
        <f>'INTERNAL TEST-1  '!C60</f>
        <v>0</v>
      </c>
      <c r="D60" s="12"/>
      <c r="E60" s="12"/>
      <c r="F60" s="12"/>
      <c r="G60" s="12"/>
      <c r="H60" s="12"/>
      <c r="I60" s="12"/>
      <c r="J60" s="12"/>
      <c r="K60" s="12"/>
      <c r="L60" s="12"/>
      <c r="M60" s="12"/>
      <c r="N60" s="12"/>
      <c r="O60" s="12"/>
      <c r="P60" s="12"/>
      <c r="Q60" s="12"/>
      <c r="R60" s="12"/>
      <c r="S60" s="12"/>
      <c r="T60" s="12"/>
      <c r="U60" s="13">
        <f t="shared" si="25"/>
        <v>0</v>
      </c>
      <c r="V60" s="13">
        <f t="shared" si="1"/>
        <v>0</v>
      </c>
      <c r="W60" s="13">
        <f t="shared" si="2"/>
        <v>0</v>
      </c>
      <c r="X60" s="13">
        <f t="shared" si="3"/>
        <v>0</v>
      </c>
      <c r="Y60" s="13">
        <f t="shared" si="4"/>
        <v>0</v>
      </c>
      <c r="Z60" s="13">
        <f t="shared" si="5"/>
        <v>0</v>
      </c>
      <c r="AA60" s="13">
        <f t="shared" si="6"/>
        <v>0</v>
      </c>
      <c r="AB60" s="13">
        <f t="shared" si="7"/>
        <v>0</v>
      </c>
      <c r="AC60" s="13">
        <f t="shared" si="8"/>
        <v>0</v>
      </c>
      <c r="AD60" s="13">
        <f t="shared" si="9"/>
        <v>0</v>
      </c>
      <c r="AE60" s="13">
        <f t="shared" si="10"/>
        <v>0</v>
      </c>
      <c r="AF60" s="13">
        <f t="shared" si="11"/>
        <v>0</v>
      </c>
      <c r="AG60" s="13">
        <f t="shared" si="12"/>
        <v>0</v>
      </c>
      <c r="AH60" s="13" t="e">
        <f t="shared" si="13"/>
        <v>#DIV/0!</v>
      </c>
      <c r="AI60" s="13" t="e">
        <f t="shared" si="14"/>
        <v>#DIV/0!</v>
      </c>
      <c r="AJ60" s="13" t="e">
        <f t="shared" si="15"/>
        <v>#DIV/0!</v>
      </c>
      <c r="AK60" s="13" t="e">
        <f t="shared" si="16"/>
        <v>#DIV/0!</v>
      </c>
      <c r="AL60" s="13" t="e">
        <f t="shared" si="17"/>
        <v>#DIV/0!</v>
      </c>
      <c r="AM60" s="13" t="e">
        <f t="shared" si="18"/>
        <v>#DIV/0!</v>
      </c>
      <c r="AN60" s="13" t="e">
        <f t="shared" si="19"/>
        <v>#DIV/0!</v>
      </c>
      <c r="AO60" s="2" t="e">
        <f t="shared" si="20"/>
        <v>#DIV/0!</v>
      </c>
      <c r="AP60" s="2" t="e">
        <f t="shared" si="21"/>
        <v>#DIV/0!</v>
      </c>
      <c r="AQ60" s="2" t="e">
        <f t="shared" si="22"/>
        <v>#DIV/0!</v>
      </c>
      <c r="AR60" s="2" t="e">
        <f t="shared" si="23"/>
        <v>#DIV/0!</v>
      </c>
      <c r="AS60" s="2" t="e">
        <f t="shared" si="24"/>
        <v>#DIV/0!</v>
      </c>
    </row>
    <row r="61" spans="1:45" ht="20.100000000000001" hidden="1" customHeight="1">
      <c r="A61" s="12">
        <v>0</v>
      </c>
      <c r="B61" s="13">
        <f>'INTERNAL TEST-1  '!B61</f>
        <v>0</v>
      </c>
      <c r="C61" s="64">
        <f>'INTERNAL TEST-1  '!C61</f>
        <v>0</v>
      </c>
      <c r="D61" s="12"/>
      <c r="E61" s="12"/>
      <c r="F61" s="12"/>
      <c r="G61" s="12"/>
      <c r="H61" s="12"/>
      <c r="I61" s="12"/>
      <c r="J61" s="12"/>
      <c r="K61" s="12"/>
      <c r="L61" s="12"/>
      <c r="M61" s="12"/>
      <c r="N61" s="12"/>
      <c r="O61" s="12"/>
      <c r="P61" s="12"/>
      <c r="Q61" s="12"/>
      <c r="R61" s="12"/>
      <c r="S61" s="12"/>
      <c r="T61" s="12"/>
      <c r="U61" s="13">
        <f t="shared" si="25"/>
        <v>0</v>
      </c>
      <c r="V61" s="13">
        <f t="shared" si="1"/>
        <v>0</v>
      </c>
      <c r="W61" s="13">
        <f t="shared" si="2"/>
        <v>0</v>
      </c>
      <c r="X61" s="13">
        <f t="shared" si="3"/>
        <v>0</v>
      </c>
      <c r="Y61" s="13">
        <f t="shared" si="4"/>
        <v>0</v>
      </c>
      <c r="Z61" s="13">
        <f t="shared" si="5"/>
        <v>0</v>
      </c>
      <c r="AA61" s="13">
        <f t="shared" si="6"/>
        <v>0</v>
      </c>
      <c r="AB61" s="13">
        <f t="shared" si="7"/>
        <v>0</v>
      </c>
      <c r="AC61" s="13">
        <f t="shared" si="8"/>
        <v>0</v>
      </c>
      <c r="AD61" s="13">
        <f t="shared" si="9"/>
        <v>0</v>
      </c>
      <c r="AE61" s="13">
        <f t="shared" si="10"/>
        <v>0</v>
      </c>
      <c r="AF61" s="13">
        <f t="shared" si="11"/>
        <v>0</v>
      </c>
      <c r="AG61" s="13">
        <f t="shared" si="12"/>
        <v>0</v>
      </c>
      <c r="AH61" s="13" t="e">
        <f t="shared" si="13"/>
        <v>#DIV/0!</v>
      </c>
      <c r="AI61" s="13" t="e">
        <f t="shared" si="14"/>
        <v>#DIV/0!</v>
      </c>
      <c r="AJ61" s="13" t="e">
        <f t="shared" si="15"/>
        <v>#DIV/0!</v>
      </c>
      <c r="AK61" s="13" t="e">
        <f t="shared" si="16"/>
        <v>#DIV/0!</v>
      </c>
      <c r="AL61" s="13" t="e">
        <f t="shared" si="17"/>
        <v>#DIV/0!</v>
      </c>
      <c r="AM61" s="13" t="e">
        <f t="shared" si="18"/>
        <v>#DIV/0!</v>
      </c>
      <c r="AN61" s="13" t="e">
        <f t="shared" si="19"/>
        <v>#DIV/0!</v>
      </c>
      <c r="AO61" s="2" t="e">
        <f t="shared" si="20"/>
        <v>#DIV/0!</v>
      </c>
      <c r="AP61" s="2" t="e">
        <f t="shared" si="21"/>
        <v>#DIV/0!</v>
      </c>
      <c r="AQ61" s="2" t="e">
        <f t="shared" si="22"/>
        <v>#DIV/0!</v>
      </c>
      <c r="AR61" s="2" t="e">
        <f t="shared" si="23"/>
        <v>#DIV/0!</v>
      </c>
      <c r="AS61" s="2" t="e">
        <f t="shared" si="24"/>
        <v>#DIV/0!</v>
      </c>
    </row>
    <row r="62" spans="1:45" ht="20.100000000000001" hidden="1" customHeight="1">
      <c r="A62" s="12">
        <v>0</v>
      </c>
      <c r="B62" s="13">
        <f>'INTERNAL TEST-1  '!B62</f>
        <v>0</v>
      </c>
      <c r="C62" s="64">
        <f>'INTERNAL TEST-1  '!C62</f>
        <v>0</v>
      </c>
      <c r="D62" s="12"/>
      <c r="E62" s="12"/>
      <c r="F62" s="12"/>
      <c r="G62" s="12"/>
      <c r="H62" s="12"/>
      <c r="I62" s="12"/>
      <c r="J62" s="12"/>
      <c r="K62" s="12"/>
      <c r="L62" s="12"/>
      <c r="M62" s="12"/>
      <c r="N62" s="12"/>
      <c r="O62" s="12"/>
      <c r="P62" s="12"/>
      <c r="Q62" s="12"/>
      <c r="R62" s="12"/>
      <c r="S62" s="12"/>
      <c r="T62" s="12"/>
      <c r="U62" s="13">
        <f t="shared" si="25"/>
        <v>0</v>
      </c>
      <c r="V62" s="13">
        <f t="shared" si="1"/>
        <v>0</v>
      </c>
      <c r="W62" s="13">
        <f t="shared" si="2"/>
        <v>0</v>
      </c>
      <c r="X62" s="13">
        <f t="shared" si="3"/>
        <v>0</v>
      </c>
      <c r="Y62" s="13">
        <f t="shared" si="4"/>
        <v>0</v>
      </c>
      <c r="Z62" s="13">
        <f t="shared" si="5"/>
        <v>0</v>
      </c>
      <c r="AA62" s="13">
        <f t="shared" si="6"/>
        <v>0</v>
      </c>
      <c r="AB62" s="13">
        <f t="shared" si="7"/>
        <v>0</v>
      </c>
      <c r="AC62" s="13">
        <f t="shared" si="8"/>
        <v>0</v>
      </c>
      <c r="AD62" s="13">
        <f t="shared" si="9"/>
        <v>0</v>
      </c>
      <c r="AE62" s="13">
        <f t="shared" si="10"/>
        <v>0</v>
      </c>
      <c r="AF62" s="13">
        <f t="shared" si="11"/>
        <v>0</v>
      </c>
      <c r="AG62" s="13">
        <f t="shared" si="12"/>
        <v>0</v>
      </c>
      <c r="AH62" s="13" t="e">
        <f t="shared" si="13"/>
        <v>#DIV/0!</v>
      </c>
      <c r="AI62" s="13" t="e">
        <f t="shared" si="14"/>
        <v>#DIV/0!</v>
      </c>
      <c r="AJ62" s="13" t="e">
        <f t="shared" si="15"/>
        <v>#DIV/0!</v>
      </c>
      <c r="AK62" s="13" t="e">
        <f t="shared" si="16"/>
        <v>#DIV/0!</v>
      </c>
      <c r="AL62" s="13" t="e">
        <f t="shared" si="17"/>
        <v>#DIV/0!</v>
      </c>
      <c r="AM62" s="13" t="e">
        <f t="shared" si="18"/>
        <v>#DIV/0!</v>
      </c>
      <c r="AN62" s="13" t="e">
        <f t="shared" si="19"/>
        <v>#DIV/0!</v>
      </c>
      <c r="AO62" s="2" t="e">
        <f t="shared" si="20"/>
        <v>#DIV/0!</v>
      </c>
      <c r="AP62" s="2" t="e">
        <f t="shared" si="21"/>
        <v>#DIV/0!</v>
      </c>
      <c r="AQ62" s="2" t="e">
        <f t="shared" si="22"/>
        <v>#DIV/0!</v>
      </c>
      <c r="AR62" s="2" t="e">
        <f t="shared" si="23"/>
        <v>#DIV/0!</v>
      </c>
      <c r="AS62" s="2" t="e">
        <f t="shared" si="24"/>
        <v>#DIV/0!</v>
      </c>
    </row>
    <row r="63" spans="1:45" ht="20.100000000000001" hidden="1" customHeight="1">
      <c r="A63" s="12">
        <v>0</v>
      </c>
      <c r="B63" s="13">
        <f>'INTERNAL TEST-1  '!B63</f>
        <v>0</v>
      </c>
      <c r="C63" s="64">
        <f>'INTERNAL TEST-1  '!C63</f>
        <v>0</v>
      </c>
      <c r="D63" s="12"/>
      <c r="E63" s="12"/>
      <c r="F63" s="12"/>
      <c r="G63" s="12"/>
      <c r="H63" s="12"/>
      <c r="I63" s="12"/>
      <c r="J63" s="12"/>
      <c r="K63" s="12"/>
      <c r="L63" s="12"/>
      <c r="M63" s="12"/>
      <c r="N63" s="12"/>
      <c r="O63" s="12"/>
      <c r="P63" s="12"/>
      <c r="Q63" s="12"/>
      <c r="R63" s="12"/>
      <c r="S63" s="12"/>
      <c r="T63" s="12"/>
      <c r="U63" s="13">
        <f t="shared" si="25"/>
        <v>0</v>
      </c>
      <c r="V63" s="13">
        <f t="shared" si="1"/>
        <v>0</v>
      </c>
      <c r="W63" s="13">
        <f t="shared" si="2"/>
        <v>0</v>
      </c>
      <c r="X63" s="13">
        <f t="shared" si="3"/>
        <v>0</v>
      </c>
      <c r="Y63" s="13">
        <f t="shared" si="4"/>
        <v>0</v>
      </c>
      <c r="Z63" s="13">
        <f t="shared" si="5"/>
        <v>0</v>
      </c>
      <c r="AA63" s="13">
        <f t="shared" si="6"/>
        <v>0</v>
      </c>
      <c r="AB63" s="13">
        <f t="shared" si="7"/>
        <v>0</v>
      </c>
      <c r="AC63" s="13">
        <f t="shared" si="8"/>
        <v>0</v>
      </c>
      <c r="AD63" s="13">
        <f t="shared" si="9"/>
        <v>0</v>
      </c>
      <c r="AE63" s="13">
        <f t="shared" si="10"/>
        <v>0</v>
      </c>
      <c r="AF63" s="13">
        <f t="shared" si="11"/>
        <v>0</v>
      </c>
      <c r="AG63" s="13">
        <f t="shared" si="12"/>
        <v>0</v>
      </c>
      <c r="AH63" s="13" t="e">
        <f t="shared" si="13"/>
        <v>#DIV/0!</v>
      </c>
      <c r="AI63" s="13" t="e">
        <f t="shared" si="14"/>
        <v>#DIV/0!</v>
      </c>
      <c r="AJ63" s="13" t="e">
        <f t="shared" si="15"/>
        <v>#DIV/0!</v>
      </c>
      <c r="AK63" s="13" t="e">
        <f t="shared" si="16"/>
        <v>#DIV/0!</v>
      </c>
      <c r="AL63" s="13" t="e">
        <f t="shared" si="17"/>
        <v>#DIV/0!</v>
      </c>
      <c r="AM63" s="13" t="e">
        <f t="shared" si="18"/>
        <v>#DIV/0!</v>
      </c>
      <c r="AN63" s="13" t="e">
        <f t="shared" si="19"/>
        <v>#DIV/0!</v>
      </c>
      <c r="AO63" s="2" t="e">
        <f t="shared" si="20"/>
        <v>#DIV/0!</v>
      </c>
      <c r="AP63" s="2" t="e">
        <f t="shared" si="21"/>
        <v>#DIV/0!</v>
      </c>
      <c r="AQ63" s="2" t="e">
        <f t="shared" si="22"/>
        <v>#DIV/0!</v>
      </c>
      <c r="AR63" s="2" t="e">
        <f t="shared" si="23"/>
        <v>#DIV/0!</v>
      </c>
      <c r="AS63" s="2" t="e">
        <f t="shared" si="24"/>
        <v>#DIV/0!</v>
      </c>
    </row>
    <row r="64" spans="1:45" ht="20.100000000000001" hidden="1" customHeight="1">
      <c r="A64" s="12">
        <v>0</v>
      </c>
      <c r="B64" s="13">
        <f>'INTERNAL TEST-1  '!B64</f>
        <v>0</v>
      </c>
      <c r="C64" s="64">
        <f>'INTERNAL TEST-1  '!C64</f>
        <v>0</v>
      </c>
      <c r="D64" s="12"/>
      <c r="E64" s="12"/>
      <c r="F64" s="12"/>
      <c r="G64" s="12"/>
      <c r="H64" s="12"/>
      <c r="I64" s="12"/>
      <c r="J64" s="12"/>
      <c r="K64" s="12"/>
      <c r="L64" s="12"/>
      <c r="M64" s="12"/>
      <c r="N64" s="12"/>
      <c r="O64" s="12"/>
      <c r="P64" s="12"/>
      <c r="Q64" s="12"/>
      <c r="R64" s="12"/>
      <c r="S64" s="12"/>
      <c r="T64" s="12"/>
      <c r="U64" s="13">
        <f t="shared" si="25"/>
        <v>0</v>
      </c>
      <c r="V64" s="13">
        <f t="shared" si="1"/>
        <v>0</v>
      </c>
      <c r="W64" s="13">
        <f t="shared" si="2"/>
        <v>0</v>
      </c>
      <c r="X64" s="13">
        <f t="shared" si="3"/>
        <v>0</v>
      </c>
      <c r="Y64" s="13">
        <f t="shared" si="4"/>
        <v>0</v>
      </c>
      <c r="Z64" s="13">
        <f t="shared" si="5"/>
        <v>0</v>
      </c>
      <c r="AA64" s="13">
        <f t="shared" si="6"/>
        <v>0</v>
      </c>
      <c r="AB64" s="13">
        <f t="shared" si="7"/>
        <v>0</v>
      </c>
      <c r="AC64" s="13">
        <f t="shared" si="8"/>
        <v>0</v>
      </c>
      <c r="AD64" s="13">
        <f t="shared" si="9"/>
        <v>0</v>
      </c>
      <c r="AE64" s="13">
        <f t="shared" si="10"/>
        <v>0</v>
      </c>
      <c r="AF64" s="13">
        <f t="shared" si="11"/>
        <v>0</v>
      </c>
      <c r="AG64" s="13">
        <f t="shared" si="12"/>
        <v>0</v>
      </c>
      <c r="AH64" s="13" t="e">
        <f t="shared" si="13"/>
        <v>#DIV/0!</v>
      </c>
      <c r="AI64" s="13" t="e">
        <f t="shared" si="14"/>
        <v>#DIV/0!</v>
      </c>
      <c r="AJ64" s="13" t="e">
        <f t="shared" si="15"/>
        <v>#DIV/0!</v>
      </c>
      <c r="AK64" s="13" t="e">
        <f t="shared" si="16"/>
        <v>#DIV/0!</v>
      </c>
      <c r="AL64" s="13" t="e">
        <f t="shared" si="17"/>
        <v>#DIV/0!</v>
      </c>
      <c r="AM64" s="13" t="e">
        <f t="shared" si="18"/>
        <v>#DIV/0!</v>
      </c>
      <c r="AN64" s="13" t="e">
        <f t="shared" si="19"/>
        <v>#DIV/0!</v>
      </c>
      <c r="AO64" s="2" t="e">
        <f t="shared" si="20"/>
        <v>#DIV/0!</v>
      </c>
      <c r="AP64" s="2" t="e">
        <f t="shared" si="21"/>
        <v>#DIV/0!</v>
      </c>
      <c r="AQ64" s="2" t="e">
        <f t="shared" si="22"/>
        <v>#DIV/0!</v>
      </c>
      <c r="AR64" s="2" t="e">
        <f t="shared" si="23"/>
        <v>#DIV/0!</v>
      </c>
      <c r="AS64" s="2" t="e">
        <f t="shared" si="24"/>
        <v>#DIV/0!</v>
      </c>
    </row>
    <row r="65" spans="1:45" ht="20.100000000000001" hidden="1" customHeight="1">
      <c r="A65" s="12">
        <v>0</v>
      </c>
      <c r="B65" s="13">
        <f>'INTERNAL TEST-1  '!B65</f>
        <v>0</v>
      </c>
      <c r="C65" s="64">
        <f>'INTERNAL TEST-1  '!C65</f>
        <v>0</v>
      </c>
      <c r="D65" s="12"/>
      <c r="E65" s="12"/>
      <c r="F65" s="12"/>
      <c r="G65" s="12"/>
      <c r="H65" s="12"/>
      <c r="I65" s="12"/>
      <c r="J65" s="12"/>
      <c r="K65" s="12"/>
      <c r="L65" s="12"/>
      <c r="M65" s="12"/>
      <c r="N65" s="12"/>
      <c r="O65" s="12"/>
      <c r="P65" s="12"/>
      <c r="Q65" s="12"/>
      <c r="R65" s="12"/>
      <c r="S65" s="12"/>
      <c r="T65" s="12"/>
      <c r="U65" s="13">
        <f t="shared" si="25"/>
        <v>0</v>
      </c>
      <c r="V65" s="13">
        <f t="shared" si="1"/>
        <v>0</v>
      </c>
      <c r="W65" s="13">
        <f t="shared" si="2"/>
        <v>0</v>
      </c>
      <c r="X65" s="13">
        <f t="shared" si="3"/>
        <v>0</v>
      </c>
      <c r="Y65" s="13">
        <f t="shared" si="4"/>
        <v>0</v>
      </c>
      <c r="Z65" s="13">
        <f t="shared" si="5"/>
        <v>0</v>
      </c>
      <c r="AA65" s="13">
        <f t="shared" si="6"/>
        <v>0</v>
      </c>
      <c r="AB65" s="13">
        <f t="shared" si="7"/>
        <v>0</v>
      </c>
      <c r="AC65" s="13">
        <f t="shared" si="8"/>
        <v>0</v>
      </c>
      <c r="AD65" s="13">
        <f t="shared" si="9"/>
        <v>0</v>
      </c>
      <c r="AE65" s="13">
        <f t="shared" si="10"/>
        <v>0</v>
      </c>
      <c r="AF65" s="13">
        <f t="shared" si="11"/>
        <v>0</v>
      </c>
      <c r="AG65" s="13">
        <f t="shared" si="12"/>
        <v>0</v>
      </c>
      <c r="AH65" s="13" t="e">
        <f t="shared" si="13"/>
        <v>#DIV/0!</v>
      </c>
      <c r="AI65" s="13" t="e">
        <f t="shared" si="14"/>
        <v>#DIV/0!</v>
      </c>
      <c r="AJ65" s="13" t="e">
        <f t="shared" si="15"/>
        <v>#DIV/0!</v>
      </c>
      <c r="AK65" s="13" t="e">
        <f t="shared" si="16"/>
        <v>#DIV/0!</v>
      </c>
      <c r="AL65" s="13" t="e">
        <f t="shared" si="17"/>
        <v>#DIV/0!</v>
      </c>
      <c r="AM65" s="13" t="e">
        <f t="shared" si="18"/>
        <v>#DIV/0!</v>
      </c>
      <c r="AN65" s="13" t="e">
        <f t="shared" si="19"/>
        <v>#DIV/0!</v>
      </c>
      <c r="AO65" s="2" t="e">
        <f t="shared" si="20"/>
        <v>#DIV/0!</v>
      </c>
      <c r="AP65" s="2" t="e">
        <f t="shared" si="21"/>
        <v>#DIV/0!</v>
      </c>
      <c r="AQ65" s="2" t="e">
        <f t="shared" si="22"/>
        <v>#DIV/0!</v>
      </c>
      <c r="AR65" s="2" t="e">
        <f t="shared" si="23"/>
        <v>#DIV/0!</v>
      </c>
      <c r="AS65" s="2" t="e">
        <f t="shared" si="24"/>
        <v>#DIV/0!</v>
      </c>
    </row>
    <row r="66" spans="1:45" ht="20.100000000000001" hidden="1" customHeight="1">
      <c r="A66" s="12">
        <v>0</v>
      </c>
      <c r="B66" s="13">
        <f>'INTERNAL TEST-1  '!B66</f>
        <v>0</v>
      </c>
      <c r="C66" s="64">
        <f>'INTERNAL TEST-1  '!C66</f>
        <v>0</v>
      </c>
      <c r="D66" s="12"/>
      <c r="E66" s="12"/>
      <c r="F66" s="12"/>
      <c r="G66" s="12"/>
      <c r="H66" s="12"/>
      <c r="I66" s="12"/>
      <c r="J66" s="12"/>
      <c r="K66" s="12"/>
      <c r="L66" s="12"/>
      <c r="M66" s="12"/>
      <c r="N66" s="12"/>
      <c r="O66" s="12"/>
      <c r="P66" s="12"/>
      <c r="Q66" s="12"/>
      <c r="R66" s="12"/>
      <c r="S66" s="12"/>
      <c r="T66" s="12"/>
      <c r="U66" s="13">
        <f t="shared" si="25"/>
        <v>0</v>
      </c>
      <c r="V66" s="13">
        <f t="shared" si="1"/>
        <v>0</v>
      </c>
      <c r="W66" s="13">
        <f t="shared" si="2"/>
        <v>0</v>
      </c>
      <c r="X66" s="13">
        <f t="shared" si="3"/>
        <v>0</v>
      </c>
      <c r="Y66" s="13">
        <f t="shared" si="4"/>
        <v>0</v>
      </c>
      <c r="Z66" s="13">
        <f t="shared" si="5"/>
        <v>0</v>
      </c>
      <c r="AA66" s="13">
        <f t="shared" si="6"/>
        <v>0</v>
      </c>
      <c r="AB66" s="13">
        <f t="shared" si="7"/>
        <v>0</v>
      </c>
      <c r="AC66" s="13">
        <f t="shared" si="8"/>
        <v>0</v>
      </c>
      <c r="AD66" s="13">
        <f t="shared" si="9"/>
        <v>0</v>
      </c>
      <c r="AE66" s="13">
        <f t="shared" si="10"/>
        <v>0</v>
      </c>
      <c r="AF66" s="13">
        <f t="shared" si="11"/>
        <v>0</v>
      </c>
      <c r="AG66" s="13">
        <f t="shared" si="12"/>
        <v>0</v>
      </c>
      <c r="AH66" s="13" t="e">
        <f t="shared" si="13"/>
        <v>#DIV/0!</v>
      </c>
      <c r="AI66" s="13" t="e">
        <f t="shared" si="14"/>
        <v>#DIV/0!</v>
      </c>
      <c r="AJ66" s="13" t="e">
        <f t="shared" si="15"/>
        <v>#DIV/0!</v>
      </c>
      <c r="AK66" s="13" t="e">
        <f t="shared" si="16"/>
        <v>#DIV/0!</v>
      </c>
      <c r="AL66" s="13" t="e">
        <f t="shared" si="17"/>
        <v>#DIV/0!</v>
      </c>
      <c r="AM66" s="13" t="e">
        <f t="shared" si="18"/>
        <v>#DIV/0!</v>
      </c>
      <c r="AN66" s="13" t="e">
        <f t="shared" si="19"/>
        <v>#DIV/0!</v>
      </c>
      <c r="AO66" s="2" t="e">
        <f t="shared" si="20"/>
        <v>#DIV/0!</v>
      </c>
      <c r="AP66" s="2" t="e">
        <f t="shared" si="21"/>
        <v>#DIV/0!</v>
      </c>
      <c r="AQ66" s="2" t="e">
        <f t="shared" si="22"/>
        <v>#DIV/0!</v>
      </c>
      <c r="AR66" s="2" t="e">
        <f t="shared" si="23"/>
        <v>#DIV/0!</v>
      </c>
      <c r="AS66" s="2" t="e">
        <f t="shared" si="24"/>
        <v>#DIV/0!</v>
      </c>
    </row>
    <row r="67" spans="1:45" ht="20.100000000000001" hidden="1" customHeight="1">
      <c r="A67" s="12">
        <v>0</v>
      </c>
      <c r="B67" s="13">
        <f>'INTERNAL TEST-1  '!B67</f>
        <v>0</v>
      </c>
      <c r="C67" s="64">
        <f>'INTERNAL TEST-1  '!C67</f>
        <v>0</v>
      </c>
      <c r="D67" s="12"/>
      <c r="E67" s="12"/>
      <c r="F67" s="12"/>
      <c r="G67" s="12"/>
      <c r="H67" s="12"/>
      <c r="I67" s="12"/>
      <c r="J67" s="12"/>
      <c r="K67" s="12"/>
      <c r="L67" s="12"/>
      <c r="M67" s="12"/>
      <c r="N67" s="12"/>
      <c r="O67" s="12"/>
      <c r="P67" s="12"/>
      <c r="Q67" s="12"/>
      <c r="R67" s="12"/>
      <c r="S67" s="12"/>
      <c r="T67" s="12"/>
      <c r="U67" s="13">
        <f t="shared" si="25"/>
        <v>0</v>
      </c>
      <c r="V67" s="13">
        <f t="shared" si="1"/>
        <v>0</v>
      </c>
      <c r="W67" s="13">
        <f t="shared" si="2"/>
        <v>0</v>
      </c>
      <c r="X67" s="13">
        <f t="shared" si="3"/>
        <v>0</v>
      </c>
      <c r="Y67" s="13">
        <f t="shared" si="4"/>
        <v>0</v>
      </c>
      <c r="Z67" s="13">
        <f t="shared" si="5"/>
        <v>0</v>
      </c>
      <c r="AA67" s="13">
        <f t="shared" si="6"/>
        <v>0</v>
      </c>
      <c r="AB67" s="13">
        <f t="shared" si="7"/>
        <v>0</v>
      </c>
      <c r="AC67" s="13">
        <f t="shared" si="8"/>
        <v>0</v>
      </c>
      <c r="AD67" s="13">
        <f t="shared" si="9"/>
        <v>0</v>
      </c>
      <c r="AE67" s="13">
        <f t="shared" si="10"/>
        <v>0</v>
      </c>
      <c r="AF67" s="13">
        <f t="shared" si="11"/>
        <v>0</v>
      </c>
      <c r="AG67" s="13">
        <f t="shared" si="12"/>
        <v>0</v>
      </c>
      <c r="AH67" s="13" t="e">
        <f t="shared" si="13"/>
        <v>#DIV/0!</v>
      </c>
      <c r="AI67" s="13" t="e">
        <f t="shared" si="14"/>
        <v>#DIV/0!</v>
      </c>
      <c r="AJ67" s="13" t="e">
        <f t="shared" si="15"/>
        <v>#DIV/0!</v>
      </c>
      <c r="AK67" s="13" t="e">
        <f t="shared" si="16"/>
        <v>#DIV/0!</v>
      </c>
      <c r="AL67" s="13" t="e">
        <f t="shared" si="17"/>
        <v>#DIV/0!</v>
      </c>
      <c r="AM67" s="13" t="e">
        <f t="shared" si="18"/>
        <v>#DIV/0!</v>
      </c>
      <c r="AN67" s="13" t="e">
        <f t="shared" si="19"/>
        <v>#DIV/0!</v>
      </c>
      <c r="AO67" s="2" t="e">
        <f t="shared" si="20"/>
        <v>#DIV/0!</v>
      </c>
      <c r="AP67" s="2" t="e">
        <f t="shared" si="21"/>
        <v>#DIV/0!</v>
      </c>
      <c r="AQ67" s="2" t="e">
        <f t="shared" si="22"/>
        <v>#DIV/0!</v>
      </c>
      <c r="AR67" s="2" t="e">
        <f t="shared" si="23"/>
        <v>#DIV/0!</v>
      </c>
      <c r="AS67" s="2" t="e">
        <f t="shared" si="24"/>
        <v>#DIV/0!</v>
      </c>
    </row>
    <row r="68" spans="1:45" ht="20.100000000000001" hidden="1" customHeight="1">
      <c r="A68" s="12">
        <v>0</v>
      </c>
      <c r="B68" s="13">
        <f>'INTERNAL TEST-1  '!B68</f>
        <v>0</v>
      </c>
      <c r="C68" s="64">
        <f>'INTERNAL TEST-1  '!C68</f>
        <v>0</v>
      </c>
      <c r="D68" s="12"/>
      <c r="E68" s="12"/>
      <c r="F68" s="12"/>
      <c r="G68" s="12"/>
      <c r="H68" s="12"/>
      <c r="I68" s="12"/>
      <c r="J68" s="12"/>
      <c r="K68" s="12"/>
      <c r="L68" s="12"/>
      <c r="M68" s="12"/>
      <c r="N68" s="12"/>
      <c r="O68" s="12"/>
      <c r="P68" s="12"/>
      <c r="Q68" s="12"/>
      <c r="R68" s="12"/>
      <c r="S68" s="12"/>
      <c r="T68" s="12"/>
      <c r="U68" s="13">
        <f t="shared" si="25"/>
        <v>0</v>
      </c>
      <c r="V68" s="13">
        <f t="shared" si="1"/>
        <v>0</v>
      </c>
      <c r="W68" s="13">
        <f t="shared" si="2"/>
        <v>0</v>
      </c>
      <c r="X68" s="13">
        <f t="shared" si="3"/>
        <v>0</v>
      </c>
      <c r="Y68" s="13">
        <f t="shared" si="4"/>
        <v>0</v>
      </c>
      <c r="Z68" s="13">
        <f t="shared" si="5"/>
        <v>0</v>
      </c>
      <c r="AA68" s="13">
        <f t="shared" si="6"/>
        <v>0</v>
      </c>
      <c r="AB68" s="13">
        <f t="shared" si="7"/>
        <v>0</v>
      </c>
      <c r="AC68" s="13">
        <f t="shared" si="8"/>
        <v>0</v>
      </c>
      <c r="AD68" s="13">
        <f t="shared" si="9"/>
        <v>0</v>
      </c>
      <c r="AE68" s="13">
        <f t="shared" si="10"/>
        <v>0</v>
      </c>
      <c r="AF68" s="13">
        <f t="shared" si="11"/>
        <v>0</v>
      </c>
      <c r="AG68" s="13">
        <f t="shared" si="12"/>
        <v>0</v>
      </c>
      <c r="AH68" s="13" t="e">
        <f t="shared" si="13"/>
        <v>#DIV/0!</v>
      </c>
      <c r="AI68" s="13" t="e">
        <f t="shared" si="14"/>
        <v>#DIV/0!</v>
      </c>
      <c r="AJ68" s="13" t="e">
        <f t="shared" si="15"/>
        <v>#DIV/0!</v>
      </c>
      <c r="AK68" s="13" t="e">
        <f t="shared" si="16"/>
        <v>#DIV/0!</v>
      </c>
      <c r="AL68" s="13" t="e">
        <f t="shared" si="17"/>
        <v>#DIV/0!</v>
      </c>
      <c r="AM68" s="13" t="e">
        <f t="shared" si="18"/>
        <v>#DIV/0!</v>
      </c>
      <c r="AN68" s="13" t="e">
        <f t="shared" si="19"/>
        <v>#DIV/0!</v>
      </c>
      <c r="AO68" s="2" t="e">
        <f t="shared" si="20"/>
        <v>#DIV/0!</v>
      </c>
      <c r="AP68" s="2" t="e">
        <f t="shared" si="21"/>
        <v>#DIV/0!</v>
      </c>
      <c r="AQ68" s="2" t="e">
        <f t="shared" si="22"/>
        <v>#DIV/0!</v>
      </c>
      <c r="AR68" s="2" t="e">
        <f t="shared" si="23"/>
        <v>#DIV/0!</v>
      </c>
      <c r="AS68" s="2" t="e">
        <f t="shared" si="24"/>
        <v>#DIV/0!</v>
      </c>
    </row>
    <row r="69" spans="1:45" ht="20.100000000000001" hidden="1" customHeight="1">
      <c r="A69" s="12">
        <v>0</v>
      </c>
      <c r="B69" s="13">
        <f>'INTERNAL TEST-1  '!B69</f>
        <v>0</v>
      </c>
      <c r="C69" s="64">
        <f>'INTERNAL TEST-1  '!C69</f>
        <v>0</v>
      </c>
      <c r="D69" s="12"/>
      <c r="E69" s="12"/>
      <c r="F69" s="12"/>
      <c r="G69" s="12"/>
      <c r="H69" s="12"/>
      <c r="I69" s="12"/>
      <c r="J69" s="12"/>
      <c r="K69" s="12"/>
      <c r="L69" s="12"/>
      <c r="M69" s="12"/>
      <c r="N69" s="12"/>
      <c r="O69" s="57"/>
      <c r="P69" s="57"/>
      <c r="Q69" s="12"/>
      <c r="R69" s="12"/>
      <c r="S69" s="12"/>
      <c r="T69" s="12"/>
      <c r="U69" s="13">
        <f t="shared" ref="U69:U138" si="26">SUM(D69:T69)</f>
        <v>0</v>
      </c>
      <c r="V69" s="13">
        <f t="shared" si="1"/>
        <v>0</v>
      </c>
      <c r="W69" s="13">
        <f t="shared" si="2"/>
        <v>0</v>
      </c>
      <c r="X69" s="13">
        <f t="shared" si="3"/>
        <v>0</v>
      </c>
      <c r="Y69" s="13">
        <f t="shared" si="4"/>
        <v>0</v>
      </c>
      <c r="Z69" s="13">
        <f t="shared" si="5"/>
        <v>0</v>
      </c>
      <c r="AA69" s="13">
        <f t="shared" si="6"/>
        <v>0</v>
      </c>
      <c r="AB69" s="13">
        <f t="shared" si="7"/>
        <v>0</v>
      </c>
      <c r="AC69" s="13">
        <f t="shared" si="8"/>
        <v>0</v>
      </c>
      <c r="AD69" s="13">
        <f t="shared" si="9"/>
        <v>0</v>
      </c>
      <c r="AE69" s="13">
        <f t="shared" si="10"/>
        <v>0</v>
      </c>
      <c r="AF69" s="13">
        <f t="shared" si="11"/>
        <v>0</v>
      </c>
      <c r="AG69" s="13">
        <f t="shared" si="12"/>
        <v>0</v>
      </c>
      <c r="AH69" s="13" t="e">
        <f t="shared" si="13"/>
        <v>#DIV/0!</v>
      </c>
      <c r="AI69" s="13" t="e">
        <f t="shared" si="14"/>
        <v>#DIV/0!</v>
      </c>
      <c r="AJ69" s="13" t="e">
        <f t="shared" si="15"/>
        <v>#DIV/0!</v>
      </c>
      <c r="AK69" s="13" t="e">
        <f t="shared" si="16"/>
        <v>#DIV/0!</v>
      </c>
      <c r="AL69" s="13" t="e">
        <f t="shared" si="17"/>
        <v>#DIV/0!</v>
      </c>
      <c r="AM69" s="13" t="e">
        <f t="shared" si="18"/>
        <v>#DIV/0!</v>
      </c>
      <c r="AN69" s="13" t="e">
        <f t="shared" si="19"/>
        <v>#DIV/0!</v>
      </c>
      <c r="AO69" s="2" t="e">
        <f t="shared" si="20"/>
        <v>#DIV/0!</v>
      </c>
      <c r="AP69" s="2" t="e">
        <f t="shared" si="21"/>
        <v>#DIV/0!</v>
      </c>
      <c r="AQ69" s="2" t="e">
        <f t="shared" si="22"/>
        <v>#DIV/0!</v>
      </c>
      <c r="AR69" s="2" t="e">
        <f t="shared" si="23"/>
        <v>#DIV/0!</v>
      </c>
      <c r="AS69" s="2" t="e">
        <f t="shared" si="24"/>
        <v>#DIV/0!</v>
      </c>
    </row>
    <row r="70" spans="1:45" ht="20.100000000000001" hidden="1" customHeight="1">
      <c r="A70" s="12">
        <v>0</v>
      </c>
      <c r="B70" s="13">
        <f>'INTERNAL TEST-1  '!B70</f>
        <v>0</v>
      </c>
      <c r="C70" s="64">
        <f>'INTERNAL TEST-1  '!C70</f>
        <v>0</v>
      </c>
      <c r="D70" s="12"/>
      <c r="E70" s="12"/>
      <c r="F70" s="12"/>
      <c r="G70" s="12"/>
      <c r="H70" s="12"/>
      <c r="I70" s="12"/>
      <c r="J70" s="12"/>
      <c r="K70" s="12"/>
      <c r="L70" s="12"/>
      <c r="M70" s="12"/>
      <c r="N70" s="12"/>
      <c r="O70" s="57"/>
      <c r="P70" s="57"/>
      <c r="Q70" s="12"/>
      <c r="R70" s="12"/>
      <c r="S70" s="12"/>
      <c r="T70" s="12"/>
      <c r="U70" s="13">
        <f t="shared" si="26"/>
        <v>0</v>
      </c>
      <c r="V70" s="13">
        <f t="shared" si="1"/>
        <v>0</v>
      </c>
      <c r="W70" s="13">
        <f t="shared" si="2"/>
        <v>0</v>
      </c>
      <c r="X70" s="13">
        <f t="shared" si="3"/>
        <v>0</v>
      </c>
      <c r="Y70" s="13">
        <f t="shared" si="4"/>
        <v>0</v>
      </c>
      <c r="Z70" s="13">
        <f t="shared" si="5"/>
        <v>0</v>
      </c>
      <c r="AA70" s="13">
        <f t="shared" si="6"/>
        <v>0</v>
      </c>
      <c r="AB70" s="13">
        <f t="shared" si="7"/>
        <v>0</v>
      </c>
      <c r="AC70" s="13">
        <f t="shared" si="8"/>
        <v>0</v>
      </c>
      <c r="AD70" s="13">
        <f t="shared" si="9"/>
        <v>0</v>
      </c>
      <c r="AE70" s="13">
        <f t="shared" si="10"/>
        <v>0</v>
      </c>
      <c r="AF70" s="13">
        <f t="shared" si="11"/>
        <v>0</v>
      </c>
      <c r="AG70" s="13">
        <f t="shared" si="12"/>
        <v>0</v>
      </c>
      <c r="AH70" s="13" t="e">
        <f t="shared" si="13"/>
        <v>#DIV/0!</v>
      </c>
      <c r="AI70" s="13" t="e">
        <f t="shared" si="14"/>
        <v>#DIV/0!</v>
      </c>
      <c r="AJ70" s="13" t="e">
        <f t="shared" si="15"/>
        <v>#DIV/0!</v>
      </c>
      <c r="AK70" s="13" t="e">
        <f t="shared" si="16"/>
        <v>#DIV/0!</v>
      </c>
      <c r="AL70" s="13" t="e">
        <f t="shared" si="17"/>
        <v>#DIV/0!</v>
      </c>
      <c r="AM70" s="13" t="e">
        <f t="shared" si="18"/>
        <v>#DIV/0!</v>
      </c>
      <c r="AN70" s="13" t="e">
        <f t="shared" si="19"/>
        <v>#DIV/0!</v>
      </c>
      <c r="AO70" s="2" t="e">
        <f t="shared" si="20"/>
        <v>#DIV/0!</v>
      </c>
      <c r="AP70" s="2" t="e">
        <f t="shared" si="21"/>
        <v>#DIV/0!</v>
      </c>
      <c r="AQ70" s="2" t="e">
        <f t="shared" si="22"/>
        <v>#DIV/0!</v>
      </c>
      <c r="AR70" s="2" t="e">
        <f t="shared" si="23"/>
        <v>#DIV/0!</v>
      </c>
      <c r="AS70" s="2" t="e">
        <f t="shared" si="24"/>
        <v>#DIV/0!</v>
      </c>
    </row>
    <row r="71" spans="1:45" ht="20.100000000000001" hidden="1" customHeight="1">
      <c r="A71" s="12">
        <v>0</v>
      </c>
      <c r="B71" s="13">
        <f>'INTERNAL TEST-1  '!B71</f>
        <v>0</v>
      </c>
      <c r="C71" s="64">
        <f>'INTERNAL TEST-1  '!C71</f>
        <v>0</v>
      </c>
      <c r="D71" s="12"/>
      <c r="E71" s="12"/>
      <c r="F71" s="12"/>
      <c r="G71" s="12"/>
      <c r="H71" s="12"/>
      <c r="I71" s="12"/>
      <c r="J71" s="12"/>
      <c r="K71" s="12"/>
      <c r="L71" s="12"/>
      <c r="M71" s="12"/>
      <c r="N71" s="12"/>
      <c r="O71" s="57"/>
      <c r="P71" s="57"/>
      <c r="Q71" s="12"/>
      <c r="R71" s="12"/>
      <c r="S71" s="12"/>
      <c r="T71" s="12"/>
      <c r="U71" s="13">
        <f t="shared" si="26"/>
        <v>0</v>
      </c>
      <c r="V71" s="13">
        <f t="shared" si="1"/>
        <v>0</v>
      </c>
      <c r="W71" s="13">
        <f t="shared" si="2"/>
        <v>0</v>
      </c>
      <c r="X71" s="13">
        <f t="shared" si="3"/>
        <v>0</v>
      </c>
      <c r="Y71" s="13">
        <f t="shared" si="4"/>
        <v>0</v>
      </c>
      <c r="Z71" s="13">
        <f t="shared" si="5"/>
        <v>0</v>
      </c>
      <c r="AA71" s="13">
        <f t="shared" si="6"/>
        <v>0</v>
      </c>
      <c r="AB71" s="13">
        <f t="shared" si="7"/>
        <v>0</v>
      </c>
      <c r="AC71" s="13">
        <f t="shared" si="8"/>
        <v>0</v>
      </c>
      <c r="AD71" s="13">
        <f t="shared" si="9"/>
        <v>0</v>
      </c>
      <c r="AE71" s="13">
        <f t="shared" si="10"/>
        <v>0</v>
      </c>
      <c r="AF71" s="13">
        <f t="shared" si="11"/>
        <v>0</v>
      </c>
      <c r="AG71" s="13">
        <f t="shared" si="12"/>
        <v>0</v>
      </c>
      <c r="AH71" s="13" t="e">
        <f t="shared" si="13"/>
        <v>#DIV/0!</v>
      </c>
      <c r="AI71" s="13" t="e">
        <f t="shared" si="14"/>
        <v>#DIV/0!</v>
      </c>
      <c r="AJ71" s="13" t="e">
        <f t="shared" si="15"/>
        <v>#DIV/0!</v>
      </c>
      <c r="AK71" s="13" t="e">
        <f t="shared" si="16"/>
        <v>#DIV/0!</v>
      </c>
      <c r="AL71" s="13" t="e">
        <f t="shared" si="17"/>
        <v>#DIV/0!</v>
      </c>
      <c r="AM71" s="13" t="e">
        <f t="shared" si="18"/>
        <v>#DIV/0!</v>
      </c>
      <c r="AN71" s="13" t="e">
        <f t="shared" si="19"/>
        <v>#DIV/0!</v>
      </c>
      <c r="AO71" s="2" t="e">
        <f t="shared" si="20"/>
        <v>#DIV/0!</v>
      </c>
      <c r="AP71" s="2" t="e">
        <f t="shared" si="21"/>
        <v>#DIV/0!</v>
      </c>
      <c r="AQ71" s="2" t="e">
        <f t="shared" si="22"/>
        <v>#DIV/0!</v>
      </c>
      <c r="AR71" s="2" t="e">
        <f t="shared" si="23"/>
        <v>#DIV/0!</v>
      </c>
      <c r="AS71" s="2" t="e">
        <f t="shared" si="24"/>
        <v>#DIV/0!</v>
      </c>
    </row>
    <row r="72" spans="1:45" ht="20.100000000000001" hidden="1" customHeight="1">
      <c r="A72" s="12">
        <v>0</v>
      </c>
      <c r="B72" s="13">
        <f>'INTERNAL TEST-1  '!B72</f>
        <v>0</v>
      </c>
      <c r="C72" s="64">
        <f>'INTERNAL TEST-1  '!C72</f>
        <v>0</v>
      </c>
      <c r="D72" s="12"/>
      <c r="E72" s="12"/>
      <c r="F72" s="12"/>
      <c r="G72" s="12"/>
      <c r="H72" s="12"/>
      <c r="I72" s="12"/>
      <c r="J72" s="12"/>
      <c r="K72" s="12"/>
      <c r="L72" s="12"/>
      <c r="M72" s="12"/>
      <c r="N72" s="12"/>
      <c r="O72" s="57"/>
      <c r="P72" s="57"/>
      <c r="Q72" s="12"/>
      <c r="R72" s="12"/>
      <c r="S72" s="12"/>
      <c r="T72" s="12"/>
      <c r="U72" s="13">
        <f t="shared" si="26"/>
        <v>0</v>
      </c>
      <c r="V72" s="13">
        <f t="shared" si="1"/>
        <v>0</v>
      </c>
      <c r="W72" s="13">
        <f t="shared" si="2"/>
        <v>0</v>
      </c>
      <c r="X72" s="13">
        <f t="shared" si="3"/>
        <v>0</v>
      </c>
      <c r="Y72" s="13">
        <f t="shared" si="4"/>
        <v>0</v>
      </c>
      <c r="Z72" s="13">
        <f t="shared" si="5"/>
        <v>0</v>
      </c>
      <c r="AA72" s="13">
        <f t="shared" si="6"/>
        <v>0</v>
      </c>
      <c r="AB72" s="13">
        <f t="shared" si="7"/>
        <v>0</v>
      </c>
      <c r="AC72" s="13">
        <f t="shared" si="8"/>
        <v>0</v>
      </c>
      <c r="AD72" s="13">
        <f t="shared" si="9"/>
        <v>0</v>
      </c>
      <c r="AE72" s="13">
        <f t="shared" si="10"/>
        <v>0</v>
      </c>
      <c r="AF72" s="13">
        <f t="shared" si="11"/>
        <v>0</v>
      </c>
      <c r="AG72" s="13">
        <f t="shared" si="12"/>
        <v>0</v>
      </c>
      <c r="AH72" s="13" t="e">
        <f t="shared" si="13"/>
        <v>#DIV/0!</v>
      </c>
      <c r="AI72" s="13" t="e">
        <f t="shared" si="14"/>
        <v>#DIV/0!</v>
      </c>
      <c r="AJ72" s="13" t="e">
        <f t="shared" si="15"/>
        <v>#DIV/0!</v>
      </c>
      <c r="AK72" s="13" t="e">
        <f t="shared" si="16"/>
        <v>#DIV/0!</v>
      </c>
      <c r="AL72" s="13" t="e">
        <f t="shared" si="17"/>
        <v>#DIV/0!</v>
      </c>
      <c r="AM72" s="13" t="e">
        <f t="shared" si="18"/>
        <v>#DIV/0!</v>
      </c>
      <c r="AN72" s="13" t="e">
        <f t="shared" si="19"/>
        <v>#DIV/0!</v>
      </c>
      <c r="AO72" s="2" t="e">
        <f t="shared" si="20"/>
        <v>#DIV/0!</v>
      </c>
      <c r="AP72" s="2" t="e">
        <f t="shared" si="21"/>
        <v>#DIV/0!</v>
      </c>
      <c r="AQ72" s="2" t="e">
        <f t="shared" si="22"/>
        <v>#DIV/0!</v>
      </c>
      <c r="AR72" s="2" t="e">
        <f t="shared" si="23"/>
        <v>#DIV/0!</v>
      </c>
      <c r="AS72" s="2" t="e">
        <f t="shared" si="24"/>
        <v>#DIV/0!</v>
      </c>
    </row>
    <row r="73" spans="1:45" ht="20.100000000000001" hidden="1" customHeight="1">
      <c r="A73" s="12">
        <v>0</v>
      </c>
      <c r="B73" s="13">
        <f>'INTERNAL TEST-1  '!B73</f>
        <v>0</v>
      </c>
      <c r="C73" s="64">
        <f>'INTERNAL TEST-1  '!C73</f>
        <v>0</v>
      </c>
      <c r="D73" s="12"/>
      <c r="E73" s="12"/>
      <c r="F73" s="12"/>
      <c r="G73" s="12"/>
      <c r="H73" s="12"/>
      <c r="I73" s="12"/>
      <c r="J73" s="12"/>
      <c r="K73" s="12"/>
      <c r="L73" s="12"/>
      <c r="M73" s="12"/>
      <c r="N73" s="12"/>
      <c r="O73" s="57"/>
      <c r="P73" s="57"/>
      <c r="Q73" s="12"/>
      <c r="R73" s="12"/>
      <c r="S73" s="12"/>
      <c r="T73" s="12"/>
      <c r="U73" s="13">
        <f t="shared" si="26"/>
        <v>0</v>
      </c>
      <c r="V73" s="13">
        <f t="shared" si="1"/>
        <v>0</v>
      </c>
      <c r="W73" s="13">
        <f t="shared" si="2"/>
        <v>0</v>
      </c>
      <c r="X73" s="13">
        <f t="shared" si="3"/>
        <v>0</v>
      </c>
      <c r="Y73" s="13">
        <f t="shared" si="4"/>
        <v>0</v>
      </c>
      <c r="Z73" s="13">
        <f t="shared" si="5"/>
        <v>0</v>
      </c>
      <c r="AA73" s="13">
        <f t="shared" si="6"/>
        <v>0</v>
      </c>
      <c r="AB73" s="13">
        <f t="shared" si="7"/>
        <v>0</v>
      </c>
      <c r="AC73" s="13">
        <f t="shared" si="8"/>
        <v>0</v>
      </c>
      <c r="AD73" s="13">
        <f t="shared" si="9"/>
        <v>0</v>
      </c>
      <c r="AE73" s="13">
        <f t="shared" si="10"/>
        <v>0</v>
      </c>
      <c r="AF73" s="13">
        <f t="shared" si="11"/>
        <v>0</v>
      </c>
      <c r="AG73" s="13">
        <f t="shared" si="12"/>
        <v>0</v>
      </c>
      <c r="AH73" s="13" t="e">
        <f t="shared" si="13"/>
        <v>#DIV/0!</v>
      </c>
      <c r="AI73" s="13" t="e">
        <f t="shared" si="14"/>
        <v>#DIV/0!</v>
      </c>
      <c r="AJ73" s="13" t="e">
        <f t="shared" si="15"/>
        <v>#DIV/0!</v>
      </c>
      <c r="AK73" s="13" t="e">
        <f t="shared" si="16"/>
        <v>#DIV/0!</v>
      </c>
      <c r="AL73" s="13" t="e">
        <f t="shared" si="17"/>
        <v>#DIV/0!</v>
      </c>
      <c r="AM73" s="13" t="e">
        <f t="shared" si="18"/>
        <v>#DIV/0!</v>
      </c>
      <c r="AN73" s="13" t="e">
        <f t="shared" si="19"/>
        <v>#DIV/0!</v>
      </c>
      <c r="AO73" s="2" t="e">
        <f t="shared" si="20"/>
        <v>#DIV/0!</v>
      </c>
      <c r="AP73" s="2" t="e">
        <f t="shared" si="21"/>
        <v>#DIV/0!</v>
      </c>
      <c r="AQ73" s="2" t="e">
        <f t="shared" si="22"/>
        <v>#DIV/0!</v>
      </c>
      <c r="AR73" s="2" t="e">
        <f t="shared" si="23"/>
        <v>#DIV/0!</v>
      </c>
      <c r="AS73" s="2" t="e">
        <f t="shared" si="24"/>
        <v>#DIV/0!</v>
      </c>
    </row>
    <row r="74" spans="1:45" ht="20.100000000000001" hidden="1" customHeight="1">
      <c r="A74" s="12">
        <v>0</v>
      </c>
      <c r="B74" s="13">
        <f>'INTERNAL TEST-1  '!B74</f>
        <v>0</v>
      </c>
      <c r="C74" s="64">
        <f>'INTERNAL TEST-1  '!C74</f>
        <v>0</v>
      </c>
      <c r="D74" s="12"/>
      <c r="E74" s="12"/>
      <c r="F74" s="12"/>
      <c r="G74" s="12"/>
      <c r="H74" s="12"/>
      <c r="I74" s="12"/>
      <c r="J74" s="12"/>
      <c r="K74" s="12"/>
      <c r="L74" s="12"/>
      <c r="M74" s="12"/>
      <c r="N74" s="12"/>
      <c r="O74" s="57"/>
      <c r="P74" s="57"/>
      <c r="Q74" s="12"/>
      <c r="R74" s="12"/>
      <c r="S74" s="12"/>
      <c r="T74" s="12"/>
      <c r="U74" s="13">
        <f t="shared" si="26"/>
        <v>0</v>
      </c>
      <c r="V74" s="13">
        <f t="shared" si="1"/>
        <v>0</v>
      </c>
      <c r="W74" s="13">
        <f t="shared" si="2"/>
        <v>0</v>
      </c>
      <c r="X74" s="13">
        <f t="shared" si="3"/>
        <v>0</v>
      </c>
      <c r="Y74" s="13">
        <f t="shared" si="4"/>
        <v>0</v>
      </c>
      <c r="Z74" s="13">
        <f t="shared" si="5"/>
        <v>0</v>
      </c>
      <c r="AA74" s="13">
        <f t="shared" si="6"/>
        <v>0</v>
      </c>
      <c r="AB74" s="13">
        <f t="shared" si="7"/>
        <v>0</v>
      </c>
      <c r="AC74" s="13">
        <f t="shared" si="8"/>
        <v>0</v>
      </c>
      <c r="AD74" s="13">
        <f t="shared" si="9"/>
        <v>0</v>
      </c>
      <c r="AE74" s="13">
        <f t="shared" si="10"/>
        <v>0</v>
      </c>
      <c r="AF74" s="13">
        <f t="shared" si="11"/>
        <v>0</v>
      </c>
      <c r="AG74" s="13">
        <f t="shared" si="12"/>
        <v>0</v>
      </c>
      <c r="AH74" s="13" t="e">
        <f t="shared" si="13"/>
        <v>#DIV/0!</v>
      </c>
      <c r="AI74" s="13" t="e">
        <f t="shared" si="14"/>
        <v>#DIV/0!</v>
      </c>
      <c r="AJ74" s="13" t="e">
        <f t="shared" si="15"/>
        <v>#DIV/0!</v>
      </c>
      <c r="AK74" s="13" t="e">
        <f t="shared" si="16"/>
        <v>#DIV/0!</v>
      </c>
      <c r="AL74" s="13" t="e">
        <f t="shared" si="17"/>
        <v>#DIV/0!</v>
      </c>
      <c r="AM74" s="13" t="e">
        <f t="shared" si="18"/>
        <v>#DIV/0!</v>
      </c>
      <c r="AN74" s="13" t="e">
        <f t="shared" si="19"/>
        <v>#DIV/0!</v>
      </c>
      <c r="AO74" s="2" t="e">
        <f t="shared" si="20"/>
        <v>#DIV/0!</v>
      </c>
      <c r="AP74" s="2" t="e">
        <f t="shared" si="21"/>
        <v>#DIV/0!</v>
      </c>
      <c r="AQ74" s="2" t="e">
        <f t="shared" si="22"/>
        <v>#DIV/0!</v>
      </c>
      <c r="AR74" s="2" t="e">
        <f t="shared" si="23"/>
        <v>#DIV/0!</v>
      </c>
      <c r="AS74" s="2" t="e">
        <f t="shared" si="24"/>
        <v>#DIV/0!</v>
      </c>
    </row>
    <row r="75" spans="1:45" ht="20.100000000000001" hidden="1" customHeight="1">
      <c r="A75" s="12">
        <v>0</v>
      </c>
      <c r="B75" s="13">
        <f>'INTERNAL TEST-1  '!B75</f>
        <v>0</v>
      </c>
      <c r="C75" s="64">
        <f>'INTERNAL TEST-1  '!C75</f>
        <v>0</v>
      </c>
      <c r="D75" s="12"/>
      <c r="E75" s="12"/>
      <c r="F75" s="12"/>
      <c r="G75" s="12"/>
      <c r="H75" s="12"/>
      <c r="I75" s="12"/>
      <c r="J75" s="12"/>
      <c r="K75" s="12"/>
      <c r="L75" s="12"/>
      <c r="M75" s="12"/>
      <c r="N75" s="12"/>
      <c r="O75" s="57"/>
      <c r="P75" s="57"/>
      <c r="Q75" s="12"/>
      <c r="R75" s="12"/>
      <c r="S75" s="12"/>
      <c r="T75" s="12"/>
      <c r="U75" s="13">
        <f t="shared" si="26"/>
        <v>0</v>
      </c>
      <c r="V75" s="13">
        <f t="shared" si="1"/>
        <v>0</v>
      </c>
      <c r="W75" s="13">
        <f t="shared" si="2"/>
        <v>0</v>
      </c>
      <c r="X75" s="13">
        <f t="shared" si="3"/>
        <v>0</v>
      </c>
      <c r="Y75" s="13">
        <f t="shared" si="4"/>
        <v>0</v>
      </c>
      <c r="Z75" s="13">
        <f t="shared" si="5"/>
        <v>0</v>
      </c>
      <c r="AA75" s="13">
        <f t="shared" si="6"/>
        <v>0</v>
      </c>
      <c r="AB75" s="13">
        <f t="shared" si="7"/>
        <v>0</v>
      </c>
      <c r="AC75" s="13">
        <f t="shared" si="8"/>
        <v>0</v>
      </c>
      <c r="AD75" s="13">
        <f t="shared" si="9"/>
        <v>0</v>
      </c>
      <c r="AE75" s="13">
        <f t="shared" si="10"/>
        <v>0</v>
      </c>
      <c r="AF75" s="13">
        <f t="shared" si="11"/>
        <v>0</v>
      </c>
      <c r="AG75" s="13">
        <f t="shared" si="12"/>
        <v>0</v>
      </c>
      <c r="AH75" s="13" t="e">
        <f t="shared" si="13"/>
        <v>#DIV/0!</v>
      </c>
      <c r="AI75" s="13" t="e">
        <f t="shared" si="14"/>
        <v>#DIV/0!</v>
      </c>
      <c r="AJ75" s="13" t="e">
        <f t="shared" si="15"/>
        <v>#DIV/0!</v>
      </c>
      <c r="AK75" s="13" t="e">
        <f t="shared" si="16"/>
        <v>#DIV/0!</v>
      </c>
      <c r="AL75" s="13" t="e">
        <f t="shared" si="17"/>
        <v>#DIV/0!</v>
      </c>
      <c r="AM75" s="13" t="e">
        <f t="shared" si="18"/>
        <v>#DIV/0!</v>
      </c>
      <c r="AN75" s="13" t="e">
        <f t="shared" si="19"/>
        <v>#DIV/0!</v>
      </c>
      <c r="AO75" s="2" t="e">
        <f t="shared" si="20"/>
        <v>#DIV/0!</v>
      </c>
      <c r="AP75" s="2" t="e">
        <f t="shared" si="21"/>
        <v>#DIV/0!</v>
      </c>
      <c r="AQ75" s="2" t="e">
        <f t="shared" si="22"/>
        <v>#DIV/0!</v>
      </c>
      <c r="AR75" s="2" t="e">
        <f t="shared" si="23"/>
        <v>#DIV/0!</v>
      </c>
      <c r="AS75" s="2" t="e">
        <f t="shared" si="24"/>
        <v>#DIV/0!</v>
      </c>
    </row>
    <row r="76" spans="1:45" ht="20.100000000000001" hidden="1" customHeight="1">
      <c r="A76" s="12">
        <v>0</v>
      </c>
      <c r="B76" s="13">
        <f>'INTERNAL TEST-1  '!B76</f>
        <v>0</v>
      </c>
      <c r="C76" s="64">
        <f>'INTERNAL TEST-1  '!C76</f>
        <v>0</v>
      </c>
      <c r="D76" s="12"/>
      <c r="E76" s="12"/>
      <c r="F76" s="12"/>
      <c r="G76" s="12"/>
      <c r="H76" s="12"/>
      <c r="I76" s="12"/>
      <c r="J76" s="12"/>
      <c r="K76" s="12"/>
      <c r="L76" s="12"/>
      <c r="M76" s="12"/>
      <c r="N76" s="12"/>
      <c r="O76" s="57"/>
      <c r="P76" s="57"/>
      <c r="Q76" s="12"/>
      <c r="R76" s="12"/>
      <c r="S76" s="12"/>
      <c r="T76" s="12"/>
      <c r="U76" s="13">
        <f t="shared" si="26"/>
        <v>0</v>
      </c>
      <c r="V76" s="13">
        <f t="shared" si="1"/>
        <v>0</v>
      </c>
      <c r="W76" s="13">
        <f t="shared" si="2"/>
        <v>0</v>
      </c>
      <c r="X76" s="13">
        <f t="shared" si="3"/>
        <v>0</v>
      </c>
      <c r="Y76" s="13">
        <f t="shared" si="4"/>
        <v>0</v>
      </c>
      <c r="Z76" s="13">
        <f t="shared" si="5"/>
        <v>0</v>
      </c>
      <c r="AA76" s="13">
        <f t="shared" si="6"/>
        <v>0</v>
      </c>
      <c r="AB76" s="13">
        <f t="shared" si="7"/>
        <v>0</v>
      </c>
      <c r="AC76" s="13">
        <f t="shared" si="8"/>
        <v>0</v>
      </c>
      <c r="AD76" s="13">
        <f t="shared" si="9"/>
        <v>0</v>
      </c>
      <c r="AE76" s="13">
        <f t="shared" si="10"/>
        <v>0</v>
      </c>
      <c r="AF76" s="13">
        <f t="shared" si="11"/>
        <v>0</v>
      </c>
      <c r="AG76" s="13">
        <f t="shared" si="12"/>
        <v>0</v>
      </c>
      <c r="AH76" s="13" t="e">
        <f t="shared" si="13"/>
        <v>#DIV/0!</v>
      </c>
      <c r="AI76" s="13" t="e">
        <f t="shared" si="14"/>
        <v>#DIV/0!</v>
      </c>
      <c r="AJ76" s="13" t="e">
        <f t="shared" si="15"/>
        <v>#DIV/0!</v>
      </c>
      <c r="AK76" s="13" t="e">
        <f t="shared" si="16"/>
        <v>#DIV/0!</v>
      </c>
      <c r="AL76" s="13" t="e">
        <f t="shared" si="17"/>
        <v>#DIV/0!</v>
      </c>
      <c r="AM76" s="13" t="e">
        <f t="shared" si="18"/>
        <v>#DIV/0!</v>
      </c>
      <c r="AN76" s="13" t="e">
        <f t="shared" si="19"/>
        <v>#DIV/0!</v>
      </c>
      <c r="AO76" s="2" t="e">
        <f t="shared" si="20"/>
        <v>#DIV/0!</v>
      </c>
      <c r="AP76" s="2" t="e">
        <f t="shared" si="21"/>
        <v>#DIV/0!</v>
      </c>
      <c r="AQ76" s="2" t="e">
        <f t="shared" si="22"/>
        <v>#DIV/0!</v>
      </c>
      <c r="AR76" s="2" t="e">
        <f t="shared" si="23"/>
        <v>#DIV/0!</v>
      </c>
      <c r="AS76" s="2" t="e">
        <f t="shared" si="24"/>
        <v>#DIV/0!</v>
      </c>
    </row>
    <row r="77" spans="1:45" ht="20.100000000000001" hidden="1" customHeight="1">
      <c r="A77" s="12">
        <v>0</v>
      </c>
      <c r="B77" s="13">
        <f>'INTERNAL TEST-1  '!B77</f>
        <v>0</v>
      </c>
      <c r="C77" s="64">
        <f>'INTERNAL TEST-1  '!C77</f>
        <v>0</v>
      </c>
      <c r="D77" s="12"/>
      <c r="E77" s="12"/>
      <c r="F77" s="12"/>
      <c r="G77" s="12"/>
      <c r="H77" s="12"/>
      <c r="I77" s="12"/>
      <c r="J77" s="12"/>
      <c r="K77" s="12"/>
      <c r="L77" s="12"/>
      <c r="M77" s="12"/>
      <c r="N77" s="12"/>
      <c r="O77" s="57"/>
      <c r="P77" s="57"/>
      <c r="Q77" s="12"/>
      <c r="R77" s="12"/>
      <c r="S77" s="12"/>
      <c r="T77" s="12"/>
      <c r="U77" s="13">
        <f t="shared" si="26"/>
        <v>0</v>
      </c>
      <c r="V77" s="13">
        <f t="shared" si="1"/>
        <v>0</v>
      </c>
      <c r="W77" s="13">
        <f t="shared" si="2"/>
        <v>0</v>
      </c>
      <c r="X77" s="13">
        <f t="shared" si="3"/>
        <v>0</v>
      </c>
      <c r="Y77" s="13">
        <f t="shared" si="4"/>
        <v>0</v>
      </c>
      <c r="Z77" s="13">
        <f t="shared" si="5"/>
        <v>0</v>
      </c>
      <c r="AA77" s="13">
        <f t="shared" si="6"/>
        <v>0</v>
      </c>
      <c r="AB77" s="13">
        <f t="shared" si="7"/>
        <v>0</v>
      </c>
      <c r="AC77" s="13">
        <f t="shared" si="8"/>
        <v>0</v>
      </c>
      <c r="AD77" s="13">
        <f t="shared" si="9"/>
        <v>0</v>
      </c>
      <c r="AE77" s="13">
        <f t="shared" si="10"/>
        <v>0</v>
      </c>
      <c r="AF77" s="13">
        <f t="shared" si="11"/>
        <v>0</v>
      </c>
      <c r="AG77" s="13">
        <f t="shared" si="12"/>
        <v>0</v>
      </c>
      <c r="AH77" s="13" t="e">
        <f t="shared" si="13"/>
        <v>#DIV/0!</v>
      </c>
      <c r="AI77" s="13" t="e">
        <f t="shared" si="14"/>
        <v>#DIV/0!</v>
      </c>
      <c r="AJ77" s="13" t="e">
        <f t="shared" si="15"/>
        <v>#DIV/0!</v>
      </c>
      <c r="AK77" s="13" t="e">
        <f t="shared" si="16"/>
        <v>#DIV/0!</v>
      </c>
      <c r="AL77" s="13" t="e">
        <f t="shared" si="17"/>
        <v>#DIV/0!</v>
      </c>
      <c r="AM77" s="13" t="e">
        <f t="shared" si="18"/>
        <v>#DIV/0!</v>
      </c>
      <c r="AN77" s="13" t="e">
        <f t="shared" si="19"/>
        <v>#DIV/0!</v>
      </c>
      <c r="AO77" s="2" t="e">
        <f t="shared" si="20"/>
        <v>#DIV/0!</v>
      </c>
      <c r="AP77" s="2" t="e">
        <f t="shared" si="21"/>
        <v>#DIV/0!</v>
      </c>
      <c r="AQ77" s="2" t="e">
        <f t="shared" si="22"/>
        <v>#DIV/0!</v>
      </c>
      <c r="AR77" s="2" t="e">
        <f t="shared" si="23"/>
        <v>#DIV/0!</v>
      </c>
      <c r="AS77" s="2" t="e">
        <f t="shared" si="24"/>
        <v>#DIV/0!</v>
      </c>
    </row>
    <row r="78" spans="1:45" ht="20.100000000000001" hidden="1" customHeight="1">
      <c r="A78" s="12">
        <v>0</v>
      </c>
      <c r="B78" s="13">
        <f>'INTERNAL TEST-1  '!B78</f>
        <v>0</v>
      </c>
      <c r="C78" s="64">
        <f>'INTERNAL TEST-1  '!C78</f>
        <v>0</v>
      </c>
      <c r="D78" s="12"/>
      <c r="E78" s="12"/>
      <c r="F78" s="12"/>
      <c r="G78" s="12"/>
      <c r="H78" s="12"/>
      <c r="I78" s="12"/>
      <c r="J78" s="12"/>
      <c r="K78" s="12"/>
      <c r="L78" s="12"/>
      <c r="M78" s="12"/>
      <c r="N78" s="12"/>
      <c r="O78" s="57"/>
      <c r="P78" s="57"/>
      <c r="Q78" s="12"/>
      <c r="R78" s="12"/>
      <c r="S78" s="12"/>
      <c r="T78" s="12"/>
      <c r="U78" s="13">
        <f t="shared" si="26"/>
        <v>0</v>
      </c>
      <c r="V78" s="13">
        <f t="shared" ref="V78:V139" si="27">IF($D$12="CO1",D78,0)+IF($E$12="CO1",E78,0)+IF($F$12="CO1",F78,0)+IF($G$12="CO1",G78,0)+IF($H$12="CO1",H78,0)+IF($I$12="CO1",I78,0)+IF($J$12="CO1",J78,0)+IF($K$12="CO1",K78,0)+IF($L$12="CO1",L78,0)+IF($M$12="CO1",M78,0)+IF($N$12="CO1",N78,0)+IF($O$12="CO1",O78,0)+IF($P$12="CO1",P78,0)+IF($Q$12="CO1",Q78,0)+IF($R$12="CO1",R78,0)+IF($S$12="CO1",S78,0)+IF($T$12="CO1",T78,0)</f>
        <v>0</v>
      </c>
      <c r="W78" s="13">
        <f t="shared" ref="W78:W139" si="28">IF($D$12="CO2",D78,0)+IF($E$12="CO2",E78,0)+IF($F$12="CO2",F78,0)+IF($G$12="CO2",G78,0)+IF($H$12="CO2",H78,0)+IF($I$12="CO2",I78,0)+IF($J$12="CO2",J78,0)+IF($K$12="CO2",K78,0)+IF($L$12="CO2",L78,0)+IF($M$12="CO2",M78,0)+IF($N$12="CO2",N78,0)+IF($O$12="CO2",O78,0)+IF($P$12="CO2",P78,0)+IF($Q$12="CO2",Q78,0)+IF($R$12="CO2",R78,0)+IF($S$12="CO2",S78,0)+IF($T$12="CO2",T78,0)</f>
        <v>0</v>
      </c>
      <c r="X78" s="13">
        <f t="shared" ref="X78:X139" si="29">IF($D$12="CO3",D78,0)+IF($E$12="CO3",E78,0)+IF($F$12="CO3",F78,0)+IF($G$12="CO3",G78,0)+IF($H$12="CO3",H78,0)+IF($I$12="CO3",I78,0)+IF($J$12="CO3",J78,0)+IF($K$12="CO3",K78,0)+IF($L$12="CO3",L78,0)+IF($M$12="CO3",M78,0)+IF($N$12="CO3",N78,0)+IF($O$12="CO3",O78,0)+IF($P$12="CO3",P78,0)+IF($Q$12="CO3",Q78,0)+IF($R$12="CO3",R78,0)+IF($S$12="CO3",S78,0)+IF($T$12="CO3",T78,0)</f>
        <v>0</v>
      </c>
      <c r="Y78" s="13">
        <f t="shared" ref="Y78:Y139" si="30">IF($D$12="CO4",D78,0)+IF($E$12="CO4",E78,0)+IF($F$12="CO4",F78,0)+IF($G$12="CO4",G78,0)+IF($H$12="CO4",H78,0)+IF($I$12="CO4",I78,0)+IF($J$12="CO4",J78,0)+IF($K$12="CO4",K78,0)+IF($L$12="CO4",L78,0)+IF($M$12="CO4",M78,0)+IF($N$12="CO4",N78,0)+IF($O$12="CO4",O78,0)+IF($P$12="CO4",P78,0)+IF($Q$12="CO4",Q78,0)+IF($R$12="CO4",R78,0)+IF($S$12="CO4",S78,0)+IF($T$12="CO4",T78,0)</f>
        <v>0</v>
      </c>
      <c r="Z78" s="13">
        <f t="shared" ref="Z78:Z139" si="31">IF($D$12="CO5",D78,0)+IF($E$12="CO5",E78,0)+IF($F$12="CO5",F78,0)+IF($G$12="CO5",G78,0)+IF($H$12="CO5",H78,0)+IF($I$12="CO5",I78,0)+IF($J$12="CO5",J78,0)+IF($K$12="CO5",K78,0)+IF($L$12="CO5",L78,0)+IF($M$12="CO5",M78,0)+IF($N$12="CO5",N78,0)+IF($O$12="CO5",O78,0)+IF($P$12="CO5",P78,0)+IF($Q$12="CO5",Q78,0)+IF($R$12="CO5",R78,0)+IF($S$12="CO5",S78,0)+IF($T$12="CO5",T78,0)</f>
        <v>0</v>
      </c>
      <c r="AA78" s="13">
        <f t="shared" ref="AA78:AA139" si="32">IF($D$12="CO6",D78,0)+IF($E$12="CO6",E78,0)+IF($F$12="CO6",F78,0)+IF($G$12="CO6",G78,0)+IF($H$12="CO6",H78,0)+IF($I$12="CO6",I78,0)+IF($J$12="CO6",J78,0)+IF($K$12="CO6",K78,0)+IF($L$12="CO6",L78,0)+IF($M$12="CO6",M78,0)+IF($N$12="CO6",N78,0)+IF($O$12="CO6",O78,0)+IF($P$12="CO6",P78,0)+IF($Q$12="CO6",Q78,0)+IF($R$12="CO6",R78,0)+IF($S$12="CO6",S78,0)+IF($T$12="CO6",T78,0)</f>
        <v>0</v>
      </c>
      <c r="AB78" s="13">
        <f t="shared" ref="AB78:AB139" si="33">IF($D$12="CO7",D78,0)+IF($E$12="CO7",E78,0)+IF($F$12="CO7",F78,0)+IF($G$12="CO7",G78,0)+IF($H$12="CO7",H78,0)+IF($I$12="CO7",I78,0)+IF($J$12="CO7",J78,0)+IF($K$12="CO7",K78,0)+IF($L$12="CO7",L78,0)+IF($M$12="CO7",M78,0)+IF($N$12="CO7",N78,0)+IF($O$12="CO7",O78,0)+IF($P$12="CO7",P78,0)+IF($Q$12="CO7",Q78,0)+IF($R$12="CO7",R78,0)+IF($S$12="CO7",S78,0)+IF($T$12="CO7",T78,0)</f>
        <v>0</v>
      </c>
      <c r="AC78" s="13">
        <f t="shared" si="8"/>
        <v>0</v>
      </c>
      <c r="AD78" s="13">
        <f t="shared" si="9"/>
        <v>0</v>
      </c>
      <c r="AE78" s="13">
        <f t="shared" si="10"/>
        <v>0</v>
      </c>
      <c r="AF78" s="13">
        <f t="shared" si="11"/>
        <v>0</v>
      </c>
      <c r="AG78" s="13">
        <f t="shared" si="12"/>
        <v>0</v>
      </c>
      <c r="AH78" s="13" t="e">
        <f t="shared" si="13"/>
        <v>#DIV/0!</v>
      </c>
      <c r="AI78" s="13" t="e">
        <f t="shared" si="14"/>
        <v>#DIV/0!</v>
      </c>
      <c r="AJ78" s="13" t="e">
        <f t="shared" si="15"/>
        <v>#DIV/0!</v>
      </c>
      <c r="AK78" s="13" t="e">
        <f t="shared" si="16"/>
        <v>#DIV/0!</v>
      </c>
      <c r="AL78" s="13" t="e">
        <f t="shared" si="17"/>
        <v>#DIV/0!</v>
      </c>
      <c r="AM78" s="13" t="e">
        <f t="shared" si="18"/>
        <v>#DIV/0!</v>
      </c>
      <c r="AN78" s="13" t="e">
        <f t="shared" si="19"/>
        <v>#DIV/0!</v>
      </c>
      <c r="AO78" s="2" t="e">
        <f t="shared" si="20"/>
        <v>#DIV/0!</v>
      </c>
      <c r="AP78" s="2" t="e">
        <f t="shared" si="21"/>
        <v>#DIV/0!</v>
      </c>
      <c r="AQ78" s="2" t="e">
        <f t="shared" si="22"/>
        <v>#DIV/0!</v>
      </c>
      <c r="AR78" s="2" t="e">
        <f t="shared" si="23"/>
        <v>#DIV/0!</v>
      </c>
      <c r="AS78" s="2" t="e">
        <f t="shared" si="24"/>
        <v>#DIV/0!</v>
      </c>
    </row>
    <row r="79" spans="1:45" ht="20.100000000000001" hidden="1" customHeight="1">
      <c r="A79" s="12">
        <v>0</v>
      </c>
      <c r="B79" s="13">
        <f>'INTERNAL TEST-1  '!B79</f>
        <v>0</v>
      </c>
      <c r="C79" s="64">
        <f>'INTERNAL TEST-1  '!C79</f>
        <v>0</v>
      </c>
      <c r="D79" s="12"/>
      <c r="E79" s="12"/>
      <c r="F79" s="12"/>
      <c r="G79" s="12"/>
      <c r="H79" s="12"/>
      <c r="I79" s="12"/>
      <c r="J79" s="12"/>
      <c r="K79" s="12"/>
      <c r="L79" s="12"/>
      <c r="M79" s="12"/>
      <c r="N79" s="12"/>
      <c r="O79" s="57"/>
      <c r="P79" s="57"/>
      <c r="Q79" s="12"/>
      <c r="R79" s="12"/>
      <c r="S79" s="12"/>
      <c r="T79" s="12"/>
      <c r="U79" s="13">
        <f t="shared" si="26"/>
        <v>0</v>
      </c>
      <c r="V79" s="13">
        <f t="shared" si="27"/>
        <v>0</v>
      </c>
      <c r="W79" s="13">
        <f t="shared" si="28"/>
        <v>0</v>
      </c>
      <c r="X79" s="13">
        <f t="shared" si="29"/>
        <v>0</v>
      </c>
      <c r="Y79" s="13">
        <f t="shared" si="30"/>
        <v>0</v>
      </c>
      <c r="Z79" s="13">
        <f t="shared" si="31"/>
        <v>0</v>
      </c>
      <c r="AA79" s="13">
        <f t="shared" si="32"/>
        <v>0</v>
      </c>
      <c r="AB79" s="13">
        <f t="shared" si="33"/>
        <v>0</v>
      </c>
      <c r="AC79" s="13">
        <f t="shared" ref="AC79:AC139" si="34">IF($D$12="CO8",D79,0)+IF($E$12="CO8",E79,0)+IF($F$12="CO8",F79,0)+IF($G$12="CO8",G79,0)+IF($H$12="CO8",H79,0)+IF($I$12="CO8",I79,0)+IF($J$12="CO8",J79,0)+IF($K$12="CO8",K79,0)+IF($L$12="CO8",L79,0)+IF($M$12="CO8",M79,0)+IF($N$12="CO8",N79,0)+IF($O$12="CO8",O79,0)+IF($P$12="CO8",P79,0)+IF($Q$12="CO8",Q79,0)+IF($R$12="CO8",R79,0)+IF($S$12="CO8",S79,0)+IF($T$12="CO8",T79,0)</f>
        <v>0</v>
      </c>
      <c r="AD79" s="13">
        <f t="shared" ref="AD79:AD139" si="35">IF($D$12="CO9",D79,0)+IF($E$12="CO9",E79,0)+IF($F$12="CO9",F79,0)+IF($G$12="CO9",G79,0)+IF($H$12="CO9",H79,0)+IF($I$12="CO9",I79,0)+IF($J$12="CO9",J79,0)+IF($K$12="CO9",K79,0)+IF($L$12="CO9",L79,0)+IF($M$12="CO9",M79,0)+IF($N$12="CO9",N79,0)+IF($O$12="CO9",O79,0)+IF($P$12="CO9",P79,0)+IF($Q$12="CO9",Q79,0)+IF($R$12="CO9",R79,0)+IF($S$12="CO9",S79,0)+IF($T$12="CO9",T79,0)</f>
        <v>0</v>
      </c>
      <c r="AE79" s="13">
        <f t="shared" ref="AE79:AE139" si="36">IF($D$12="CO10",D79,0)+IF($E$12="CO10",E79,0)+IF($F$12="CO10",F79,0)+IF($G$12="CO10",G79,0)+IF($H$12="CO10",H79,0)+IF($I$12="CO10",I79,0)+IF($J$12="CO10",J79,0)+IF($K$12="CO10",K79,0)+IF($L$12="CO10",L79,0)+IF($M$12="CO10",M79,0)+IF($N$12="CO10",N79,0)+IF($O$12="CO10",O79,0)+IF($P$12="CO10",P79,0)+IF($Q$12="CO10",Q79,0)+IF($R$12="CO10",R79,0)+IF($S$12="CO10",S79,0)+IF($T$12="CO10",T79,0)</f>
        <v>0</v>
      </c>
      <c r="AF79" s="13">
        <f t="shared" ref="AF79:AF139" si="37">IF($D$12="CO11",D79,0)+IF($E$12="CO11",E79,0)+IF($F$12="CO11",F79,0)+IF($G$12="CO11",G79,0)+IF($H$12="CO11",H79,0)+IF($I$12="CO11",I79,0)+IF($J$12="CO11",J79,0)+IF($K$12="CO11",K79,0)+IF($L$12="CO11",L79,0)+IF($M$12="CO11",M79,0)+IF($N$12="CO11",N79,0)+IF($O$12="CO11",O79,0)+IF($P$12="CO11",P79,0)+IF($Q$12="CO11",Q79,0)+IF($R$12="CO11",R79,0)+IF($S$12="CO11",S79,0)+IF($T$12="CO11",T79,0)</f>
        <v>0</v>
      </c>
      <c r="AG79" s="13">
        <f t="shared" ref="AG79:AG139" si="38">IF($D$12="CO12",D79,0)+IF($E$12="CO12",E79,0)+IF($F$12="CO12",F79,0)+IF($G$12="CO12",G79,0)+IF($H$12="CO12",H79,0)+IF($I$12="CO12",I79,0)+IF($J$12="CO12",J79,0)+IF($K$12="CO12",K79,0)+IF($L$12="CO12",L79,0)+IF($M$12="CO12",M79,0)+IF($N$12="CO12",N79,0)+IF($O$12="CO12",O79,0)+IF($P$12="CO12",P79,0)+IF($Q$12="CO12",Q79,0)+IF($R$12="CO12",R79,0)+IF($S$12="CO12",S79,0)+IF($T$12="CO12",T79,0)</f>
        <v>0</v>
      </c>
      <c r="AH79" s="13" t="e">
        <f t="shared" si="13"/>
        <v>#DIV/0!</v>
      </c>
      <c r="AI79" s="13" t="e">
        <f t="shared" si="14"/>
        <v>#DIV/0!</v>
      </c>
      <c r="AJ79" s="13" t="e">
        <f t="shared" si="15"/>
        <v>#DIV/0!</v>
      </c>
      <c r="AK79" s="13" t="e">
        <f t="shared" si="16"/>
        <v>#DIV/0!</v>
      </c>
      <c r="AL79" s="13" t="e">
        <f t="shared" si="17"/>
        <v>#DIV/0!</v>
      </c>
      <c r="AM79" s="13" t="e">
        <f t="shared" si="18"/>
        <v>#DIV/0!</v>
      </c>
      <c r="AN79" s="13" t="e">
        <f t="shared" si="19"/>
        <v>#DIV/0!</v>
      </c>
      <c r="AO79" s="2" t="e">
        <f t="shared" ref="AO79:AO139" si="39">ROUND(AC79/(IF($D$12="CO8",$D$13,0)+IF($E$12="CO8",$E$13,0)+IF($F$12="CO8",$F$13,0)+IF($G$12="CO8",$G$13,0)+IF($H$12="CO8",$H$13,0)+IF($I$12="CO8",$I$13,0)+IF($J$12="CO8",$J$13,0)+IF($K$12="CO8",$K$13,0)+IF($L$12="CO8",$L$13,0)+IF($M$12="CO8",$M$13,0)+IF($N$12="CO8",$N$13,0)+IF($O$12="CO8",$O$13,0)+IF($P$12="CO8",$P$13,0)+IF($Q$12="CO8",$Q$13,0)+IF($R$12="CO8",$R$13,0)+IF($S$12="CO8",$S$13,0)+IF($T$12="CO8",$T$13,0))*100,2)</f>
        <v>#DIV/0!</v>
      </c>
      <c r="AP79" s="2" t="e">
        <f t="shared" ref="AP79:AP139" si="40">ROUND(AD79/(IF($D$12="CO9",$D$13,0)+IF($E$12="CO9",$E$13,0)+IF($F$12="CO9",$F$13,0)+IF($G$12="CO9",$G$13,0)+IF($H$12="CO9",$H$13,0)+IF($I$12="CO9",$I$13,0)+IF($J$12="CO9",$J$13,0)+IF($K$12="CO9",$K$13,0)+IF($L$12="CO9",$L$13,0)+IF($M$12="CO9",$M$13,0)+IF($N$12="CO9",$N$13,0)+IF($O$12="CO9",$O$13,0)+IF($P$12="CO9",$P$13,0)+IF($Q$12="CO9",$Q$13,0)+IF($R$12="CO9",$R$13,0)+IF($S$12="CO9",$S$13,0)+IF($T$12="CO9",$T$13,0))*100,2)</f>
        <v>#DIV/0!</v>
      </c>
      <c r="AQ79" s="2" t="e">
        <f t="shared" ref="AQ79:AQ139" si="41">ROUND(AE79/(IF($D$12="CO10",$D$13,0)+IF($E$12="CO10",$E$13,0)+IF($F$12="CO10",$F$13,0)+IF($G$12="CO10",$G$13,0)+IF($H$12="CO10",$H$13,0)+IF($I$12="CO10",$I$13,0)+IF($J$12="CO10",$J$13,0)+IF($K$12="CO10",$K$13,0)+IF($L$12="CO10",$L$13,0)+IF($M$12="CO10",$M$13,0)+IF($N$12="CO10",$N$13,0)+IF($O$12="CO10",$O$13,0)+IF($P$12="CO10",$P$13,0)+IF($Q$12="CO10",$Q$13,0)+IF($R$12="CO10",$R$13,0)+IF($S$12="CO10",$S$13,0)+IF($T$12="CO10",$T$13,0))*100,2)</f>
        <v>#DIV/0!</v>
      </c>
      <c r="AR79" s="2" t="e">
        <f t="shared" ref="AR79:AR139" si="42">ROUND(AF79/(IF($D$12="CO11",$D$13,0)+IF($E$12="CO11",$E$13,0)+IF($F$12="CO11",$F$13,0)+IF($G$12="CO11",$G$13,0)+IF($H$12="CO11",$H$13,0)+IF($I$12="CO11",$I$13,0)+IF($J$12="CO11",$J$13,0)+IF($K$12="CO11",$K$13,0)+IF($L$12="CO11",$L$13,0)+IF($M$12="CO11",$M$13,0)+IF($N$12="CO11",$N$13,0)+IF($O$12="CO11",$O$13,0)+IF($P$12="CO11",$P$13,0)+IF($Q$12="CO11",$Q$13,0)+IF($R$12="CO11",$R$13,0)+IF($S$12="CO11",$S$13,0)+IF($T$12="CO11",$T$13,0))*100,2)</f>
        <v>#DIV/0!</v>
      </c>
      <c r="AS79" s="2" t="e">
        <f t="shared" ref="AS79:AS139" si="43">ROUND(AG79/(IF($D$12="CO12",$D$13,0)+IF($E$12="CO12",$E$13,0)+IF($F$12="CO12",$F$13,0)+IF($G$12="CO12",$G$13,0)+IF($H$12="CO12",$H$13,0)+IF($I$12="CO12",$I$13,0)+IF($J$12="CO12",$J$13,0)+IF($K$12="CO12",$K$13,0)+IF($L$12="CO12",$L$13,0)+IF($M$12="CO12",$M$13,0)+IF($N$12="CO12",$N$13,0)+IF($O$12="CO12",$O$13,0)+IF($P$12="CO12",$P$13,0)+IF($Q$12="CO12",$Q$13,0)+IF($R$12="CO12",$R$13,0)+IF($S$12="CO12",$S$13,0)+IF($T$12="CO12",$T$13,0))*100,2)</f>
        <v>#DIV/0!</v>
      </c>
    </row>
    <row r="80" spans="1:45" ht="20.100000000000001" hidden="1" customHeight="1">
      <c r="A80" s="12">
        <v>0</v>
      </c>
      <c r="B80" s="13">
        <f>'INTERNAL TEST-1  '!B80</f>
        <v>0</v>
      </c>
      <c r="C80" s="64">
        <f>'INTERNAL TEST-1  '!C80</f>
        <v>0</v>
      </c>
      <c r="D80" s="12"/>
      <c r="E80" s="12"/>
      <c r="F80" s="12"/>
      <c r="G80" s="12"/>
      <c r="H80" s="12"/>
      <c r="I80" s="12"/>
      <c r="J80" s="12"/>
      <c r="K80" s="12"/>
      <c r="L80" s="12"/>
      <c r="M80" s="12"/>
      <c r="N80" s="12"/>
      <c r="O80" s="57"/>
      <c r="P80" s="57"/>
      <c r="Q80" s="12"/>
      <c r="R80" s="12"/>
      <c r="S80" s="12"/>
      <c r="T80" s="12"/>
      <c r="U80" s="13">
        <f t="shared" si="26"/>
        <v>0</v>
      </c>
      <c r="V80" s="13">
        <f t="shared" si="27"/>
        <v>0</v>
      </c>
      <c r="W80" s="13">
        <f t="shared" si="28"/>
        <v>0</v>
      </c>
      <c r="X80" s="13">
        <f t="shared" si="29"/>
        <v>0</v>
      </c>
      <c r="Y80" s="13">
        <f t="shared" si="30"/>
        <v>0</v>
      </c>
      <c r="Z80" s="13">
        <f t="shared" si="31"/>
        <v>0</v>
      </c>
      <c r="AA80" s="13">
        <f t="shared" si="32"/>
        <v>0</v>
      </c>
      <c r="AB80" s="13">
        <f t="shared" si="33"/>
        <v>0</v>
      </c>
      <c r="AC80" s="13">
        <f t="shared" si="34"/>
        <v>0</v>
      </c>
      <c r="AD80" s="13">
        <f t="shared" si="35"/>
        <v>0</v>
      </c>
      <c r="AE80" s="13">
        <f t="shared" si="36"/>
        <v>0</v>
      </c>
      <c r="AF80" s="13">
        <f t="shared" si="37"/>
        <v>0</v>
      </c>
      <c r="AG80" s="13">
        <f t="shared" si="38"/>
        <v>0</v>
      </c>
      <c r="AH80" s="13" t="e">
        <f t="shared" si="13"/>
        <v>#DIV/0!</v>
      </c>
      <c r="AI80" s="13" t="e">
        <f t="shared" si="14"/>
        <v>#DIV/0!</v>
      </c>
      <c r="AJ80" s="13" t="e">
        <f t="shared" si="15"/>
        <v>#DIV/0!</v>
      </c>
      <c r="AK80" s="13" t="e">
        <f t="shared" si="16"/>
        <v>#DIV/0!</v>
      </c>
      <c r="AL80" s="13" t="e">
        <f t="shared" si="17"/>
        <v>#DIV/0!</v>
      </c>
      <c r="AM80" s="13" t="e">
        <f t="shared" si="18"/>
        <v>#DIV/0!</v>
      </c>
      <c r="AN80" s="13" t="e">
        <f t="shared" si="19"/>
        <v>#DIV/0!</v>
      </c>
      <c r="AO80" s="2" t="e">
        <f t="shared" si="39"/>
        <v>#DIV/0!</v>
      </c>
      <c r="AP80" s="2" t="e">
        <f t="shared" si="40"/>
        <v>#DIV/0!</v>
      </c>
      <c r="AQ80" s="2" t="e">
        <f t="shared" si="41"/>
        <v>#DIV/0!</v>
      </c>
      <c r="AR80" s="2" t="e">
        <f t="shared" si="42"/>
        <v>#DIV/0!</v>
      </c>
      <c r="AS80" s="2" t="e">
        <f t="shared" si="43"/>
        <v>#DIV/0!</v>
      </c>
    </row>
    <row r="81" spans="1:45" ht="20.100000000000001" hidden="1" customHeight="1">
      <c r="A81" s="12">
        <v>0</v>
      </c>
      <c r="B81" s="13">
        <f>'INTERNAL TEST-1  '!B81</f>
        <v>0</v>
      </c>
      <c r="C81" s="64">
        <f>'INTERNAL TEST-1  '!C81</f>
        <v>0</v>
      </c>
      <c r="D81" s="12"/>
      <c r="E81" s="12"/>
      <c r="F81" s="12"/>
      <c r="G81" s="12"/>
      <c r="H81" s="12"/>
      <c r="I81" s="12"/>
      <c r="J81" s="12"/>
      <c r="K81" s="12"/>
      <c r="L81" s="12"/>
      <c r="M81" s="12"/>
      <c r="N81" s="12"/>
      <c r="O81" s="57"/>
      <c r="P81" s="57"/>
      <c r="Q81" s="12"/>
      <c r="R81" s="12"/>
      <c r="S81" s="12"/>
      <c r="T81" s="12"/>
      <c r="U81" s="13">
        <f t="shared" si="26"/>
        <v>0</v>
      </c>
      <c r="V81" s="13">
        <f t="shared" si="27"/>
        <v>0</v>
      </c>
      <c r="W81" s="13">
        <f t="shared" si="28"/>
        <v>0</v>
      </c>
      <c r="X81" s="13">
        <f t="shared" si="29"/>
        <v>0</v>
      </c>
      <c r="Y81" s="13">
        <f t="shared" si="30"/>
        <v>0</v>
      </c>
      <c r="Z81" s="13">
        <f t="shared" si="31"/>
        <v>0</v>
      </c>
      <c r="AA81" s="13">
        <f t="shared" si="32"/>
        <v>0</v>
      </c>
      <c r="AB81" s="13">
        <f t="shared" si="33"/>
        <v>0</v>
      </c>
      <c r="AC81" s="13">
        <f t="shared" si="34"/>
        <v>0</v>
      </c>
      <c r="AD81" s="13">
        <f t="shared" si="35"/>
        <v>0</v>
      </c>
      <c r="AE81" s="13">
        <f t="shared" si="36"/>
        <v>0</v>
      </c>
      <c r="AF81" s="13">
        <f t="shared" si="37"/>
        <v>0</v>
      </c>
      <c r="AG81" s="13">
        <f t="shared" si="38"/>
        <v>0</v>
      </c>
      <c r="AH81" s="13" t="e">
        <f t="shared" si="13"/>
        <v>#DIV/0!</v>
      </c>
      <c r="AI81" s="13" t="e">
        <f t="shared" si="14"/>
        <v>#DIV/0!</v>
      </c>
      <c r="AJ81" s="13" t="e">
        <f t="shared" si="15"/>
        <v>#DIV/0!</v>
      </c>
      <c r="AK81" s="13" t="e">
        <f t="shared" si="16"/>
        <v>#DIV/0!</v>
      </c>
      <c r="AL81" s="13" t="e">
        <f t="shared" si="17"/>
        <v>#DIV/0!</v>
      </c>
      <c r="AM81" s="13" t="e">
        <f t="shared" si="18"/>
        <v>#DIV/0!</v>
      </c>
      <c r="AN81" s="13" t="e">
        <f t="shared" si="19"/>
        <v>#DIV/0!</v>
      </c>
      <c r="AO81" s="2" t="e">
        <f t="shared" si="39"/>
        <v>#DIV/0!</v>
      </c>
      <c r="AP81" s="2" t="e">
        <f t="shared" si="40"/>
        <v>#DIV/0!</v>
      </c>
      <c r="AQ81" s="2" t="e">
        <f t="shared" si="41"/>
        <v>#DIV/0!</v>
      </c>
      <c r="AR81" s="2" t="e">
        <f t="shared" si="42"/>
        <v>#DIV/0!</v>
      </c>
      <c r="AS81" s="2" t="e">
        <f t="shared" si="43"/>
        <v>#DIV/0!</v>
      </c>
    </row>
    <row r="82" spans="1:45" ht="20.100000000000001" hidden="1" customHeight="1">
      <c r="A82" s="12">
        <v>0</v>
      </c>
      <c r="B82" s="13">
        <f>'INTERNAL TEST-1  '!B82</f>
        <v>0</v>
      </c>
      <c r="C82" s="64">
        <f>'INTERNAL TEST-1  '!C82</f>
        <v>0</v>
      </c>
      <c r="D82" s="12"/>
      <c r="E82" s="12"/>
      <c r="F82" s="12"/>
      <c r="G82" s="12"/>
      <c r="H82" s="12"/>
      <c r="I82" s="12"/>
      <c r="J82" s="12"/>
      <c r="K82" s="12"/>
      <c r="L82" s="12"/>
      <c r="M82" s="12"/>
      <c r="N82" s="12"/>
      <c r="O82" s="57"/>
      <c r="P82" s="57"/>
      <c r="Q82" s="12"/>
      <c r="R82" s="12"/>
      <c r="S82" s="12"/>
      <c r="T82" s="12"/>
      <c r="U82" s="13">
        <f t="shared" si="26"/>
        <v>0</v>
      </c>
      <c r="V82" s="13">
        <f t="shared" si="27"/>
        <v>0</v>
      </c>
      <c r="W82" s="13">
        <f t="shared" si="28"/>
        <v>0</v>
      </c>
      <c r="X82" s="13">
        <f t="shared" si="29"/>
        <v>0</v>
      </c>
      <c r="Y82" s="13">
        <f t="shared" si="30"/>
        <v>0</v>
      </c>
      <c r="Z82" s="13">
        <f t="shared" si="31"/>
        <v>0</v>
      </c>
      <c r="AA82" s="13">
        <f t="shared" si="32"/>
        <v>0</v>
      </c>
      <c r="AB82" s="13">
        <f t="shared" si="33"/>
        <v>0</v>
      </c>
      <c r="AC82" s="13">
        <f t="shared" si="34"/>
        <v>0</v>
      </c>
      <c r="AD82" s="13">
        <f t="shared" si="35"/>
        <v>0</v>
      </c>
      <c r="AE82" s="13">
        <f t="shared" si="36"/>
        <v>0</v>
      </c>
      <c r="AF82" s="13">
        <f t="shared" si="37"/>
        <v>0</v>
      </c>
      <c r="AG82" s="13">
        <f t="shared" si="38"/>
        <v>0</v>
      </c>
      <c r="AH82" s="13" t="e">
        <f t="shared" si="13"/>
        <v>#DIV/0!</v>
      </c>
      <c r="AI82" s="13" t="e">
        <f t="shared" si="14"/>
        <v>#DIV/0!</v>
      </c>
      <c r="AJ82" s="13" t="e">
        <f t="shared" si="15"/>
        <v>#DIV/0!</v>
      </c>
      <c r="AK82" s="13" t="e">
        <f t="shared" si="16"/>
        <v>#DIV/0!</v>
      </c>
      <c r="AL82" s="13" t="e">
        <f t="shared" si="17"/>
        <v>#DIV/0!</v>
      </c>
      <c r="AM82" s="13" t="e">
        <f t="shared" si="18"/>
        <v>#DIV/0!</v>
      </c>
      <c r="AN82" s="13" t="e">
        <f t="shared" si="19"/>
        <v>#DIV/0!</v>
      </c>
      <c r="AO82" s="2" t="e">
        <f t="shared" si="39"/>
        <v>#DIV/0!</v>
      </c>
      <c r="AP82" s="2" t="e">
        <f t="shared" si="40"/>
        <v>#DIV/0!</v>
      </c>
      <c r="AQ82" s="2" t="e">
        <f t="shared" si="41"/>
        <v>#DIV/0!</v>
      </c>
      <c r="AR82" s="2" t="e">
        <f t="shared" si="42"/>
        <v>#DIV/0!</v>
      </c>
      <c r="AS82" s="2" t="e">
        <f t="shared" si="43"/>
        <v>#DIV/0!</v>
      </c>
    </row>
    <row r="83" spans="1:45" ht="20.100000000000001" hidden="1" customHeight="1">
      <c r="A83" s="12">
        <v>0</v>
      </c>
      <c r="B83" s="13">
        <f>'INTERNAL TEST-1  '!B83</f>
        <v>0</v>
      </c>
      <c r="C83" s="64">
        <f>'INTERNAL TEST-1  '!C83</f>
        <v>0</v>
      </c>
      <c r="D83" s="12"/>
      <c r="E83" s="12"/>
      <c r="F83" s="12"/>
      <c r="G83" s="12"/>
      <c r="H83" s="12"/>
      <c r="I83" s="12"/>
      <c r="J83" s="12"/>
      <c r="K83" s="12"/>
      <c r="L83" s="12"/>
      <c r="M83" s="12"/>
      <c r="N83" s="12"/>
      <c r="O83" s="57"/>
      <c r="P83" s="57"/>
      <c r="Q83" s="12"/>
      <c r="R83" s="12"/>
      <c r="S83" s="12"/>
      <c r="T83" s="12"/>
      <c r="U83" s="13">
        <f t="shared" si="26"/>
        <v>0</v>
      </c>
      <c r="V83" s="13">
        <f t="shared" si="27"/>
        <v>0</v>
      </c>
      <c r="W83" s="13">
        <f t="shared" si="28"/>
        <v>0</v>
      </c>
      <c r="X83" s="13">
        <f t="shared" si="29"/>
        <v>0</v>
      </c>
      <c r="Y83" s="13">
        <f t="shared" si="30"/>
        <v>0</v>
      </c>
      <c r="Z83" s="13">
        <f t="shared" si="31"/>
        <v>0</v>
      </c>
      <c r="AA83" s="13">
        <f t="shared" si="32"/>
        <v>0</v>
      </c>
      <c r="AB83" s="13">
        <f t="shared" si="33"/>
        <v>0</v>
      </c>
      <c r="AC83" s="13">
        <f t="shared" si="34"/>
        <v>0</v>
      </c>
      <c r="AD83" s="13">
        <f t="shared" si="35"/>
        <v>0</v>
      </c>
      <c r="AE83" s="13">
        <f t="shared" si="36"/>
        <v>0</v>
      </c>
      <c r="AF83" s="13">
        <f t="shared" si="37"/>
        <v>0</v>
      </c>
      <c r="AG83" s="13">
        <f t="shared" si="38"/>
        <v>0</v>
      </c>
      <c r="AH83" s="13" t="e">
        <f t="shared" si="13"/>
        <v>#DIV/0!</v>
      </c>
      <c r="AI83" s="13" t="e">
        <f t="shared" si="14"/>
        <v>#DIV/0!</v>
      </c>
      <c r="AJ83" s="13" t="e">
        <f t="shared" si="15"/>
        <v>#DIV/0!</v>
      </c>
      <c r="AK83" s="13" t="e">
        <f t="shared" si="16"/>
        <v>#DIV/0!</v>
      </c>
      <c r="AL83" s="13" t="e">
        <f t="shared" si="17"/>
        <v>#DIV/0!</v>
      </c>
      <c r="AM83" s="13" t="e">
        <f t="shared" si="18"/>
        <v>#DIV/0!</v>
      </c>
      <c r="AN83" s="13" t="e">
        <f t="shared" si="19"/>
        <v>#DIV/0!</v>
      </c>
      <c r="AO83" s="2" t="e">
        <f t="shared" si="39"/>
        <v>#DIV/0!</v>
      </c>
      <c r="AP83" s="2" t="e">
        <f t="shared" si="40"/>
        <v>#DIV/0!</v>
      </c>
      <c r="AQ83" s="2" t="e">
        <f t="shared" si="41"/>
        <v>#DIV/0!</v>
      </c>
      <c r="AR83" s="2" t="e">
        <f t="shared" si="42"/>
        <v>#DIV/0!</v>
      </c>
      <c r="AS83" s="2" t="e">
        <f t="shared" si="43"/>
        <v>#DIV/0!</v>
      </c>
    </row>
    <row r="84" spans="1:45" ht="20.100000000000001" hidden="1" customHeight="1">
      <c r="A84" s="12">
        <v>0</v>
      </c>
      <c r="B84" s="13">
        <f>'INTERNAL TEST-1  '!B84</f>
        <v>0</v>
      </c>
      <c r="C84" s="64">
        <f>'INTERNAL TEST-1  '!C84</f>
        <v>0</v>
      </c>
      <c r="D84" s="12"/>
      <c r="E84" s="12"/>
      <c r="F84" s="12"/>
      <c r="G84" s="12"/>
      <c r="H84" s="12"/>
      <c r="I84" s="12"/>
      <c r="J84" s="12"/>
      <c r="K84" s="12"/>
      <c r="L84" s="12"/>
      <c r="M84" s="12"/>
      <c r="N84" s="12"/>
      <c r="O84" s="57"/>
      <c r="P84" s="57"/>
      <c r="Q84" s="12"/>
      <c r="R84" s="12"/>
      <c r="S84" s="12"/>
      <c r="T84" s="12"/>
      <c r="U84" s="13">
        <f t="shared" si="26"/>
        <v>0</v>
      </c>
      <c r="V84" s="13">
        <f t="shared" si="27"/>
        <v>0</v>
      </c>
      <c r="W84" s="13">
        <f t="shared" si="28"/>
        <v>0</v>
      </c>
      <c r="X84" s="13">
        <f t="shared" si="29"/>
        <v>0</v>
      </c>
      <c r="Y84" s="13">
        <f t="shared" si="30"/>
        <v>0</v>
      </c>
      <c r="Z84" s="13">
        <f t="shared" si="31"/>
        <v>0</v>
      </c>
      <c r="AA84" s="13">
        <f t="shared" si="32"/>
        <v>0</v>
      </c>
      <c r="AB84" s="13">
        <f t="shared" si="33"/>
        <v>0</v>
      </c>
      <c r="AC84" s="13">
        <f t="shared" si="34"/>
        <v>0</v>
      </c>
      <c r="AD84" s="13">
        <f t="shared" si="35"/>
        <v>0</v>
      </c>
      <c r="AE84" s="13">
        <f t="shared" si="36"/>
        <v>0</v>
      </c>
      <c r="AF84" s="13">
        <f t="shared" si="37"/>
        <v>0</v>
      </c>
      <c r="AG84" s="13">
        <f t="shared" si="38"/>
        <v>0</v>
      </c>
      <c r="AH84" s="13" t="e">
        <f t="shared" si="13"/>
        <v>#DIV/0!</v>
      </c>
      <c r="AI84" s="13" t="e">
        <f t="shared" si="14"/>
        <v>#DIV/0!</v>
      </c>
      <c r="AJ84" s="13" t="e">
        <f t="shared" si="15"/>
        <v>#DIV/0!</v>
      </c>
      <c r="AK84" s="13" t="e">
        <f t="shared" si="16"/>
        <v>#DIV/0!</v>
      </c>
      <c r="AL84" s="13" t="e">
        <f t="shared" si="17"/>
        <v>#DIV/0!</v>
      </c>
      <c r="AM84" s="13" t="e">
        <f t="shared" si="18"/>
        <v>#DIV/0!</v>
      </c>
      <c r="AN84" s="13" t="e">
        <f t="shared" si="19"/>
        <v>#DIV/0!</v>
      </c>
      <c r="AO84" s="2" t="e">
        <f t="shared" si="39"/>
        <v>#DIV/0!</v>
      </c>
      <c r="AP84" s="2" t="e">
        <f t="shared" si="40"/>
        <v>#DIV/0!</v>
      </c>
      <c r="AQ84" s="2" t="e">
        <f t="shared" si="41"/>
        <v>#DIV/0!</v>
      </c>
      <c r="AR84" s="2" t="e">
        <f t="shared" si="42"/>
        <v>#DIV/0!</v>
      </c>
      <c r="AS84" s="2" t="e">
        <f t="shared" si="43"/>
        <v>#DIV/0!</v>
      </c>
    </row>
    <row r="85" spans="1:45" ht="20.100000000000001" hidden="1" customHeight="1">
      <c r="A85" s="12">
        <v>0</v>
      </c>
      <c r="B85" s="13">
        <f>'INTERNAL TEST-1  '!B85</f>
        <v>0</v>
      </c>
      <c r="C85" s="64">
        <f>'INTERNAL TEST-1  '!C85</f>
        <v>0</v>
      </c>
      <c r="D85" s="12"/>
      <c r="E85" s="12"/>
      <c r="F85" s="12"/>
      <c r="G85" s="12"/>
      <c r="H85" s="12"/>
      <c r="I85" s="12"/>
      <c r="J85" s="12"/>
      <c r="K85" s="12"/>
      <c r="L85" s="12"/>
      <c r="M85" s="12"/>
      <c r="N85" s="12"/>
      <c r="O85" s="57"/>
      <c r="P85" s="57"/>
      <c r="Q85" s="12"/>
      <c r="R85" s="12"/>
      <c r="S85" s="12"/>
      <c r="T85" s="12"/>
      <c r="U85" s="13">
        <f t="shared" si="26"/>
        <v>0</v>
      </c>
      <c r="V85" s="13">
        <f t="shared" si="27"/>
        <v>0</v>
      </c>
      <c r="W85" s="13">
        <f t="shared" si="28"/>
        <v>0</v>
      </c>
      <c r="X85" s="13">
        <f t="shared" si="29"/>
        <v>0</v>
      </c>
      <c r="Y85" s="13">
        <f t="shared" si="30"/>
        <v>0</v>
      </c>
      <c r="Z85" s="13">
        <f t="shared" si="31"/>
        <v>0</v>
      </c>
      <c r="AA85" s="13">
        <f t="shared" si="32"/>
        <v>0</v>
      </c>
      <c r="AB85" s="13">
        <f t="shared" si="33"/>
        <v>0</v>
      </c>
      <c r="AC85" s="13">
        <f t="shared" si="34"/>
        <v>0</v>
      </c>
      <c r="AD85" s="13">
        <f t="shared" si="35"/>
        <v>0</v>
      </c>
      <c r="AE85" s="13">
        <f t="shared" si="36"/>
        <v>0</v>
      </c>
      <c r="AF85" s="13">
        <f t="shared" si="37"/>
        <v>0</v>
      </c>
      <c r="AG85" s="13">
        <f t="shared" si="38"/>
        <v>0</v>
      </c>
      <c r="AH85" s="13" t="e">
        <f t="shared" si="13"/>
        <v>#DIV/0!</v>
      </c>
      <c r="AI85" s="13" t="e">
        <f t="shared" si="14"/>
        <v>#DIV/0!</v>
      </c>
      <c r="AJ85" s="13" t="e">
        <f t="shared" si="15"/>
        <v>#DIV/0!</v>
      </c>
      <c r="AK85" s="13" t="e">
        <f t="shared" si="16"/>
        <v>#DIV/0!</v>
      </c>
      <c r="AL85" s="13" t="e">
        <f t="shared" si="17"/>
        <v>#DIV/0!</v>
      </c>
      <c r="AM85" s="13" t="e">
        <f t="shared" si="18"/>
        <v>#DIV/0!</v>
      </c>
      <c r="AN85" s="13" t="e">
        <f t="shared" si="19"/>
        <v>#DIV/0!</v>
      </c>
      <c r="AO85" s="2" t="e">
        <f t="shared" si="39"/>
        <v>#DIV/0!</v>
      </c>
      <c r="AP85" s="2" t="e">
        <f t="shared" si="40"/>
        <v>#DIV/0!</v>
      </c>
      <c r="AQ85" s="2" t="e">
        <f t="shared" si="41"/>
        <v>#DIV/0!</v>
      </c>
      <c r="AR85" s="2" t="e">
        <f t="shared" si="42"/>
        <v>#DIV/0!</v>
      </c>
      <c r="AS85" s="2" t="e">
        <f t="shared" si="43"/>
        <v>#DIV/0!</v>
      </c>
    </row>
    <row r="86" spans="1:45" ht="20.100000000000001" hidden="1" customHeight="1">
      <c r="A86" s="12">
        <v>0</v>
      </c>
      <c r="B86" s="13">
        <f>'INTERNAL TEST-1  '!B86</f>
        <v>0</v>
      </c>
      <c r="C86" s="64">
        <f>'INTERNAL TEST-1  '!C86</f>
        <v>0</v>
      </c>
      <c r="D86" s="12"/>
      <c r="E86" s="12"/>
      <c r="F86" s="12"/>
      <c r="G86" s="12"/>
      <c r="H86" s="12"/>
      <c r="I86" s="12"/>
      <c r="J86" s="12"/>
      <c r="K86" s="12"/>
      <c r="L86" s="12"/>
      <c r="M86" s="12"/>
      <c r="N86" s="12"/>
      <c r="O86" s="57"/>
      <c r="P86" s="57"/>
      <c r="Q86" s="12"/>
      <c r="R86" s="12"/>
      <c r="S86" s="12"/>
      <c r="T86" s="12"/>
      <c r="U86" s="13">
        <f t="shared" si="26"/>
        <v>0</v>
      </c>
      <c r="V86" s="13">
        <f t="shared" si="27"/>
        <v>0</v>
      </c>
      <c r="W86" s="13">
        <f t="shared" si="28"/>
        <v>0</v>
      </c>
      <c r="X86" s="13">
        <f t="shared" si="29"/>
        <v>0</v>
      </c>
      <c r="Y86" s="13">
        <f t="shared" si="30"/>
        <v>0</v>
      </c>
      <c r="Z86" s="13">
        <f t="shared" si="31"/>
        <v>0</v>
      </c>
      <c r="AA86" s="13">
        <f t="shared" si="32"/>
        <v>0</v>
      </c>
      <c r="AB86" s="13">
        <f t="shared" si="33"/>
        <v>0</v>
      </c>
      <c r="AC86" s="13">
        <f t="shared" si="34"/>
        <v>0</v>
      </c>
      <c r="AD86" s="13">
        <f t="shared" si="35"/>
        <v>0</v>
      </c>
      <c r="AE86" s="13">
        <f t="shared" si="36"/>
        <v>0</v>
      </c>
      <c r="AF86" s="13">
        <f t="shared" si="37"/>
        <v>0</v>
      </c>
      <c r="AG86" s="13">
        <f t="shared" si="38"/>
        <v>0</v>
      </c>
      <c r="AH86" s="13" t="e">
        <f t="shared" si="13"/>
        <v>#DIV/0!</v>
      </c>
      <c r="AI86" s="13" t="e">
        <f t="shared" si="14"/>
        <v>#DIV/0!</v>
      </c>
      <c r="AJ86" s="13" t="e">
        <f t="shared" si="15"/>
        <v>#DIV/0!</v>
      </c>
      <c r="AK86" s="13" t="e">
        <f t="shared" si="16"/>
        <v>#DIV/0!</v>
      </c>
      <c r="AL86" s="13" t="e">
        <f t="shared" si="17"/>
        <v>#DIV/0!</v>
      </c>
      <c r="AM86" s="13" t="e">
        <f t="shared" si="18"/>
        <v>#DIV/0!</v>
      </c>
      <c r="AN86" s="13" t="e">
        <f t="shared" si="19"/>
        <v>#DIV/0!</v>
      </c>
      <c r="AO86" s="2" t="e">
        <f t="shared" si="39"/>
        <v>#DIV/0!</v>
      </c>
      <c r="AP86" s="2" t="e">
        <f t="shared" si="40"/>
        <v>#DIV/0!</v>
      </c>
      <c r="AQ86" s="2" t="e">
        <f t="shared" si="41"/>
        <v>#DIV/0!</v>
      </c>
      <c r="AR86" s="2" t="e">
        <f t="shared" si="42"/>
        <v>#DIV/0!</v>
      </c>
      <c r="AS86" s="2" t="e">
        <f t="shared" si="43"/>
        <v>#DIV/0!</v>
      </c>
    </row>
    <row r="87" spans="1:45" ht="20.100000000000001" hidden="1" customHeight="1">
      <c r="A87" s="12">
        <v>0</v>
      </c>
      <c r="B87" s="13">
        <f>'INTERNAL TEST-1  '!B87</f>
        <v>0</v>
      </c>
      <c r="C87" s="64">
        <f>'INTERNAL TEST-1  '!C87</f>
        <v>0</v>
      </c>
      <c r="D87" s="12"/>
      <c r="E87" s="12"/>
      <c r="F87" s="12"/>
      <c r="G87" s="12"/>
      <c r="H87" s="12"/>
      <c r="I87" s="12"/>
      <c r="J87" s="12"/>
      <c r="K87" s="12"/>
      <c r="L87" s="12"/>
      <c r="M87" s="12"/>
      <c r="N87" s="12"/>
      <c r="O87" s="57"/>
      <c r="P87" s="57"/>
      <c r="Q87" s="12"/>
      <c r="R87" s="12"/>
      <c r="S87" s="12"/>
      <c r="T87" s="12"/>
      <c r="U87" s="13">
        <f t="shared" si="26"/>
        <v>0</v>
      </c>
      <c r="V87" s="13">
        <f t="shared" si="27"/>
        <v>0</v>
      </c>
      <c r="W87" s="13">
        <f t="shared" si="28"/>
        <v>0</v>
      </c>
      <c r="X87" s="13">
        <f t="shared" si="29"/>
        <v>0</v>
      </c>
      <c r="Y87" s="13">
        <f t="shared" si="30"/>
        <v>0</v>
      </c>
      <c r="Z87" s="13">
        <f t="shared" si="31"/>
        <v>0</v>
      </c>
      <c r="AA87" s="13">
        <f t="shared" si="32"/>
        <v>0</v>
      </c>
      <c r="AB87" s="13">
        <f t="shared" si="33"/>
        <v>0</v>
      </c>
      <c r="AC87" s="13">
        <f t="shared" si="34"/>
        <v>0</v>
      </c>
      <c r="AD87" s="13">
        <f t="shared" si="35"/>
        <v>0</v>
      </c>
      <c r="AE87" s="13">
        <f t="shared" si="36"/>
        <v>0</v>
      </c>
      <c r="AF87" s="13">
        <f t="shared" si="37"/>
        <v>0</v>
      </c>
      <c r="AG87" s="13">
        <f t="shared" si="38"/>
        <v>0</v>
      </c>
      <c r="AH87" s="13" t="e">
        <f t="shared" si="13"/>
        <v>#DIV/0!</v>
      </c>
      <c r="AI87" s="13" t="e">
        <f t="shared" si="14"/>
        <v>#DIV/0!</v>
      </c>
      <c r="AJ87" s="13" t="e">
        <f t="shared" si="15"/>
        <v>#DIV/0!</v>
      </c>
      <c r="AK87" s="13" t="e">
        <f t="shared" si="16"/>
        <v>#DIV/0!</v>
      </c>
      <c r="AL87" s="13" t="e">
        <f t="shared" si="17"/>
        <v>#DIV/0!</v>
      </c>
      <c r="AM87" s="13" t="e">
        <f t="shared" si="18"/>
        <v>#DIV/0!</v>
      </c>
      <c r="AN87" s="13" t="e">
        <f t="shared" si="19"/>
        <v>#DIV/0!</v>
      </c>
      <c r="AO87" s="2" t="e">
        <f t="shared" si="39"/>
        <v>#DIV/0!</v>
      </c>
      <c r="AP87" s="2" t="e">
        <f t="shared" si="40"/>
        <v>#DIV/0!</v>
      </c>
      <c r="AQ87" s="2" t="e">
        <f t="shared" si="41"/>
        <v>#DIV/0!</v>
      </c>
      <c r="AR87" s="2" t="e">
        <f t="shared" si="42"/>
        <v>#DIV/0!</v>
      </c>
      <c r="AS87" s="2" t="e">
        <f t="shared" si="43"/>
        <v>#DIV/0!</v>
      </c>
    </row>
    <row r="88" spans="1:45" ht="20.100000000000001" hidden="1" customHeight="1">
      <c r="A88" s="12">
        <v>0</v>
      </c>
      <c r="B88" s="13">
        <f>'INTERNAL TEST-1  '!B88</f>
        <v>0</v>
      </c>
      <c r="C88" s="64">
        <f>'INTERNAL TEST-1  '!C88</f>
        <v>0</v>
      </c>
      <c r="D88" s="12"/>
      <c r="E88" s="12"/>
      <c r="F88" s="12"/>
      <c r="G88" s="12"/>
      <c r="H88" s="12"/>
      <c r="I88" s="12"/>
      <c r="J88" s="12"/>
      <c r="K88" s="12"/>
      <c r="L88" s="12"/>
      <c r="M88" s="12"/>
      <c r="N88" s="12"/>
      <c r="O88" s="57"/>
      <c r="P88" s="57"/>
      <c r="Q88" s="12"/>
      <c r="R88" s="12"/>
      <c r="S88" s="12"/>
      <c r="T88" s="12"/>
      <c r="U88" s="13">
        <f t="shared" si="26"/>
        <v>0</v>
      </c>
      <c r="V88" s="13">
        <f t="shared" si="27"/>
        <v>0</v>
      </c>
      <c r="W88" s="13">
        <f t="shared" si="28"/>
        <v>0</v>
      </c>
      <c r="X88" s="13">
        <f t="shared" si="29"/>
        <v>0</v>
      </c>
      <c r="Y88" s="13">
        <f t="shared" si="30"/>
        <v>0</v>
      </c>
      <c r="Z88" s="13">
        <f t="shared" si="31"/>
        <v>0</v>
      </c>
      <c r="AA88" s="13">
        <f t="shared" si="32"/>
        <v>0</v>
      </c>
      <c r="AB88" s="13">
        <f t="shared" si="33"/>
        <v>0</v>
      </c>
      <c r="AC88" s="13">
        <f t="shared" si="34"/>
        <v>0</v>
      </c>
      <c r="AD88" s="13">
        <f t="shared" si="35"/>
        <v>0</v>
      </c>
      <c r="AE88" s="13">
        <f t="shared" si="36"/>
        <v>0</v>
      </c>
      <c r="AF88" s="13">
        <f t="shared" si="37"/>
        <v>0</v>
      </c>
      <c r="AG88" s="13">
        <f t="shared" si="38"/>
        <v>0</v>
      </c>
      <c r="AH88" s="13" t="e">
        <f t="shared" si="13"/>
        <v>#DIV/0!</v>
      </c>
      <c r="AI88" s="13" t="e">
        <f t="shared" si="14"/>
        <v>#DIV/0!</v>
      </c>
      <c r="AJ88" s="13" t="e">
        <f t="shared" si="15"/>
        <v>#DIV/0!</v>
      </c>
      <c r="AK88" s="13" t="e">
        <f t="shared" si="16"/>
        <v>#DIV/0!</v>
      </c>
      <c r="AL88" s="13" t="e">
        <f t="shared" si="17"/>
        <v>#DIV/0!</v>
      </c>
      <c r="AM88" s="13" t="e">
        <f t="shared" si="18"/>
        <v>#DIV/0!</v>
      </c>
      <c r="AN88" s="13" t="e">
        <f t="shared" si="19"/>
        <v>#DIV/0!</v>
      </c>
      <c r="AO88" s="2" t="e">
        <f t="shared" si="39"/>
        <v>#DIV/0!</v>
      </c>
      <c r="AP88" s="2" t="e">
        <f t="shared" si="40"/>
        <v>#DIV/0!</v>
      </c>
      <c r="AQ88" s="2" t="e">
        <f t="shared" si="41"/>
        <v>#DIV/0!</v>
      </c>
      <c r="AR88" s="2" t="e">
        <f t="shared" si="42"/>
        <v>#DIV/0!</v>
      </c>
      <c r="AS88" s="2" t="e">
        <f t="shared" si="43"/>
        <v>#DIV/0!</v>
      </c>
    </row>
    <row r="89" spans="1:45" ht="20.100000000000001" hidden="1" customHeight="1">
      <c r="A89" s="12">
        <v>0</v>
      </c>
      <c r="B89" s="13">
        <f>'INTERNAL TEST-1  '!B89</f>
        <v>0</v>
      </c>
      <c r="C89" s="64">
        <f>'INTERNAL TEST-1  '!C89</f>
        <v>0</v>
      </c>
      <c r="D89" s="12"/>
      <c r="E89" s="12"/>
      <c r="F89" s="12"/>
      <c r="G89" s="12"/>
      <c r="H89" s="12"/>
      <c r="I89" s="12"/>
      <c r="J89" s="12"/>
      <c r="K89" s="12"/>
      <c r="L89" s="12"/>
      <c r="M89" s="12"/>
      <c r="N89" s="12"/>
      <c r="O89" s="57"/>
      <c r="P89" s="57"/>
      <c r="Q89" s="12"/>
      <c r="R89" s="12"/>
      <c r="S89" s="12"/>
      <c r="T89" s="12"/>
      <c r="U89" s="13">
        <f t="shared" si="26"/>
        <v>0</v>
      </c>
      <c r="V89" s="13">
        <f t="shared" si="27"/>
        <v>0</v>
      </c>
      <c r="W89" s="13">
        <f t="shared" si="28"/>
        <v>0</v>
      </c>
      <c r="X89" s="13">
        <f t="shared" si="29"/>
        <v>0</v>
      </c>
      <c r="Y89" s="13">
        <f t="shared" si="30"/>
        <v>0</v>
      </c>
      <c r="Z89" s="13">
        <f t="shared" si="31"/>
        <v>0</v>
      </c>
      <c r="AA89" s="13">
        <f t="shared" si="32"/>
        <v>0</v>
      </c>
      <c r="AB89" s="13">
        <f t="shared" si="33"/>
        <v>0</v>
      </c>
      <c r="AC89" s="13">
        <f t="shared" si="34"/>
        <v>0</v>
      </c>
      <c r="AD89" s="13">
        <f t="shared" si="35"/>
        <v>0</v>
      </c>
      <c r="AE89" s="13">
        <f t="shared" si="36"/>
        <v>0</v>
      </c>
      <c r="AF89" s="13">
        <f t="shared" si="37"/>
        <v>0</v>
      </c>
      <c r="AG89" s="13">
        <f t="shared" si="38"/>
        <v>0</v>
      </c>
      <c r="AH89" s="13" t="e">
        <f t="shared" si="13"/>
        <v>#DIV/0!</v>
      </c>
      <c r="AI89" s="13" t="e">
        <f t="shared" si="14"/>
        <v>#DIV/0!</v>
      </c>
      <c r="AJ89" s="13" t="e">
        <f t="shared" si="15"/>
        <v>#DIV/0!</v>
      </c>
      <c r="AK89" s="13" t="e">
        <f t="shared" si="16"/>
        <v>#DIV/0!</v>
      </c>
      <c r="AL89" s="13" t="e">
        <f t="shared" si="17"/>
        <v>#DIV/0!</v>
      </c>
      <c r="AM89" s="13" t="e">
        <f t="shared" si="18"/>
        <v>#DIV/0!</v>
      </c>
      <c r="AN89" s="13" t="e">
        <f t="shared" si="19"/>
        <v>#DIV/0!</v>
      </c>
      <c r="AO89" s="2" t="e">
        <f t="shared" si="39"/>
        <v>#DIV/0!</v>
      </c>
      <c r="AP89" s="2" t="e">
        <f t="shared" si="40"/>
        <v>#DIV/0!</v>
      </c>
      <c r="AQ89" s="2" t="e">
        <f t="shared" si="41"/>
        <v>#DIV/0!</v>
      </c>
      <c r="AR89" s="2" t="e">
        <f t="shared" si="42"/>
        <v>#DIV/0!</v>
      </c>
      <c r="AS89" s="2" t="e">
        <f t="shared" si="43"/>
        <v>#DIV/0!</v>
      </c>
    </row>
    <row r="90" spans="1:45" ht="20.100000000000001" hidden="1" customHeight="1">
      <c r="A90" s="12">
        <v>0</v>
      </c>
      <c r="B90" s="13">
        <f>'INTERNAL TEST-1  '!B90</f>
        <v>0</v>
      </c>
      <c r="C90" s="64">
        <f>'INTERNAL TEST-1  '!C90</f>
        <v>0</v>
      </c>
      <c r="D90" s="12"/>
      <c r="E90" s="12"/>
      <c r="F90" s="12"/>
      <c r="G90" s="12"/>
      <c r="H90" s="12"/>
      <c r="I90" s="12"/>
      <c r="J90" s="12"/>
      <c r="K90" s="12"/>
      <c r="L90" s="12"/>
      <c r="M90" s="12"/>
      <c r="N90" s="12"/>
      <c r="O90" s="57"/>
      <c r="P90" s="57"/>
      <c r="Q90" s="12"/>
      <c r="R90" s="12"/>
      <c r="S90" s="12"/>
      <c r="T90" s="12"/>
      <c r="U90" s="13">
        <f t="shared" si="26"/>
        <v>0</v>
      </c>
      <c r="V90" s="13">
        <f t="shared" si="27"/>
        <v>0</v>
      </c>
      <c r="W90" s="13">
        <f t="shared" si="28"/>
        <v>0</v>
      </c>
      <c r="X90" s="13">
        <f t="shared" si="29"/>
        <v>0</v>
      </c>
      <c r="Y90" s="13">
        <f t="shared" si="30"/>
        <v>0</v>
      </c>
      <c r="Z90" s="13">
        <f t="shared" si="31"/>
        <v>0</v>
      </c>
      <c r="AA90" s="13">
        <f t="shared" si="32"/>
        <v>0</v>
      </c>
      <c r="AB90" s="13">
        <f t="shared" si="33"/>
        <v>0</v>
      </c>
      <c r="AC90" s="13">
        <f t="shared" si="34"/>
        <v>0</v>
      </c>
      <c r="AD90" s="13">
        <f t="shared" si="35"/>
        <v>0</v>
      </c>
      <c r="AE90" s="13">
        <f t="shared" si="36"/>
        <v>0</v>
      </c>
      <c r="AF90" s="13">
        <f t="shared" si="37"/>
        <v>0</v>
      </c>
      <c r="AG90" s="13">
        <f t="shared" si="38"/>
        <v>0</v>
      </c>
      <c r="AH90" s="13" t="e">
        <f t="shared" si="13"/>
        <v>#DIV/0!</v>
      </c>
      <c r="AI90" s="13" t="e">
        <f t="shared" si="14"/>
        <v>#DIV/0!</v>
      </c>
      <c r="AJ90" s="13" t="e">
        <f t="shared" si="15"/>
        <v>#DIV/0!</v>
      </c>
      <c r="AK90" s="13" t="e">
        <f t="shared" si="16"/>
        <v>#DIV/0!</v>
      </c>
      <c r="AL90" s="13" t="e">
        <f t="shared" si="17"/>
        <v>#DIV/0!</v>
      </c>
      <c r="AM90" s="13" t="e">
        <f t="shared" si="18"/>
        <v>#DIV/0!</v>
      </c>
      <c r="AN90" s="13" t="e">
        <f t="shared" si="19"/>
        <v>#DIV/0!</v>
      </c>
      <c r="AO90" s="2" t="e">
        <f t="shared" si="39"/>
        <v>#DIV/0!</v>
      </c>
      <c r="AP90" s="2" t="e">
        <f t="shared" si="40"/>
        <v>#DIV/0!</v>
      </c>
      <c r="AQ90" s="2" t="e">
        <f t="shared" si="41"/>
        <v>#DIV/0!</v>
      </c>
      <c r="AR90" s="2" t="e">
        <f t="shared" si="42"/>
        <v>#DIV/0!</v>
      </c>
      <c r="AS90" s="2" t="e">
        <f t="shared" si="43"/>
        <v>#DIV/0!</v>
      </c>
    </row>
    <row r="91" spans="1:45" ht="20.100000000000001" hidden="1" customHeight="1">
      <c r="A91" s="12">
        <v>0</v>
      </c>
      <c r="B91" s="13">
        <f>'INTERNAL TEST-1  '!B91</f>
        <v>0</v>
      </c>
      <c r="C91" s="64">
        <f>'INTERNAL TEST-1  '!C91</f>
        <v>0</v>
      </c>
      <c r="D91" s="12"/>
      <c r="E91" s="12"/>
      <c r="F91" s="12"/>
      <c r="G91" s="12"/>
      <c r="H91" s="12"/>
      <c r="I91" s="12"/>
      <c r="J91" s="12"/>
      <c r="K91" s="12"/>
      <c r="L91" s="12"/>
      <c r="M91" s="12"/>
      <c r="N91" s="12"/>
      <c r="O91" s="57"/>
      <c r="P91" s="57"/>
      <c r="Q91" s="12"/>
      <c r="R91" s="12"/>
      <c r="S91" s="12"/>
      <c r="T91" s="12"/>
      <c r="U91" s="13">
        <f t="shared" si="26"/>
        <v>0</v>
      </c>
      <c r="V91" s="13">
        <f t="shared" si="27"/>
        <v>0</v>
      </c>
      <c r="W91" s="13">
        <f t="shared" si="28"/>
        <v>0</v>
      </c>
      <c r="X91" s="13">
        <f t="shared" si="29"/>
        <v>0</v>
      </c>
      <c r="Y91" s="13">
        <f t="shared" si="30"/>
        <v>0</v>
      </c>
      <c r="Z91" s="13">
        <f t="shared" si="31"/>
        <v>0</v>
      </c>
      <c r="AA91" s="13">
        <f t="shared" si="32"/>
        <v>0</v>
      </c>
      <c r="AB91" s="13">
        <f t="shared" si="33"/>
        <v>0</v>
      </c>
      <c r="AC91" s="13">
        <f t="shared" si="34"/>
        <v>0</v>
      </c>
      <c r="AD91" s="13">
        <f t="shared" si="35"/>
        <v>0</v>
      </c>
      <c r="AE91" s="13">
        <f t="shared" si="36"/>
        <v>0</v>
      </c>
      <c r="AF91" s="13">
        <f t="shared" si="37"/>
        <v>0</v>
      </c>
      <c r="AG91" s="13">
        <f t="shared" si="38"/>
        <v>0</v>
      </c>
      <c r="AH91" s="13" t="e">
        <f t="shared" si="13"/>
        <v>#DIV/0!</v>
      </c>
      <c r="AI91" s="13" t="e">
        <f t="shared" si="14"/>
        <v>#DIV/0!</v>
      </c>
      <c r="AJ91" s="13" t="e">
        <f t="shared" si="15"/>
        <v>#DIV/0!</v>
      </c>
      <c r="AK91" s="13" t="e">
        <f t="shared" si="16"/>
        <v>#DIV/0!</v>
      </c>
      <c r="AL91" s="13" t="e">
        <f t="shared" si="17"/>
        <v>#DIV/0!</v>
      </c>
      <c r="AM91" s="13" t="e">
        <f t="shared" si="18"/>
        <v>#DIV/0!</v>
      </c>
      <c r="AN91" s="13" t="e">
        <f t="shared" si="19"/>
        <v>#DIV/0!</v>
      </c>
      <c r="AO91" s="2" t="e">
        <f t="shared" si="39"/>
        <v>#DIV/0!</v>
      </c>
      <c r="AP91" s="2" t="e">
        <f t="shared" si="40"/>
        <v>#DIV/0!</v>
      </c>
      <c r="AQ91" s="2" t="e">
        <f t="shared" si="41"/>
        <v>#DIV/0!</v>
      </c>
      <c r="AR91" s="2" t="e">
        <f t="shared" si="42"/>
        <v>#DIV/0!</v>
      </c>
      <c r="AS91" s="2" t="e">
        <f t="shared" si="43"/>
        <v>#DIV/0!</v>
      </c>
    </row>
    <row r="92" spans="1:45" ht="20.100000000000001" hidden="1" customHeight="1">
      <c r="A92" s="12">
        <v>0</v>
      </c>
      <c r="B92" s="13">
        <f>'INTERNAL TEST-1  '!B92</f>
        <v>0</v>
      </c>
      <c r="C92" s="64">
        <f>'INTERNAL TEST-1  '!C92</f>
        <v>0</v>
      </c>
      <c r="D92" s="12"/>
      <c r="E92" s="12"/>
      <c r="F92" s="12"/>
      <c r="G92" s="12"/>
      <c r="H92" s="12"/>
      <c r="I92" s="12"/>
      <c r="J92" s="12"/>
      <c r="K92" s="12"/>
      <c r="L92" s="12"/>
      <c r="M92" s="12"/>
      <c r="N92" s="12"/>
      <c r="O92" s="57"/>
      <c r="P92" s="57"/>
      <c r="Q92" s="12"/>
      <c r="R92" s="12"/>
      <c r="S92" s="12"/>
      <c r="T92" s="12"/>
      <c r="U92" s="13">
        <f t="shared" si="26"/>
        <v>0</v>
      </c>
      <c r="V92" s="13">
        <f t="shared" si="27"/>
        <v>0</v>
      </c>
      <c r="W92" s="13">
        <f t="shared" si="28"/>
        <v>0</v>
      </c>
      <c r="X92" s="13">
        <f t="shared" si="29"/>
        <v>0</v>
      </c>
      <c r="Y92" s="13">
        <f t="shared" si="30"/>
        <v>0</v>
      </c>
      <c r="Z92" s="13">
        <f t="shared" si="31"/>
        <v>0</v>
      </c>
      <c r="AA92" s="13">
        <f t="shared" si="32"/>
        <v>0</v>
      </c>
      <c r="AB92" s="13">
        <f t="shared" si="33"/>
        <v>0</v>
      </c>
      <c r="AC92" s="13">
        <f t="shared" si="34"/>
        <v>0</v>
      </c>
      <c r="AD92" s="13">
        <f t="shared" si="35"/>
        <v>0</v>
      </c>
      <c r="AE92" s="13">
        <f t="shared" si="36"/>
        <v>0</v>
      </c>
      <c r="AF92" s="13">
        <f t="shared" si="37"/>
        <v>0</v>
      </c>
      <c r="AG92" s="13">
        <f t="shared" si="38"/>
        <v>0</v>
      </c>
      <c r="AH92" s="13" t="e">
        <f t="shared" si="13"/>
        <v>#DIV/0!</v>
      </c>
      <c r="AI92" s="13" t="e">
        <f t="shared" si="14"/>
        <v>#DIV/0!</v>
      </c>
      <c r="AJ92" s="13" t="e">
        <f t="shared" si="15"/>
        <v>#DIV/0!</v>
      </c>
      <c r="AK92" s="13" t="e">
        <f t="shared" si="16"/>
        <v>#DIV/0!</v>
      </c>
      <c r="AL92" s="13" t="e">
        <f t="shared" si="17"/>
        <v>#DIV/0!</v>
      </c>
      <c r="AM92" s="13" t="e">
        <f t="shared" si="18"/>
        <v>#DIV/0!</v>
      </c>
      <c r="AN92" s="13" t="e">
        <f t="shared" si="19"/>
        <v>#DIV/0!</v>
      </c>
      <c r="AO92" s="2" t="e">
        <f t="shared" si="39"/>
        <v>#DIV/0!</v>
      </c>
      <c r="AP92" s="2" t="e">
        <f t="shared" si="40"/>
        <v>#DIV/0!</v>
      </c>
      <c r="AQ92" s="2" t="e">
        <f t="shared" si="41"/>
        <v>#DIV/0!</v>
      </c>
      <c r="AR92" s="2" t="e">
        <f t="shared" si="42"/>
        <v>#DIV/0!</v>
      </c>
      <c r="AS92" s="2" t="e">
        <f t="shared" si="43"/>
        <v>#DIV/0!</v>
      </c>
    </row>
    <row r="93" spans="1:45" ht="20.100000000000001" hidden="1" customHeight="1">
      <c r="A93" s="12">
        <v>0</v>
      </c>
      <c r="B93" s="13">
        <f>'INTERNAL TEST-1  '!B93</f>
        <v>0</v>
      </c>
      <c r="C93" s="64">
        <f>'INTERNAL TEST-1  '!C93</f>
        <v>0</v>
      </c>
      <c r="D93" s="12"/>
      <c r="E93" s="12"/>
      <c r="F93" s="12"/>
      <c r="G93" s="12"/>
      <c r="H93" s="12"/>
      <c r="I93" s="12"/>
      <c r="J93" s="12"/>
      <c r="K93" s="12"/>
      <c r="L93" s="12"/>
      <c r="M93" s="12"/>
      <c r="N93" s="12"/>
      <c r="O93" s="57"/>
      <c r="P93" s="57"/>
      <c r="Q93" s="12"/>
      <c r="R93" s="12"/>
      <c r="S93" s="12"/>
      <c r="T93" s="12"/>
      <c r="U93" s="13">
        <f t="shared" si="26"/>
        <v>0</v>
      </c>
      <c r="V93" s="13">
        <f t="shared" si="27"/>
        <v>0</v>
      </c>
      <c r="W93" s="13">
        <f t="shared" si="28"/>
        <v>0</v>
      </c>
      <c r="X93" s="13">
        <f t="shared" si="29"/>
        <v>0</v>
      </c>
      <c r="Y93" s="13">
        <f t="shared" si="30"/>
        <v>0</v>
      </c>
      <c r="Z93" s="13">
        <f t="shared" si="31"/>
        <v>0</v>
      </c>
      <c r="AA93" s="13">
        <f t="shared" si="32"/>
        <v>0</v>
      </c>
      <c r="AB93" s="13">
        <f t="shared" si="33"/>
        <v>0</v>
      </c>
      <c r="AC93" s="13">
        <f t="shared" si="34"/>
        <v>0</v>
      </c>
      <c r="AD93" s="13">
        <f t="shared" si="35"/>
        <v>0</v>
      </c>
      <c r="AE93" s="13">
        <f t="shared" si="36"/>
        <v>0</v>
      </c>
      <c r="AF93" s="13">
        <f t="shared" si="37"/>
        <v>0</v>
      </c>
      <c r="AG93" s="13">
        <f t="shared" si="38"/>
        <v>0</v>
      </c>
      <c r="AH93" s="13" t="e">
        <f t="shared" si="13"/>
        <v>#DIV/0!</v>
      </c>
      <c r="AI93" s="13" t="e">
        <f t="shared" si="14"/>
        <v>#DIV/0!</v>
      </c>
      <c r="AJ93" s="13" t="e">
        <f t="shared" si="15"/>
        <v>#DIV/0!</v>
      </c>
      <c r="AK93" s="13" t="e">
        <f t="shared" si="16"/>
        <v>#DIV/0!</v>
      </c>
      <c r="AL93" s="13" t="e">
        <f t="shared" si="17"/>
        <v>#DIV/0!</v>
      </c>
      <c r="AM93" s="13" t="e">
        <f t="shared" si="18"/>
        <v>#DIV/0!</v>
      </c>
      <c r="AN93" s="13" t="e">
        <f t="shared" si="19"/>
        <v>#DIV/0!</v>
      </c>
      <c r="AO93" s="2" t="e">
        <f t="shared" si="39"/>
        <v>#DIV/0!</v>
      </c>
      <c r="AP93" s="2" t="e">
        <f t="shared" si="40"/>
        <v>#DIV/0!</v>
      </c>
      <c r="AQ93" s="2" t="e">
        <f t="shared" si="41"/>
        <v>#DIV/0!</v>
      </c>
      <c r="AR93" s="2" t="e">
        <f t="shared" si="42"/>
        <v>#DIV/0!</v>
      </c>
      <c r="AS93" s="2" t="e">
        <f t="shared" si="43"/>
        <v>#DIV/0!</v>
      </c>
    </row>
    <row r="94" spans="1:45" ht="20.100000000000001" hidden="1" customHeight="1">
      <c r="A94" s="12">
        <v>0</v>
      </c>
      <c r="B94" s="13">
        <f>'INTERNAL TEST-1  '!B94</f>
        <v>0</v>
      </c>
      <c r="C94" s="64">
        <f>'INTERNAL TEST-1  '!C94</f>
        <v>0</v>
      </c>
      <c r="D94" s="12"/>
      <c r="E94" s="12"/>
      <c r="F94" s="12"/>
      <c r="G94" s="12"/>
      <c r="H94" s="12"/>
      <c r="I94" s="12"/>
      <c r="J94" s="12"/>
      <c r="K94" s="12"/>
      <c r="L94" s="12"/>
      <c r="M94" s="12"/>
      <c r="N94" s="12"/>
      <c r="O94" s="57"/>
      <c r="P94" s="57"/>
      <c r="Q94" s="12"/>
      <c r="R94" s="12"/>
      <c r="S94" s="12"/>
      <c r="T94" s="12"/>
      <c r="U94" s="13">
        <f t="shared" si="26"/>
        <v>0</v>
      </c>
      <c r="V94" s="13">
        <f t="shared" si="27"/>
        <v>0</v>
      </c>
      <c r="W94" s="13">
        <f t="shared" si="28"/>
        <v>0</v>
      </c>
      <c r="X94" s="13">
        <f t="shared" si="29"/>
        <v>0</v>
      </c>
      <c r="Y94" s="13">
        <f t="shared" si="30"/>
        <v>0</v>
      </c>
      <c r="Z94" s="13">
        <f t="shared" si="31"/>
        <v>0</v>
      </c>
      <c r="AA94" s="13">
        <f t="shared" si="32"/>
        <v>0</v>
      </c>
      <c r="AB94" s="13">
        <f t="shared" si="33"/>
        <v>0</v>
      </c>
      <c r="AC94" s="13">
        <f t="shared" si="34"/>
        <v>0</v>
      </c>
      <c r="AD94" s="13">
        <f t="shared" si="35"/>
        <v>0</v>
      </c>
      <c r="AE94" s="13">
        <f t="shared" si="36"/>
        <v>0</v>
      </c>
      <c r="AF94" s="13">
        <f t="shared" si="37"/>
        <v>0</v>
      </c>
      <c r="AG94" s="13">
        <f t="shared" si="38"/>
        <v>0</v>
      </c>
      <c r="AH94" s="13" t="e">
        <f t="shared" si="13"/>
        <v>#DIV/0!</v>
      </c>
      <c r="AI94" s="13" t="e">
        <f t="shared" si="14"/>
        <v>#DIV/0!</v>
      </c>
      <c r="AJ94" s="13" t="e">
        <f t="shared" si="15"/>
        <v>#DIV/0!</v>
      </c>
      <c r="AK94" s="13" t="e">
        <f t="shared" si="16"/>
        <v>#DIV/0!</v>
      </c>
      <c r="AL94" s="13" t="e">
        <f t="shared" si="17"/>
        <v>#DIV/0!</v>
      </c>
      <c r="AM94" s="13" t="e">
        <f t="shared" si="18"/>
        <v>#DIV/0!</v>
      </c>
      <c r="AN94" s="13" t="e">
        <f t="shared" si="19"/>
        <v>#DIV/0!</v>
      </c>
      <c r="AO94" s="2" t="e">
        <f t="shared" si="39"/>
        <v>#DIV/0!</v>
      </c>
      <c r="AP94" s="2" t="e">
        <f t="shared" si="40"/>
        <v>#DIV/0!</v>
      </c>
      <c r="AQ94" s="2" t="e">
        <f t="shared" si="41"/>
        <v>#DIV/0!</v>
      </c>
      <c r="AR94" s="2" t="e">
        <f t="shared" si="42"/>
        <v>#DIV/0!</v>
      </c>
      <c r="AS94" s="2" t="e">
        <f t="shared" si="43"/>
        <v>#DIV/0!</v>
      </c>
    </row>
    <row r="95" spans="1:45" ht="20.100000000000001" hidden="1" customHeight="1">
      <c r="A95" s="12">
        <v>0</v>
      </c>
      <c r="B95" s="13">
        <f>'INTERNAL TEST-1  '!B95</f>
        <v>0</v>
      </c>
      <c r="C95" s="64">
        <f>'INTERNAL TEST-1  '!C95</f>
        <v>0</v>
      </c>
      <c r="D95" s="12"/>
      <c r="E95" s="12"/>
      <c r="F95" s="12"/>
      <c r="G95" s="12"/>
      <c r="H95" s="12"/>
      <c r="I95" s="12"/>
      <c r="J95" s="12"/>
      <c r="K95" s="12"/>
      <c r="L95" s="12"/>
      <c r="M95" s="12"/>
      <c r="N95" s="12"/>
      <c r="O95" s="57"/>
      <c r="P95" s="57"/>
      <c r="Q95" s="12"/>
      <c r="R95" s="12"/>
      <c r="S95" s="12"/>
      <c r="T95" s="12"/>
      <c r="U95" s="13">
        <f t="shared" si="26"/>
        <v>0</v>
      </c>
      <c r="V95" s="13">
        <f t="shared" si="27"/>
        <v>0</v>
      </c>
      <c r="W95" s="13">
        <f t="shared" si="28"/>
        <v>0</v>
      </c>
      <c r="X95" s="13">
        <f t="shared" si="29"/>
        <v>0</v>
      </c>
      <c r="Y95" s="13">
        <f t="shared" si="30"/>
        <v>0</v>
      </c>
      <c r="Z95" s="13">
        <f t="shared" si="31"/>
        <v>0</v>
      </c>
      <c r="AA95" s="13">
        <f t="shared" si="32"/>
        <v>0</v>
      </c>
      <c r="AB95" s="13">
        <f t="shared" si="33"/>
        <v>0</v>
      </c>
      <c r="AC95" s="13">
        <f t="shared" si="34"/>
        <v>0</v>
      </c>
      <c r="AD95" s="13">
        <f t="shared" si="35"/>
        <v>0</v>
      </c>
      <c r="AE95" s="13">
        <f t="shared" si="36"/>
        <v>0</v>
      </c>
      <c r="AF95" s="13">
        <f t="shared" si="37"/>
        <v>0</v>
      </c>
      <c r="AG95" s="13">
        <f t="shared" si="38"/>
        <v>0</v>
      </c>
      <c r="AH95" s="13" t="e">
        <f t="shared" si="13"/>
        <v>#DIV/0!</v>
      </c>
      <c r="AI95" s="13" t="e">
        <f t="shared" si="14"/>
        <v>#DIV/0!</v>
      </c>
      <c r="AJ95" s="13" t="e">
        <f t="shared" si="15"/>
        <v>#DIV/0!</v>
      </c>
      <c r="AK95" s="13" t="e">
        <f t="shared" si="16"/>
        <v>#DIV/0!</v>
      </c>
      <c r="AL95" s="13" t="e">
        <f t="shared" si="17"/>
        <v>#DIV/0!</v>
      </c>
      <c r="AM95" s="13" t="e">
        <f t="shared" si="18"/>
        <v>#DIV/0!</v>
      </c>
      <c r="AN95" s="13" t="e">
        <f t="shared" si="19"/>
        <v>#DIV/0!</v>
      </c>
      <c r="AO95" s="2" t="e">
        <f t="shared" si="39"/>
        <v>#DIV/0!</v>
      </c>
      <c r="AP95" s="2" t="e">
        <f t="shared" si="40"/>
        <v>#DIV/0!</v>
      </c>
      <c r="AQ95" s="2" t="e">
        <f t="shared" si="41"/>
        <v>#DIV/0!</v>
      </c>
      <c r="AR95" s="2" t="e">
        <f t="shared" si="42"/>
        <v>#DIV/0!</v>
      </c>
      <c r="AS95" s="2" t="e">
        <f t="shared" si="43"/>
        <v>#DIV/0!</v>
      </c>
    </row>
    <row r="96" spans="1:45" ht="20.100000000000001" hidden="1" customHeight="1">
      <c r="A96" s="12">
        <v>0</v>
      </c>
      <c r="B96" s="13">
        <f>'INTERNAL TEST-1  '!B96</f>
        <v>0</v>
      </c>
      <c r="C96" s="64">
        <f>'INTERNAL TEST-1  '!C96</f>
        <v>0</v>
      </c>
      <c r="D96" s="12"/>
      <c r="E96" s="12"/>
      <c r="F96" s="12"/>
      <c r="G96" s="12"/>
      <c r="H96" s="12"/>
      <c r="I96" s="12"/>
      <c r="J96" s="12"/>
      <c r="K96" s="12"/>
      <c r="L96" s="12"/>
      <c r="M96" s="12"/>
      <c r="N96" s="12"/>
      <c r="O96" s="57"/>
      <c r="P96" s="57"/>
      <c r="Q96" s="12"/>
      <c r="R96" s="12"/>
      <c r="S96" s="12"/>
      <c r="T96" s="12"/>
      <c r="U96" s="13">
        <f t="shared" si="26"/>
        <v>0</v>
      </c>
      <c r="V96" s="13">
        <f t="shared" si="27"/>
        <v>0</v>
      </c>
      <c r="W96" s="13">
        <f t="shared" si="28"/>
        <v>0</v>
      </c>
      <c r="X96" s="13">
        <f t="shared" si="29"/>
        <v>0</v>
      </c>
      <c r="Y96" s="13">
        <f t="shared" si="30"/>
        <v>0</v>
      </c>
      <c r="Z96" s="13">
        <f t="shared" si="31"/>
        <v>0</v>
      </c>
      <c r="AA96" s="13">
        <f t="shared" si="32"/>
        <v>0</v>
      </c>
      <c r="AB96" s="13">
        <f t="shared" si="33"/>
        <v>0</v>
      </c>
      <c r="AC96" s="13">
        <f t="shared" si="34"/>
        <v>0</v>
      </c>
      <c r="AD96" s="13">
        <f t="shared" si="35"/>
        <v>0</v>
      </c>
      <c r="AE96" s="13">
        <f t="shared" si="36"/>
        <v>0</v>
      </c>
      <c r="AF96" s="13">
        <f t="shared" si="37"/>
        <v>0</v>
      </c>
      <c r="AG96" s="13">
        <f t="shared" si="38"/>
        <v>0</v>
      </c>
      <c r="AH96" s="13" t="e">
        <f t="shared" si="13"/>
        <v>#DIV/0!</v>
      </c>
      <c r="AI96" s="13" t="e">
        <f t="shared" si="14"/>
        <v>#DIV/0!</v>
      </c>
      <c r="AJ96" s="13" t="e">
        <f t="shared" si="15"/>
        <v>#DIV/0!</v>
      </c>
      <c r="AK96" s="13" t="e">
        <f t="shared" si="16"/>
        <v>#DIV/0!</v>
      </c>
      <c r="AL96" s="13" t="e">
        <f t="shared" si="17"/>
        <v>#DIV/0!</v>
      </c>
      <c r="AM96" s="13" t="e">
        <f t="shared" si="18"/>
        <v>#DIV/0!</v>
      </c>
      <c r="AN96" s="13" t="e">
        <f t="shared" si="19"/>
        <v>#DIV/0!</v>
      </c>
      <c r="AO96" s="2" t="e">
        <f t="shared" si="39"/>
        <v>#DIV/0!</v>
      </c>
      <c r="AP96" s="2" t="e">
        <f t="shared" si="40"/>
        <v>#DIV/0!</v>
      </c>
      <c r="AQ96" s="2" t="e">
        <f t="shared" si="41"/>
        <v>#DIV/0!</v>
      </c>
      <c r="AR96" s="2" t="e">
        <f t="shared" si="42"/>
        <v>#DIV/0!</v>
      </c>
      <c r="AS96" s="2" t="e">
        <f t="shared" si="43"/>
        <v>#DIV/0!</v>
      </c>
    </row>
    <row r="97" spans="1:45" ht="20.100000000000001" hidden="1" customHeight="1">
      <c r="A97" s="12">
        <v>0</v>
      </c>
      <c r="B97" s="13">
        <f>'INTERNAL TEST-1  '!B97</f>
        <v>0</v>
      </c>
      <c r="C97" s="64">
        <f>'INTERNAL TEST-1  '!C97</f>
        <v>0</v>
      </c>
      <c r="D97" s="12"/>
      <c r="E97" s="12"/>
      <c r="F97" s="12"/>
      <c r="G97" s="12"/>
      <c r="H97" s="12"/>
      <c r="I97" s="12"/>
      <c r="J97" s="12"/>
      <c r="K97" s="12"/>
      <c r="L97" s="12"/>
      <c r="M97" s="12"/>
      <c r="N97" s="12"/>
      <c r="O97" s="57"/>
      <c r="P97" s="57"/>
      <c r="Q97" s="12"/>
      <c r="R97" s="12"/>
      <c r="S97" s="12"/>
      <c r="T97" s="12"/>
      <c r="U97" s="13">
        <f t="shared" si="26"/>
        <v>0</v>
      </c>
      <c r="V97" s="13">
        <f t="shared" si="27"/>
        <v>0</v>
      </c>
      <c r="W97" s="13">
        <f t="shared" si="28"/>
        <v>0</v>
      </c>
      <c r="X97" s="13">
        <f t="shared" si="29"/>
        <v>0</v>
      </c>
      <c r="Y97" s="13">
        <f t="shared" si="30"/>
        <v>0</v>
      </c>
      <c r="Z97" s="13">
        <f t="shared" si="31"/>
        <v>0</v>
      </c>
      <c r="AA97" s="13">
        <f t="shared" si="32"/>
        <v>0</v>
      </c>
      <c r="AB97" s="13">
        <f t="shared" si="33"/>
        <v>0</v>
      </c>
      <c r="AC97" s="13">
        <f t="shared" si="34"/>
        <v>0</v>
      </c>
      <c r="AD97" s="13">
        <f t="shared" si="35"/>
        <v>0</v>
      </c>
      <c r="AE97" s="13">
        <f t="shared" si="36"/>
        <v>0</v>
      </c>
      <c r="AF97" s="13">
        <f t="shared" si="37"/>
        <v>0</v>
      </c>
      <c r="AG97" s="13">
        <f t="shared" si="38"/>
        <v>0</v>
      </c>
      <c r="AH97" s="13" t="e">
        <f t="shared" si="13"/>
        <v>#DIV/0!</v>
      </c>
      <c r="AI97" s="13" t="e">
        <f t="shared" si="14"/>
        <v>#DIV/0!</v>
      </c>
      <c r="AJ97" s="13" t="e">
        <f t="shared" si="15"/>
        <v>#DIV/0!</v>
      </c>
      <c r="AK97" s="13" t="e">
        <f t="shared" si="16"/>
        <v>#DIV/0!</v>
      </c>
      <c r="AL97" s="13" t="e">
        <f t="shared" si="17"/>
        <v>#DIV/0!</v>
      </c>
      <c r="AM97" s="13" t="e">
        <f t="shared" si="18"/>
        <v>#DIV/0!</v>
      </c>
      <c r="AN97" s="13" t="e">
        <f t="shared" si="19"/>
        <v>#DIV/0!</v>
      </c>
      <c r="AO97" s="2" t="e">
        <f t="shared" si="39"/>
        <v>#DIV/0!</v>
      </c>
      <c r="AP97" s="2" t="e">
        <f t="shared" si="40"/>
        <v>#DIV/0!</v>
      </c>
      <c r="AQ97" s="2" t="e">
        <f t="shared" si="41"/>
        <v>#DIV/0!</v>
      </c>
      <c r="AR97" s="2" t="e">
        <f t="shared" si="42"/>
        <v>#DIV/0!</v>
      </c>
      <c r="AS97" s="2" t="e">
        <f t="shared" si="43"/>
        <v>#DIV/0!</v>
      </c>
    </row>
    <row r="98" spans="1:45" ht="20.100000000000001" hidden="1" customHeight="1">
      <c r="A98" s="12">
        <v>0</v>
      </c>
      <c r="B98" s="13">
        <f>'INTERNAL TEST-1  '!B98</f>
        <v>0</v>
      </c>
      <c r="C98" s="64">
        <f>'INTERNAL TEST-1  '!C98</f>
        <v>0</v>
      </c>
      <c r="D98" s="12"/>
      <c r="E98" s="12"/>
      <c r="F98" s="12"/>
      <c r="G98" s="12"/>
      <c r="H98" s="12"/>
      <c r="I98" s="12"/>
      <c r="J98" s="12"/>
      <c r="K98" s="12"/>
      <c r="L98" s="12"/>
      <c r="M98" s="12"/>
      <c r="N98" s="12"/>
      <c r="O98" s="57"/>
      <c r="P98" s="57"/>
      <c r="Q98" s="12"/>
      <c r="R98" s="12"/>
      <c r="S98" s="12"/>
      <c r="T98" s="12"/>
      <c r="U98" s="13">
        <f t="shared" si="26"/>
        <v>0</v>
      </c>
      <c r="V98" s="13">
        <f t="shared" si="27"/>
        <v>0</v>
      </c>
      <c r="W98" s="13">
        <f t="shared" si="28"/>
        <v>0</v>
      </c>
      <c r="X98" s="13">
        <f t="shared" si="29"/>
        <v>0</v>
      </c>
      <c r="Y98" s="13">
        <f t="shared" si="30"/>
        <v>0</v>
      </c>
      <c r="Z98" s="13">
        <f t="shared" si="31"/>
        <v>0</v>
      </c>
      <c r="AA98" s="13">
        <f t="shared" si="32"/>
        <v>0</v>
      </c>
      <c r="AB98" s="13">
        <f t="shared" si="33"/>
        <v>0</v>
      </c>
      <c r="AC98" s="13">
        <f t="shared" si="34"/>
        <v>0</v>
      </c>
      <c r="AD98" s="13">
        <f t="shared" si="35"/>
        <v>0</v>
      </c>
      <c r="AE98" s="13">
        <f t="shared" si="36"/>
        <v>0</v>
      </c>
      <c r="AF98" s="13">
        <f t="shared" si="37"/>
        <v>0</v>
      </c>
      <c r="AG98" s="13">
        <f t="shared" si="38"/>
        <v>0</v>
      </c>
      <c r="AH98" s="13" t="e">
        <f t="shared" si="13"/>
        <v>#DIV/0!</v>
      </c>
      <c r="AI98" s="13" t="e">
        <f t="shared" si="14"/>
        <v>#DIV/0!</v>
      </c>
      <c r="AJ98" s="13" t="e">
        <f t="shared" si="15"/>
        <v>#DIV/0!</v>
      </c>
      <c r="AK98" s="13" t="e">
        <f t="shared" si="16"/>
        <v>#DIV/0!</v>
      </c>
      <c r="AL98" s="13" t="e">
        <f t="shared" si="17"/>
        <v>#DIV/0!</v>
      </c>
      <c r="AM98" s="13" t="e">
        <f t="shared" si="18"/>
        <v>#DIV/0!</v>
      </c>
      <c r="AN98" s="13" t="e">
        <f t="shared" si="19"/>
        <v>#DIV/0!</v>
      </c>
      <c r="AO98" s="2" t="e">
        <f t="shared" si="39"/>
        <v>#DIV/0!</v>
      </c>
      <c r="AP98" s="2" t="e">
        <f t="shared" si="40"/>
        <v>#DIV/0!</v>
      </c>
      <c r="AQ98" s="2" t="e">
        <f t="shared" si="41"/>
        <v>#DIV/0!</v>
      </c>
      <c r="AR98" s="2" t="e">
        <f t="shared" si="42"/>
        <v>#DIV/0!</v>
      </c>
      <c r="AS98" s="2" t="e">
        <f t="shared" si="43"/>
        <v>#DIV/0!</v>
      </c>
    </row>
    <row r="99" spans="1:45" ht="20.100000000000001" hidden="1" customHeight="1">
      <c r="A99" s="12">
        <v>0</v>
      </c>
      <c r="B99" s="13">
        <f>'INTERNAL TEST-1  '!B99</f>
        <v>0</v>
      </c>
      <c r="C99" s="64">
        <f>'INTERNAL TEST-1  '!C99</f>
        <v>0</v>
      </c>
      <c r="D99" s="12"/>
      <c r="E99" s="12"/>
      <c r="F99" s="12"/>
      <c r="G99" s="12"/>
      <c r="H99" s="12"/>
      <c r="I99" s="12"/>
      <c r="J99" s="12"/>
      <c r="K99" s="12"/>
      <c r="L99" s="12"/>
      <c r="M99" s="12"/>
      <c r="N99" s="12"/>
      <c r="O99" s="57"/>
      <c r="P99" s="57"/>
      <c r="Q99" s="12"/>
      <c r="R99" s="12"/>
      <c r="S99" s="12"/>
      <c r="T99" s="12"/>
      <c r="U99" s="13">
        <f t="shared" si="26"/>
        <v>0</v>
      </c>
      <c r="V99" s="13">
        <f t="shared" si="27"/>
        <v>0</v>
      </c>
      <c r="W99" s="13">
        <f t="shared" si="28"/>
        <v>0</v>
      </c>
      <c r="X99" s="13">
        <f t="shared" si="29"/>
        <v>0</v>
      </c>
      <c r="Y99" s="13">
        <f t="shared" si="30"/>
        <v>0</v>
      </c>
      <c r="Z99" s="13">
        <f t="shared" si="31"/>
        <v>0</v>
      </c>
      <c r="AA99" s="13">
        <f t="shared" si="32"/>
        <v>0</v>
      </c>
      <c r="AB99" s="13">
        <f t="shared" si="33"/>
        <v>0</v>
      </c>
      <c r="AC99" s="13">
        <f t="shared" si="34"/>
        <v>0</v>
      </c>
      <c r="AD99" s="13">
        <f t="shared" si="35"/>
        <v>0</v>
      </c>
      <c r="AE99" s="13">
        <f t="shared" si="36"/>
        <v>0</v>
      </c>
      <c r="AF99" s="13">
        <f t="shared" si="37"/>
        <v>0</v>
      </c>
      <c r="AG99" s="13">
        <f t="shared" si="38"/>
        <v>0</v>
      </c>
      <c r="AH99" s="13" t="e">
        <f t="shared" si="13"/>
        <v>#DIV/0!</v>
      </c>
      <c r="AI99" s="13" t="e">
        <f t="shared" si="14"/>
        <v>#DIV/0!</v>
      </c>
      <c r="AJ99" s="13" t="e">
        <f t="shared" si="15"/>
        <v>#DIV/0!</v>
      </c>
      <c r="AK99" s="13" t="e">
        <f t="shared" si="16"/>
        <v>#DIV/0!</v>
      </c>
      <c r="AL99" s="13" t="e">
        <f t="shared" si="17"/>
        <v>#DIV/0!</v>
      </c>
      <c r="AM99" s="13" t="e">
        <f t="shared" si="18"/>
        <v>#DIV/0!</v>
      </c>
      <c r="AN99" s="13" t="e">
        <f t="shared" si="19"/>
        <v>#DIV/0!</v>
      </c>
      <c r="AO99" s="2" t="e">
        <f t="shared" si="39"/>
        <v>#DIV/0!</v>
      </c>
      <c r="AP99" s="2" t="e">
        <f t="shared" si="40"/>
        <v>#DIV/0!</v>
      </c>
      <c r="AQ99" s="2" t="e">
        <f t="shared" si="41"/>
        <v>#DIV/0!</v>
      </c>
      <c r="AR99" s="2" t="e">
        <f t="shared" si="42"/>
        <v>#DIV/0!</v>
      </c>
      <c r="AS99" s="2" t="e">
        <f t="shared" si="43"/>
        <v>#DIV/0!</v>
      </c>
    </row>
    <row r="100" spans="1:45" ht="20.100000000000001" hidden="1" customHeight="1">
      <c r="A100" s="12">
        <v>0</v>
      </c>
      <c r="B100" s="13">
        <f>'INTERNAL TEST-1  '!B100</f>
        <v>0</v>
      </c>
      <c r="C100" s="64">
        <f>'INTERNAL TEST-1  '!C100</f>
        <v>0</v>
      </c>
      <c r="D100" s="12"/>
      <c r="E100" s="12"/>
      <c r="F100" s="12"/>
      <c r="G100" s="12"/>
      <c r="H100" s="12"/>
      <c r="I100" s="12"/>
      <c r="J100" s="12"/>
      <c r="K100" s="12"/>
      <c r="L100" s="12"/>
      <c r="M100" s="12"/>
      <c r="N100" s="12"/>
      <c r="O100" s="57"/>
      <c r="P100" s="57"/>
      <c r="Q100" s="12"/>
      <c r="R100" s="12"/>
      <c r="S100" s="12"/>
      <c r="T100" s="12"/>
      <c r="U100" s="13">
        <f t="shared" si="26"/>
        <v>0</v>
      </c>
      <c r="V100" s="13">
        <f t="shared" si="27"/>
        <v>0</v>
      </c>
      <c r="W100" s="13">
        <f t="shared" si="28"/>
        <v>0</v>
      </c>
      <c r="X100" s="13">
        <f t="shared" si="29"/>
        <v>0</v>
      </c>
      <c r="Y100" s="13">
        <f t="shared" si="30"/>
        <v>0</v>
      </c>
      <c r="Z100" s="13">
        <f t="shared" si="31"/>
        <v>0</v>
      </c>
      <c r="AA100" s="13">
        <f t="shared" si="32"/>
        <v>0</v>
      </c>
      <c r="AB100" s="13">
        <f t="shared" si="33"/>
        <v>0</v>
      </c>
      <c r="AC100" s="13">
        <f t="shared" si="34"/>
        <v>0</v>
      </c>
      <c r="AD100" s="13">
        <f t="shared" si="35"/>
        <v>0</v>
      </c>
      <c r="AE100" s="13">
        <f t="shared" si="36"/>
        <v>0</v>
      </c>
      <c r="AF100" s="13">
        <f t="shared" si="37"/>
        <v>0</v>
      </c>
      <c r="AG100" s="13">
        <f t="shared" si="38"/>
        <v>0</v>
      </c>
      <c r="AH100" s="13" t="e">
        <f t="shared" si="13"/>
        <v>#DIV/0!</v>
      </c>
      <c r="AI100" s="13" t="e">
        <f t="shared" si="14"/>
        <v>#DIV/0!</v>
      </c>
      <c r="AJ100" s="13" t="e">
        <f t="shared" si="15"/>
        <v>#DIV/0!</v>
      </c>
      <c r="AK100" s="13" t="e">
        <f t="shared" si="16"/>
        <v>#DIV/0!</v>
      </c>
      <c r="AL100" s="13" t="e">
        <f t="shared" si="17"/>
        <v>#DIV/0!</v>
      </c>
      <c r="AM100" s="13" t="e">
        <f t="shared" si="18"/>
        <v>#DIV/0!</v>
      </c>
      <c r="AN100" s="13" t="e">
        <f t="shared" si="19"/>
        <v>#DIV/0!</v>
      </c>
      <c r="AO100" s="2" t="e">
        <f t="shared" si="39"/>
        <v>#DIV/0!</v>
      </c>
      <c r="AP100" s="2" t="e">
        <f t="shared" si="40"/>
        <v>#DIV/0!</v>
      </c>
      <c r="AQ100" s="2" t="e">
        <f t="shared" si="41"/>
        <v>#DIV/0!</v>
      </c>
      <c r="AR100" s="2" t="e">
        <f t="shared" si="42"/>
        <v>#DIV/0!</v>
      </c>
      <c r="AS100" s="2" t="e">
        <f t="shared" si="43"/>
        <v>#DIV/0!</v>
      </c>
    </row>
    <row r="101" spans="1:45" ht="20.100000000000001" hidden="1" customHeight="1">
      <c r="A101" s="12">
        <v>0</v>
      </c>
      <c r="B101" s="13">
        <f>'INTERNAL TEST-1  '!B101</f>
        <v>0</v>
      </c>
      <c r="C101" s="64">
        <f>'INTERNAL TEST-1  '!C101</f>
        <v>0</v>
      </c>
      <c r="D101" s="12"/>
      <c r="E101" s="12"/>
      <c r="F101" s="12"/>
      <c r="G101" s="12"/>
      <c r="H101" s="12"/>
      <c r="I101" s="12"/>
      <c r="J101" s="12"/>
      <c r="K101" s="12"/>
      <c r="L101" s="12"/>
      <c r="M101" s="12"/>
      <c r="N101" s="12"/>
      <c r="O101" s="57"/>
      <c r="P101" s="57"/>
      <c r="Q101" s="12"/>
      <c r="R101" s="12"/>
      <c r="S101" s="12"/>
      <c r="T101" s="12"/>
      <c r="U101" s="13">
        <f t="shared" si="26"/>
        <v>0</v>
      </c>
      <c r="V101" s="13">
        <f t="shared" si="27"/>
        <v>0</v>
      </c>
      <c r="W101" s="13">
        <f t="shared" si="28"/>
        <v>0</v>
      </c>
      <c r="X101" s="13">
        <f t="shared" si="29"/>
        <v>0</v>
      </c>
      <c r="Y101" s="13">
        <f t="shared" si="30"/>
        <v>0</v>
      </c>
      <c r="Z101" s="13">
        <f t="shared" si="31"/>
        <v>0</v>
      </c>
      <c r="AA101" s="13">
        <f t="shared" si="32"/>
        <v>0</v>
      </c>
      <c r="AB101" s="13">
        <f t="shared" si="33"/>
        <v>0</v>
      </c>
      <c r="AC101" s="13">
        <f t="shared" si="34"/>
        <v>0</v>
      </c>
      <c r="AD101" s="13">
        <f t="shared" si="35"/>
        <v>0</v>
      </c>
      <c r="AE101" s="13">
        <f t="shared" si="36"/>
        <v>0</v>
      </c>
      <c r="AF101" s="13">
        <f t="shared" si="37"/>
        <v>0</v>
      </c>
      <c r="AG101" s="13">
        <f t="shared" si="38"/>
        <v>0</v>
      </c>
      <c r="AH101" s="13" t="e">
        <f t="shared" si="13"/>
        <v>#DIV/0!</v>
      </c>
      <c r="AI101" s="13" t="e">
        <f t="shared" si="14"/>
        <v>#DIV/0!</v>
      </c>
      <c r="AJ101" s="13" t="e">
        <f t="shared" si="15"/>
        <v>#DIV/0!</v>
      </c>
      <c r="AK101" s="13" t="e">
        <f t="shared" si="16"/>
        <v>#DIV/0!</v>
      </c>
      <c r="AL101" s="13" t="e">
        <f t="shared" si="17"/>
        <v>#DIV/0!</v>
      </c>
      <c r="AM101" s="13" t="e">
        <f t="shared" si="18"/>
        <v>#DIV/0!</v>
      </c>
      <c r="AN101" s="13" t="e">
        <f t="shared" si="19"/>
        <v>#DIV/0!</v>
      </c>
      <c r="AO101" s="2" t="e">
        <f t="shared" si="39"/>
        <v>#DIV/0!</v>
      </c>
      <c r="AP101" s="2" t="e">
        <f t="shared" si="40"/>
        <v>#DIV/0!</v>
      </c>
      <c r="AQ101" s="2" t="e">
        <f t="shared" si="41"/>
        <v>#DIV/0!</v>
      </c>
      <c r="AR101" s="2" t="e">
        <f t="shared" si="42"/>
        <v>#DIV/0!</v>
      </c>
      <c r="AS101" s="2" t="e">
        <f t="shared" si="43"/>
        <v>#DIV/0!</v>
      </c>
    </row>
    <row r="102" spans="1:45" ht="20.100000000000001" hidden="1" customHeight="1">
      <c r="A102" s="12">
        <v>0</v>
      </c>
      <c r="B102" s="13">
        <f>'INTERNAL TEST-1  '!B102</f>
        <v>0</v>
      </c>
      <c r="C102" s="64">
        <f>'INTERNAL TEST-1  '!C102</f>
        <v>0</v>
      </c>
      <c r="D102" s="12"/>
      <c r="E102" s="12"/>
      <c r="F102" s="12"/>
      <c r="G102" s="12"/>
      <c r="H102" s="12"/>
      <c r="I102" s="12"/>
      <c r="J102" s="12"/>
      <c r="K102" s="12"/>
      <c r="L102" s="12"/>
      <c r="M102" s="12"/>
      <c r="N102" s="12"/>
      <c r="O102" s="57"/>
      <c r="P102" s="57"/>
      <c r="Q102" s="12"/>
      <c r="R102" s="12"/>
      <c r="S102" s="12"/>
      <c r="T102" s="12"/>
      <c r="U102" s="13">
        <f t="shared" si="26"/>
        <v>0</v>
      </c>
      <c r="V102" s="13">
        <f t="shared" si="27"/>
        <v>0</v>
      </c>
      <c r="W102" s="13">
        <f t="shared" si="28"/>
        <v>0</v>
      </c>
      <c r="X102" s="13">
        <f t="shared" si="29"/>
        <v>0</v>
      </c>
      <c r="Y102" s="13">
        <f t="shared" si="30"/>
        <v>0</v>
      </c>
      <c r="Z102" s="13">
        <f t="shared" si="31"/>
        <v>0</v>
      </c>
      <c r="AA102" s="13">
        <f t="shared" si="32"/>
        <v>0</v>
      </c>
      <c r="AB102" s="13">
        <f t="shared" si="33"/>
        <v>0</v>
      </c>
      <c r="AC102" s="13">
        <f t="shared" si="34"/>
        <v>0</v>
      </c>
      <c r="AD102" s="13">
        <f t="shared" si="35"/>
        <v>0</v>
      </c>
      <c r="AE102" s="13">
        <f t="shared" si="36"/>
        <v>0</v>
      </c>
      <c r="AF102" s="13">
        <f t="shared" si="37"/>
        <v>0</v>
      </c>
      <c r="AG102" s="13">
        <f t="shared" si="38"/>
        <v>0</v>
      </c>
      <c r="AH102" s="13" t="e">
        <f t="shared" si="13"/>
        <v>#DIV/0!</v>
      </c>
      <c r="AI102" s="13" t="e">
        <f t="shared" si="14"/>
        <v>#DIV/0!</v>
      </c>
      <c r="AJ102" s="13" t="e">
        <f t="shared" si="15"/>
        <v>#DIV/0!</v>
      </c>
      <c r="AK102" s="13" t="e">
        <f t="shared" si="16"/>
        <v>#DIV/0!</v>
      </c>
      <c r="AL102" s="13" t="e">
        <f t="shared" si="17"/>
        <v>#DIV/0!</v>
      </c>
      <c r="AM102" s="13" t="e">
        <f t="shared" si="18"/>
        <v>#DIV/0!</v>
      </c>
      <c r="AN102" s="13" t="e">
        <f t="shared" si="19"/>
        <v>#DIV/0!</v>
      </c>
      <c r="AO102" s="2" t="e">
        <f t="shared" si="39"/>
        <v>#DIV/0!</v>
      </c>
      <c r="AP102" s="2" t="e">
        <f t="shared" si="40"/>
        <v>#DIV/0!</v>
      </c>
      <c r="AQ102" s="2" t="e">
        <f t="shared" si="41"/>
        <v>#DIV/0!</v>
      </c>
      <c r="AR102" s="2" t="e">
        <f t="shared" si="42"/>
        <v>#DIV/0!</v>
      </c>
      <c r="AS102" s="2" t="e">
        <f t="shared" si="43"/>
        <v>#DIV/0!</v>
      </c>
    </row>
    <row r="103" spans="1:45" ht="20.100000000000001" hidden="1" customHeight="1">
      <c r="A103" s="12">
        <v>0</v>
      </c>
      <c r="B103" s="13">
        <f>'INTERNAL TEST-1  '!B103</f>
        <v>0</v>
      </c>
      <c r="C103" s="64">
        <f>'INTERNAL TEST-1  '!C103</f>
        <v>0</v>
      </c>
      <c r="D103" s="12"/>
      <c r="E103" s="12"/>
      <c r="F103" s="12"/>
      <c r="G103" s="12"/>
      <c r="H103" s="12"/>
      <c r="I103" s="12"/>
      <c r="J103" s="12"/>
      <c r="K103" s="12"/>
      <c r="L103" s="12"/>
      <c r="M103" s="12"/>
      <c r="N103" s="12"/>
      <c r="O103" s="57"/>
      <c r="P103" s="57"/>
      <c r="Q103" s="12"/>
      <c r="R103" s="12"/>
      <c r="S103" s="12"/>
      <c r="T103" s="12"/>
      <c r="U103" s="13">
        <f t="shared" si="26"/>
        <v>0</v>
      </c>
      <c r="V103" s="13">
        <f t="shared" si="27"/>
        <v>0</v>
      </c>
      <c r="W103" s="13">
        <f t="shared" si="28"/>
        <v>0</v>
      </c>
      <c r="X103" s="13">
        <f t="shared" si="29"/>
        <v>0</v>
      </c>
      <c r="Y103" s="13">
        <f t="shared" si="30"/>
        <v>0</v>
      </c>
      <c r="Z103" s="13">
        <f t="shared" si="31"/>
        <v>0</v>
      </c>
      <c r="AA103" s="13">
        <f t="shared" si="32"/>
        <v>0</v>
      </c>
      <c r="AB103" s="13">
        <f t="shared" si="33"/>
        <v>0</v>
      </c>
      <c r="AC103" s="13">
        <f t="shared" si="34"/>
        <v>0</v>
      </c>
      <c r="AD103" s="13">
        <f t="shared" si="35"/>
        <v>0</v>
      </c>
      <c r="AE103" s="13">
        <f t="shared" si="36"/>
        <v>0</v>
      </c>
      <c r="AF103" s="13">
        <f t="shared" si="37"/>
        <v>0</v>
      </c>
      <c r="AG103" s="13">
        <f t="shared" si="38"/>
        <v>0</v>
      </c>
      <c r="AH103" s="13" t="e">
        <f t="shared" si="13"/>
        <v>#DIV/0!</v>
      </c>
      <c r="AI103" s="13" t="e">
        <f t="shared" si="14"/>
        <v>#DIV/0!</v>
      </c>
      <c r="AJ103" s="13" t="e">
        <f t="shared" si="15"/>
        <v>#DIV/0!</v>
      </c>
      <c r="AK103" s="13" t="e">
        <f t="shared" si="16"/>
        <v>#DIV/0!</v>
      </c>
      <c r="AL103" s="13" t="e">
        <f t="shared" si="17"/>
        <v>#DIV/0!</v>
      </c>
      <c r="AM103" s="13" t="e">
        <f t="shared" si="18"/>
        <v>#DIV/0!</v>
      </c>
      <c r="AN103" s="13" t="e">
        <f t="shared" si="19"/>
        <v>#DIV/0!</v>
      </c>
      <c r="AO103" s="2" t="e">
        <f t="shared" si="39"/>
        <v>#DIV/0!</v>
      </c>
      <c r="AP103" s="2" t="e">
        <f t="shared" si="40"/>
        <v>#DIV/0!</v>
      </c>
      <c r="AQ103" s="2" t="e">
        <f t="shared" si="41"/>
        <v>#DIV/0!</v>
      </c>
      <c r="AR103" s="2" t="e">
        <f t="shared" si="42"/>
        <v>#DIV/0!</v>
      </c>
      <c r="AS103" s="2" t="e">
        <f t="shared" si="43"/>
        <v>#DIV/0!</v>
      </c>
    </row>
    <row r="104" spans="1:45" ht="20.100000000000001" hidden="1" customHeight="1">
      <c r="A104" s="12">
        <v>0</v>
      </c>
      <c r="B104" s="13">
        <f>'INTERNAL TEST-1  '!B104</f>
        <v>0</v>
      </c>
      <c r="C104" s="64">
        <f>'INTERNAL TEST-1  '!C104</f>
        <v>0</v>
      </c>
      <c r="D104" s="12"/>
      <c r="E104" s="12"/>
      <c r="F104" s="12"/>
      <c r="G104" s="12"/>
      <c r="H104" s="12"/>
      <c r="I104" s="12"/>
      <c r="J104" s="12"/>
      <c r="K104" s="12"/>
      <c r="L104" s="12"/>
      <c r="M104" s="12"/>
      <c r="N104" s="12"/>
      <c r="O104" s="57"/>
      <c r="P104" s="57"/>
      <c r="Q104" s="12"/>
      <c r="R104" s="12"/>
      <c r="S104" s="12"/>
      <c r="T104" s="12"/>
      <c r="U104" s="13">
        <f t="shared" si="26"/>
        <v>0</v>
      </c>
      <c r="V104" s="13">
        <f t="shared" si="27"/>
        <v>0</v>
      </c>
      <c r="W104" s="13">
        <f t="shared" si="28"/>
        <v>0</v>
      </c>
      <c r="X104" s="13">
        <f t="shared" si="29"/>
        <v>0</v>
      </c>
      <c r="Y104" s="13">
        <f t="shared" si="30"/>
        <v>0</v>
      </c>
      <c r="Z104" s="13">
        <f t="shared" si="31"/>
        <v>0</v>
      </c>
      <c r="AA104" s="13">
        <f t="shared" si="32"/>
        <v>0</v>
      </c>
      <c r="AB104" s="13">
        <f t="shared" si="33"/>
        <v>0</v>
      </c>
      <c r="AC104" s="13">
        <f t="shared" si="34"/>
        <v>0</v>
      </c>
      <c r="AD104" s="13">
        <f t="shared" si="35"/>
        <v>0</v>
      </c>
      <c r="AE104" s="13">
        <f t="shared" si="36"/>
        <v>0</v>
      </c>
      <c r="AF104" s="13">
        <f t="shared" si="37"/>
        <v>0</v>
      </c>
      <c r="AG104" s="13">
        <f t="shared" si="38"/>
        <v>0</v>
      </c>
      <c r="AH104" s="13" t="e">
        <f t="shared" si="13"/>
        <v>#DIV/0!</v>
      </c>
      <c r="AI104" s="13" t="e">
        <f t="shared" si="14"/>
        <v>#DIV/0!</v>
      </c>
      <c r="AJ104" s="13" t="e">
        <f t="shared" si="15"/>
        <v>#DIV/0!</v>
      </c>
      <c r="AK104" s="13" t="e">
        <f t="shared" si="16"/>
        <v>#DIV/0!</v>
      </c>
      <c r="AL104" s="13" t="e">
        <f t="shared" si="17"/>
        <v>#DIV/0!</v>
      </c>
      <c r="AM104" s="13" t="e">
        <f t="shared" si="18"/>
        <v>#DIV/0!</v>
      </c>
      <c r="AN104" s="13" t="e">
        <f t="shared" si="19"/>
        <v>#DIV/0!</v>
      </c>
      <c r="AO104" s="2" t="e">
        <f t="shared" si="39"/>
        <v>#DIV/0!</v>
      </c>
      <c r="AP104" s="2" t="e">
        <f t="shared" si="40"/>
        <v>#DIV/0!</v>
      </c>
      <c r="AQ104" s="2" t="e">
        <f t="shared" si="41"/>
        <v>#DIV/0!</v>
      </c>
      <c r="AR104" s="2" t="e">
        <f t="shared" si="42"/>
        <v>#DIV/0!</v>
      </c>
      <c r="AS104" s="2" t="e">
        <f t="shared" si="43"/>
        <v>#DIV/0!</v>
      </c>
    </row>
    <row r="105" spans="1:45" ht="20.100000000000001" hidden="1" customHeight="1">
      <c r="A105" s="12">
        <v>0</v>
      </c>
      <c r="B105" s="13">
        <f>'INTERNAL TEST-1  '!B105</f>
        <v>0</v>
      </c>
      <c r="C105" s="64">
        <f>'INTERNAL TEST-1  '!C105</f>
        <v>0</v>
      </c>
      <c r="D105" s="12"/>
      <c r="E105" s="12"/>
      <c r="F105" s="12"/>
      <c r="G105" s="12"/>
      <c r="H105" s="12"/>
      <c r="I105" s="12"/>
      <c r="J105" s="12"/>
      <c r="K105" s="12"/>
      <c r="L105" s="12"/>
      <c r="M105" s="12"/>
      <c r="N105" s="12"/>
      <c r="O105" s="57"/>
      <c r="P105" s="57"/>
      <c r="Q105" s="12"/>
      <c r="R105" s="12"/>
      <c r="S105" s="12"/>
      <c r="T105" s="12"/>
      <c r="U105" s="13">
        <f t="shared" si="26"/>
        <v>0</v>
      </c>
      <c r="V105" s="13">
        <f t="shared" si="27"/>
        <v>0</v>
      </c>
      <c r="W105" s="13">
        <f t="shared" si="28"/>
        <v>0</v>
      </c>
      <c r="X105" s="13">
        <f t="shared" si="29"/>
        <v>0</v>
      </c>
      <c r="Y105" s="13">
        <f t="shared" si="30"/>
        <v>0</v>
      </c>
      <c r="Z105" s="13">
        <f t="shared" si="31"/>
        <v>0</v>
      </c>
      <c r="AA105" s="13">
        <f t="shared" si="32"/>
        <v>0</v>
      </c>
      <c r="AB105" s="13">
        <f t="shared" si="33"/>
        <v>0</v>
      </c>
      <c r="AC105" s="13">
        <f t="shared" si="34"/>
        <v>0</v>
      </c>
      <c r="AD105" s="13">
        <f t="shared" si="35"/>
        <v>0</v>
      </c>
      <c r="AE105" s="13">
        <f t="shared" si="36"/>
        <v>0</v>
      </c>
      <c r="AF105" s="13">
        <f t="shared" si="37"/>
        <v>0</v>
      </c>
      <c r="AG105" s="13">
        <f t="shared" si="38"/>
        <v>0</v>
      </c>
      <c r="AH105" s="13" t="e">
        <f t="shared" si="13"/>
        <v>#DIV/0!</v>
      </c>
      <c r="AI105" s="13" t="e">
        <f t="shared" si="14"/>
        <v>#DIV/0!</v>
      </c>
      <c r="AJ105" s="13" t="e">
        <f t="shared" si="15"/>
        <v>#DIV/0!</v>
      </c>
      <c r="AK105" s="13" t="e">
        <f t="shared" si="16"/>
        <v>#DIV/0!</v>
      </c>
      <c r="AL105" s="13" t="e">
        <f t="shared" si="17"/>
        <v>#DIV/0!</v>
      </c>
      <c r="AM105" s="13" t="e">
        <f t="shared" si="18"/>
        <v>#DIV/0!</v>
      </c>
      <c r="AN105" s="13" t="e">
        <f t="shared" si="19"/>
        <v>#DIV/0!</v>
      </c>
      <c r="AO105" s="2" t="e">
        <f t="shared" si="39"/>
        <v>#DIV/0!</v>
      </c>
      <c r="AP105" s="2" t="e">
        <f t="shared" si="40"/>
        <v>#DIV/0!</v>
      </c>
      <c r="AQ105" s="2" t="e">
        <f t="shared" si="41"/>
        <v>#DIV/0!</v>
      </c>
      <c r="AR105" s="2" t="e">
        <f t="shared" si="42"/>
        <v>#DIV/0!</v>
      </c>
      <c r="AS105" s="2" t="e">
        <f t="shared" si="43"/>
        <v>#DIV/0!</v>
      </c>
    </row>
    <row r="106" spans="1:45" ht="20.100000000000001" hidden="1" customHeight="1">
      <c r="A106" s="12">
        <v>0</v>
      </c>
      <c r="B106" s="13">
        <f>'INTERNAL TEST-1  '!B106</f>
        <v>0</v>
      </c>
      <c r="C106" s="64">
        <f>'INTERNAL TEST-1  '!C106</f>
        <v>0</v>
      </c>
      <c r="D106" s="12"/>
      <c r="E106" s="12"/>
      <c r="F106" s="12"/>
      <c r="G106" s="12"/>
      <c r="H106" s="12"/>
      <c r="I106" s="12"/>
      <c r="J106" s="12"/>
      <c r="K106" s="12"/>
      <c r="L106" s="12"/>
      <c r="M106" s="12"/>
      <c r="N106" s="12"/>
      <c r="O106" s="57"/>
      <c r="P106" s="57"/>
      <c r="Q106" s="12"/>
      <c r="R106" s="12"/>
      <c r="S106" s="12"/>
      <c r="T106" s="12"/>
      <c r="U106" s="13">
        <f t="shared" si="26"/>
        <v>0</v>
      </c>
      <c r="V106" s="13">
        <f t="shared" si="27"/>
        <v>0</v>
      </c>
      <c r="W106" s="13">
        <f t="shared" si="28"/>
        <v>0</v>
      </c>
      <c r="X106" s="13">
        <f t="shared" si="29"/>
        <v>0</v>
      </c>
      <c r="Y106" s="13">
        <f t="shared" si="30"/>
        <v>0</v>
      </c>
      <c r="Z106" s="13">
        <f t="shared" si="31"/>
        <v>0</v>
      </c>
      <c r="AA106" s="13">
        <f t="shared" si="32"/>
        <v>0</v>
      </c>
      <c r="AB106" s="13">
        <f t="shared" si="33"/>
        <v>0</v>
      </c>
      <c r="AC106" s="13">
        <f t="shared" si="34"/>
        <v>0</v>
      </c>
      <c r="AD106" s="13">
        <f t="shared" si="35"/>
        <v>0</v>
      </c>
      <c r="AE106" s="13">
        <f t="shared" si="36"/>
        <v>0</v>
      </c>
      <c r="AF106" s="13">
        <f t="shared" si="37"/>
        <v>0</v>
      </c>
      <c r="AG106" s="13">
        <f t="shared" si="38"/>
        <v>0</v>
      </c>
      <c r="AH106" s="13" t="e">
        <f t="shared" si="13"/>
        <v>#DIV/0!</v>
      </c>
      <c r="AI106" s="13" t="e">
        <f t="shared" si="14"/>
        <v>#DIV/0!</v>
      </c>
      <c r="AJ106" s="13" t="e">
        <f t="shared" si="15"/>
        <v>#DIV/0!</v>
      </c>
      <c r="AK106" s="13" t="e">
        <f t="shared" si="16"/>
        <v>#DIV/0!</v>
      </c>
      <c r="AL106" s="13" t="e">
        <f t="shared" si="17"/>
        <v>#DIV/0!</v>
      </c>
      <c r="AM106" s="13" t="e">
        <f t="shared" si="18"/>
        <v>#DIV/0!</v>
      </c>
      <c r="AN106" s="13" t="e">
        <f t="shared" si="19"/>
        <v>#DIV/0!</v>
      </c>
      <c r="AO106" s="2" t="e">
        <f t="shared" si="39"/>
        <v>#DIV/0!</v>
      </c>
      <c r="AP106" s="2" t="e">
        <f t="shared" si="40"/>
        <v>#DIV/0!</v>
      </c>
      <c r="AQ106" s="2" t="e">
        <f t="shared" si="41"/>
        <v>#DIV/0!</v>
      </c>
      <c r="AR106" s="2" t="e">
        <f t="shared" si="42"/>
        <v>#DIV/0!</v>
      </c>
      <c r="AS106" s="2" t="e">
        <f t="shared" si="43"/>
        <v>#DIV/0!</v>
      </c>
    </row>
    <row r="107" spans="1:45" ht="20.100000000000001" hidden="1" customHeight="1">
      <c r="A107" s="12">
        <v>0</v>
      </c>
      <c r="B107" s="13">
        <f>'INTERNAL TEST-1  '!B107</f>
        <v>0</v>
      </c>
      <c r="C107" s="64">
        <f>'INTERNAL TEST-1  '!C107</f>
        <v>0</v>
      </c>
      <c r="D107" s="12"/>
      <c r="E107" s="12"/>
      <c r="F107" s="12"/>
      <c r="G107" s="12"/>
      <c r="H107" s="12"/>
      <c r="I107" s="12"/>
      <c r="J107" s="12"/>
      <c r="K107" s="12"/>
      <c r="L107" s="12"/>
      <c r="M107" s="12"/>
      <c r="N107" s="12"/>
      <c r="O107" s="57"/>
      <c r="P107" s="57"/>
      <c r="Q107" s="12"/>
      <c r="R107" s="12"/>
      <c r="S107" s="12"/>
      <c r="T107" s="12"/>
      <c r="U107" s="13">
        <f t="shared" si="26"/>
        <v>0</v>
      </c>
      <c r="V107" s="13">
        <f t="shared" si="27"/>
        <v>0</v>
      </c>
      <c r="W107" s="13">
        <f t="shared" si="28"/>
        <v>0</v>
      </c>
      <c r="X107" s="13">
        <f t="shared" si="29"/>
        <v>0</v>
      </c>
      <c r="Y107" s="13">
        <f t="shared" si="30"/>
        <v>0</v>
      </c>
      <c r="Z107" s="13">
        <f t="shared" si="31"/>
        <v>0</v>
      </c>
      <c r="AA107" s="13">
        <f t="shared" si="32"/>
        <v>0</v>
      </c>
      <c r="AB107" s="13">
        <f t="shared" si="33"/>
        <v>0</v>
      </c>
      <c r="AC107" s="13">
        <f t="shared" si="34"/>
        <v>0</v>
      </c>
      <c r="AD107" s="13">
        <f t="shared" si="35"/>
        <v>0</v>
      </c>
      <c r="AE107" s="13">
        <f t="shared" si="36"/>
        <v>0</v>
      </c>
      <c r="AF107" s="13">
        <f t="shared" si="37"/>
        <v>0</v>
      </c>
      <c r="AG107" s="13">
        <f t="shared" si="38"/>
        <v>0</v>
      </c>
      <c r="AH107" s="13" t="e">
        <f t="shared" si="13"/>
        <v>#DIV/0!</v>
      </c>
      <c r="AI107" s="13" t="e">
        <f t="shared" si="14"/>
        <v>#DIV/0!</v>
      </c>
      <c r="AJ107" s="13" t="e">
        <f t="shared" si="15"/>
        <v>#DIV/0!</v>
      </c>
      <c r="AK107" s="13" t="e">
        <f t="shared" si="16"/>
        <v>#DIV/0!</v>
      </c>
      <c r="AL107" s="13" t="e">
        <f t="shared" si="17"/>
        <v>#DIV/0!</v>
      </c>
      <c r="AM107" s="13" t="e">
        <f t="shared" si="18"/>
        <v>#DIV/0!</v>
      </c>
      <c r="AN107" s="13" t="e">
        <f t="shared" si="19"/>
        <v>#DIV/0!</v>
      </c>
      <c r="AO107" s="2" t="e">
        <f t="shared" si="39"/>
        <v>#DIV/0!</v>
      </c>
      <c r="AP107" s="2" t="e">
        <f t="shared" si="40"/>
        <v>#DIV/0!</v>
      </c>
      <c r="AQ107" s="2" t="e">
        <f t="shared" si="41"/>
        <v>#DIV/0!</v>
      </c>
      <c r="AR107" s="2" t="e">
        <f t="shared" si="42"/>
        <v>#DIV/0!</v>
      </c>
      <c r="AS107" s="2" t="e">
        <f t="shared" si="43"/>
        <v>#DIV/0!</v>
      </c>
    </row>
    <row r="108" spans="1:45" ht="20.100000000000001" hidden="1" customHeight="1">
      <c r="A108" s="12">
        <v>0</v>
      </c>
      <c r="B108" s="13">
        <f>'INTERNAL TEST-1  '!B108</f>
        <v>0</v>
      </c>
      <c r="C108" s="64">
        <f>'INTERNAL TEST-1  '!C108</f>
        <v>0</v>
      </c>
      <c r="D108" s="12"/>
      <c r="E108" s="12"/>
      <c r="F108" s="12"/>
      <c r="G108" s="12"/>
      <c r="H108" s="12"/>
      <c r="I108" s="12"/>
      <c r="J108" s="12"/>
      <c r="K108" s="12"/>
      <c r="L108" s="12"/>
      <c r="M108" s="12"/>
      <c r="N108" s="12"/>
      <c r="O108" s="57"/>
      <c r="P108" s="57"/>
      <c r="Q108" s="12"/>
      <c r="R108" s="12"/>
      <c r="S108" s="12"/>
      <c r="T108" s="12"/>
      <c r="U108" s="13">
        <f t="shared" si="26"/>
        <v>0</v>
      </c>
      <c r="V108" s="13">
        <f t="shared" si="27"/>
        <v>0</v>
      </c>
      <c r="W108" s="13">
        <f t="shared" si="28"/>
        <v>0</v>
      </c>
      <c r="X108" s="13">
        <f t="shared" si="29"/>
        <v>0</v>
      </c>
      <c r="Y108" s="13">
        <f t="shared" si="30"/>
        <v>0</v>
      </c>
      <c r="Z108" s="13">
        <f t="shared" si="31"/>
        <v>0</v>
      </c>
      <c r="AA108" s="13">
        <f t="shared" si="32"/>
        <v>0</v>
      </c>
      <c r="AB108" s="13">
        <f t="shared" si="33"/>
        <v>0</v>
      </c>
      <c r="AC108" s="13">
        <f t="shared" si="34"/>
        <v>0</v>
      </c>
      <c r="AD108" s="13">
        <f t="shared" si="35"/>
        <v>0</v>
      </c>
      <c r="AE108" s="13">
        <f t="shared" si="36"/>
        <v>0</v>
      </c>
      <c r="AF108" s="13">
        <f t="shared" si="37"/>
        <v>0</v>
      </c>
      <c r="AG108" s="13">
        <f t="shared" si="38"/>
        <v>0</v>
      </c>
      <c r="AH108" s="13" t="e">
        <f t="shared" si="13"/>
        <v>#DIV/0!</v>
      </c>
      <c r="AI108" s="13" t="e">
        <f t="shared" si="14"/>
        <v>#DIV/0!</v>
      </c>
      <c r="AJ108" s="13" t="e">
        <f t="shared" si="15"/>
        <v>#DIV/0!</v>
      </c>
      <c r="AK108" s="13" t="e">
        <f t="shared" si="16"/>
        <v>#DIV/0!</v>
      </c>
      <c r="AL108" s="13" t="e">
        <f t="shared" si="17"/>
        <v>#DIV/0!</v>
      </c>
      <c r="AM108" s="13" t="e">
        <f t="shared" si="18"/>
        <v>#DIV/0!</v>
      </c>
      <c r="AN108" s="13" t="e">
        <f t="shared" si="19"/>
        <v>#DIV/0!</v>
      </c>
      <c r="AO108" s="2" t="e">
        <f t="shared" si="39"/>
        <v>#DIV/0!</v>
      </c>
      <c r="AP108" s="2" t="e">
        <f t="shared" si="40"/>
        <v>#DIV/0!</v>
      </c>
      <c r="AQ108" s="2" t="e">
        <f t="shared" si="41"/>
        <v>#DIV/0!</v>
      </c>
      <c r="AR108" s="2" t="e">
        <f t="shared" si="42"/>
        <v>#DIV/0!</v>
      </c>
      <c r="AS108" s="2" t="e">
        <f t="shared" si="43"/>
        <v>#DIV/0!</v>
      </c>
    </row>
    <row r="109" spans="1:45" ht="20.100000000000001" hidden="1" customHeight="1">
      <c r="A109" s="12">
        <v>0</v>
      </c>
      <c r="B109" s="13">
        <f>'INTERNAL TEST-1  '!B109</f>
        <v>0</v>
      </c>
      <c r="C109" s="64">
        <f>'INTERNAL TEST-1  '!C109</f>
        <v>0</v>
      </c>
      <c r="D109" s="12"/>
      <c r="E109" s="12"/>
      <c r="F109" s="12"/>
      <c r="G109" s="12"/>
      <c r="H109" s="12"/>
      <c r="I109" s="12"/>
      <c r="J109" s="12"/>
      <c r="K109" s="12"/>
      <c r="L109" s="12"/>
      <c r="M109" s="12"/>
      <c r="N109" s="12"/>
      <c r="O109" s="57"/>
      <c r="P109" s="57"/>
      <c r="Q109" s="12"/>
      <c r="R109" s="12"/>
      <c r="S109" s="12"/>
      <c r="T109" s="12"/>
      <c r="U109" s="13">
        <f t="shared" si="26"/>
        <v>0</v>
      </c>
      <c r="V109" s="13">
        <f t="shared" si="27"/>
        <v>0</v>
      </c>
      <c r="W109" s="13">
        <f t="shared" si="28"/>
        <v>0</v>
      </c>
      <c r="X109" s="13">
        <f t="shared" si="29"/>
        <v>0</v>
      </c>
      <c r="Y109" s="13">
        <f t="shared" si="30"/>
        <v>0</v>
      </c>
      <c r="Z109" s="13">
        <f t="shared" si="31"/>
        <v>0</v>
      </c>
      <c r="AA109" s="13">
        <f t="shared" si="32"/>
        <v>0</v>
      </c>
      <c r="AB109" s="13">
        <f t="shared" si="33"/>
        <v>0</v>
      </c>
      <c r="AC109" s="13">
        <f t="shared" si="34"/>
        <v>0</v>
      </c>
      <c r="AD109" s="13">
        <f t="shared" si="35"/>
        <v>0</v>
      </c>
      <c r="AE109" s="13">
        <f t="shared" si="36"/>
        <v>0</v>
      </c>
      <c r="AF109" s="13">
        <f t="shared" si="37"/>
        <v>0</v>
      </c>
      <c r="AG109" s="13">
        <f t="shared" si="38"/>
        <v>0</v>
      </c>
      <c r="AH109" s="13" t="e">
        <f t="shared" si="13"/>
        <v>#DIV/0!</v>
      </c>
      <c r="AI109" s="13" t="e">
        <f t="shared" si="14"/>
        <v>#DIV/0!</v>
      </c>
      <c r="AJ109" s="13" t="e">
        <f t="shared" si="15"/>
        <v>#DIV/0!</v>
      </c>
      <c r="AK109" s="13" t="e">
        <f t="shared" si="16"/>
        <v>#DIV/0!</v>
      </c>
      <c r="AL109" s="13" t="e">
        <f t="shared" si="17"/>
        <v>#DIV/0!</v>
      </c>
      <c r="AM109" s="13" t="e">
        <f t="shared" si="18"/>
        <v>#DIV/0!</v>
      </c>
      <c r="AN109" s="13" t="e">
        <f t="shared" si="19"/>
        <v>#DIV/0!</v>
      </c>
      <c r="AO109" s="2" t="e">
        <f t="shared" si="39"/>
        <v>#DIV/0!</v>
      </c>
      <c r="AP109" s="2" t="e">
        <f t="shared" si="40"/>
        <v>#DIV/0!</v>
      </c>
      <c r="AQ109" s="2" t="e">
        <f t="shared" si="41"/>
        <v>#DIV/0!</v>
      </c>
      <c r="AR109" s="2" t="e">
        <f t="shared" si="42"/>
        <v>#DIV/0!</v>
      </c>
      <c r="AS109" s="2" t="e">
        <f t="shared" si="43"/>
        <v>#DIV/0!</v>
      </c>
    </row>
    <row r="110" spans="1:45" ht="20.100000000000001" hidden="1" customHeight="1">
      <c r="A110" s="12">
        <v>0</v>
      </c>
      <c r="B110" s="13">
        <f>'INTERNAL TEST-1  '!B110</f>
        <v>0</v>
      </c>
      <c r="C110" s="64">
        <f>'INTERNAL TEST-1  '!C110</f>
        <v>0</v>
      </c>
      <c r="D110" s="12"/>
      <c r="E110" s="12"/>
      <c r="F110" s="12"/>
      <c r="G110" s="12"/>
      <c r="H110" s="12"/>
      <c r="I110" s="12"/>
      <c r="J110" s="12"/>
      <c r="K110" s="12"/>
      <c r="L110" s="12"/>
      <c r="M110" s="12"/>
      <c r="N110" s="12"/>
      <c r="O110" s="57"/>
      <c r="P110" s="57"/>
      <c r="Q110" s="12"/>
      <c r="R110" s="12"/>
      <c r="S110" s="12"/>
      <c r="T110" s="12"/>
      <c r="U110" s="13">
        <f t="shared" si="26"/>
        <v>0</v>
      </c>
      <c r="V110" s="13">
        <f t="shared" si="27"/>
        <v>0</v>
      </c>
      <c r="W110" s="13">
        <f t="shared" si="28"/>
        <v>0</v>
      </c>
      <c r="X110" s="13">
        <f t="shared" si="29"/>
        <v>0</v>
      </c>
      <c r="Y110" s="13">
        <f t="shared" si="30"/>
        <v>0</v>
      </c>
      <c r="Z110" s="13">
        <f t="shared" si="31"/>
        <v>0</v>
      </c>
      <c r="AA110" s="13">
        <f t="shared" si="32"/>
        <v>0</v>
      </c>
      <c r="AB110" s="13">
        <f t="shared" si="33"/>
        <v>0</v>
      </c>
      <c r="AC110" s="13">
        <f t="shared" si="34"/>
        <v>0</v>
      </c>
      <c r="AD110" s="13">
        <f t="shared" si="35"/>
        <v>0</v>
      </c>
      <c r="AE110" s="13">
        <f t="shared" si="36"/>
        <v>0</v>
      </c>
      <c r="AF110" s="13">
        <f t="shared" si="37"/>
        <v>0</v>
      </c>
      <c r="AG110" s="13">
        <f t="shared" si="38"/>
        <v>0</v>
      </c>
      <c r="AH110" s="13" t="e">
        <f t="shared" si="13"/>
        <v>#DIV/0!</v>
      </c>
      <c r="AI110" s="13" t="e">
        <f t="shared" si="14"/>
        <v>#DIV/0!</v>
      </c>
      <c r="AJ110" s="13" t="e">
        <f t="shared" si="15"/>
        <v>#DIV/0!</v>
      </c>
      <c r="AK110" s="13" t="e">
        <f t="shared" si="16"/>
        <v>#DIV/0!</v>
      </c>
      <c r="AL110" s="13" t="e">
        <f t="shared" si="17"/>
        <v>#DIV/0!</v>
      </c>
      <c r="AM110" s="13" t="e">
        <f t="shared" si="18"/>
        <v>#DIV/0!</v>
      </c>
      <c r="AN110" s="13" t="e">
        <f t="shared" si="19"/>
        <v>#DIV/0!</v>
      </c>
      <c r="AO110" s="2" t="e">
        <f t="shared" si="39"/>
        <v>#DIV/0!</v>
      </c>
      <c r="AP110" s="2" t="e">
        <f t="shared" si="40"/>
        <v>#DIV/0!</v>
      </c>
      <c r="AQ110" s="2" t="e">
        <f t="shared" si="41"/>
        <v>#DIV/0!</v>
      </c>
      <c r="AR110" s="2" t="e">
        <f t="shared" si="42"/>
        <v>#DIV/0!</v>
      </c>
      <c r="AS110" s="2" t="e">
        <f t="shared" si="43"/>
        <v>#DIV/0!</v>
      </c>
    </row>
    <row r="111" spans="1:45" ht="20.100000000000001" hidden="1" customHeight="1">
      <c r="A111" s="12">
        <v>0</v>
      </c>
      <c r="B111" s="13">
        <f>'INTERNAL TEST-1  '!B111</f>
        <v>0</v>
      </c>
      <c r="C111" s="64">
        <f>'INTERNAL TEST-1  '!C111</f>
        <v>0</v>
      </c>
      <c r="D111" s="12"/>
      <c r="E111" s="12"/>
      <c r="F111" s="12"/>
      <c r="G111" s="12"/>
      <c r="H111" s="12"/>
      <c r="I111" s="12"/>
      <c r="J111" s="12"/>
      <c r="K111" s="12"/>
      <c r="L111" s="12"/>
      <c r="M111" s="12"/>
      <c r="N111" s="12"/>
      <c r="O111" s="57"/>
      <c r="P111" s="57"/>
      <c r="Q111" s="12"/>
      <c r="R111" s="12"/>
      <c r="S111" s="12"/>
      <c r="T111" s="12"/>
      <c r="U111" s="13">
        <f t="shared" si="26"/>
        <v>0</v>
      </c>
      <c r="V111" s="13">
        <f t="shared" si="27"/>
        <v>0</v>
      </c>
      <c r="W111" s="13">
        <f t="shared" si="28"/>
        <v>0</v>
      </c>
      <c r="X111" s="13">
        <f t="shared" si="29"/>
        <v>0</v>
      </c>
      <c r="Y111" s="13">
        <f t="shared" si="30"/>
        <v>0</v>
      </c>
      <c r="Z111" s="13">
        <f t="shared" si="31"/>
        <v>0</v>
      </c>
      <c r="AA111" s="13">
        <f t="shared" si="32"/>
        <v>0</v>
      </c>
      <c r="AB111" s="13">
        <f t="shared" si="33"/>
        <v>0</v>
      </c>
      <c r="AC111" s="13">
        <f t="shared" si="34"/>
        <v>0</v>
      </c>
      <c r="AD111" s="13">
        <f t="shared" si="35"/>
        <v>0</v>
      </c>
      <c r="AE111" s="13">
        <f t="shared" si="36"/>
        <v>0</v>
      </c>
      <c r="AF111" s="13">
        <f t="shared" si="37"/>
        <v>0</v>
      </c>
      <c r="AG111" s="13">
        <f t="shared" si="38"/>
        <v>0</v>
      </c>
      <c r="AH111" s="13" t="e">
        <f t="shared" si="13"/>
        <v>#DIV/0!</v>
      </c>
      <c r="AI111" s="13" t="e">
        <f t="shared" si="14"/>
        <v>#DIV/0!</v>
      </c>
      <c r="AJ111" s="13" t="e">
        <f t="shared" si="15"/>
        <v>#DIV/0!</v>
      </c>
      <c r="AK111" s="13" t="e">
        <f t="shared" si="16"/>
        <v>#DIV/0!</v>
      </c>
      <c r="AL111" s="13" t="e">
        <f t="shared" si="17"/>
        <v>#DIV/0!</v>
      </c>
      <c r="AM111" s="13" t="e">
        <f t="shared" si="18"/>
        <v>#DIV/0!</v>
      </c>
      <c r="AN111" s="13" t="e">
        <f t="shared" si="19"/>
        <v>#DIV/0!</v>
      </c>
      <c r="AO111" s="2" t="e">
        <f t="shared" si="39"/>
        <v>#DIV/0!</v>
      </c>
      <c r="AP111" s="2" t="e">
        <f t="shared" si="40"/>
        <v>#DIV/0!</v>
      </c>
      <c r="AQ111" s="2" t="e">
        <f t="shared" si="41"/>
        <v>#DIV/0!</v>
      </c>
      <c r="AR111" s="2" t="e">
        <f t="shared" si="42"/>
        <v>#DIV/0!</v>
      </c>
      <c r="AS111" s="2" t="e">
        <f t="shared" si="43"/>
        <v>#DIV/0!</v>
      </c>
    </row>
    <row r="112" spans="1:45" ht="20.100000000000001" hidden="1" customHeight="1">
      <c r="A112" s="12">
        <v>0</v>
      </c>
      <c r="B112" s="13">
        <f>'INTERNAL TEST-1  '!B112</f>
        <v>0</v>
      </c>
      <c r="C112" s="64">
        <f>'INTERNAL TEST-1  '!C112</f>
        <v>0</v>
      </c>
      <c r="D112" s="12"/>
      <c r="E112" s="12"/>
      <c r="F112" s="12"/>
      <c r="G112" s="12"/>
      <c r="H112" s="12"/>
      <c r="I112" s="12"/>
      <c r="J112" s="12"/>
      <c r="K112" s="12"/>
      <c r="L112" s="12"/>
      <c r="M112" s="12"/>
      <c r="N112" s="12"/>
      <c r="O112" s="57"/>
      <c r="P112" s="57"/>
      <c r="Q112" s="12"/>
      <c r="R112" s="12"/>
      <c r="S112" s="12"/>
      <c r="T112" s="12"/>
      <c r="U112" s="13">
        <f t="shared" si="26"/>
        <v>0</v>
      </c>
      <c r="V112" s="13">
        <f t="shared" si="27"/>
        <v>0</v>
      </c>
      <c r="W112" s="13">
        <f t="shared" si="28"/>
        <v>0</v>
      </c>
      <c r="X112" s="13">
        <f t="shared" si="29"/>
        <v>0</v>
      </c>
      <c r="Y112" s="13">
        <f t="shared" si="30"/>
        <v>0</v>
      </c>
      <c r="Z112" s="13">
        <f t="shared" si="31"/>
        <v>0</v>
      </c>
      <c r="AA112" s="13">
        <f t="shared" si="32"/>
        <v>0</v>
      </c>
      <c r="AB112" s="13">
        <f t="shared" si="33"/>
        <v>0</v>
      </c>
      <c r="AC112" s="13">
        <f t="shared" si="34"/>
        <v>0</v>
      </c>
      <c r="AD112" s="13">
        <f t="shared" si="35"/>
        <v>0</v>
      </c>
      <c r="AE112" s="13">
        <f t="shared" si="36"/>
        <v>0</v>
      </c>
      <c r="AF112" s="13">
        <f t="shared" si="37"/>
        <v>0</v>
      </c>
      <c r="AG112" s="13">
        <f t="shared" si="38"/>
        <v>0</v>
      </c>
      <c r="AH112" s="13" t="e">
        <f t="shared" si="13"/>
        <v>#DIV/0!</v>
      </c>
      <c r="AI112" s="13" t="e">
        <f t="shared" si="14"/>
        <v>#DIV/0!</v>
      </c>
      <c r="AJ112" s="13" t="e">
        <f t="shared" si="15"/>
        <v>#DIV/0!</v>
      </c>
      <c r="AK112" s="13" t="e">
        <f t="shared" si="16"/>
        <v>#DIV/0!</v>
      </c>
      <c r="AL112" s="13" t="e">
        <f t="shared" si="17"/>
        <v>#DIV/0!</v>
      </c>
      <c r="AM112" s="13" t="e">
        <f t="shared" si="18"/>
        <v>#DIV/0!</v>
      </c>
      <c r="AN112" s="13" t="e">
        <f t="shared" si="19"/>
        <v>#DIV/0!</v>
      </c>
      <c r="AO112" s="2" t="e">
        <f t="shared" si="39"/>
        <v>#DIV/0!</v>
      </c>
      <c r="AP112" s="2" t="e">
        <f t="shared" si="40"/>
        <v>#DIV/0!</v>
      </c>
      <c r="AQ112" s="2" t="e">
        <f t="shared" si="41"/>
        <v>#DIV/0!</v>
      </c>
      <c r="AR112" s="2" t="e">
        <f t="shared" si="42"/>
        <v>#DIV/0!</v>
      </c>
      <c r="AS112" s="2" t="e">
        <f t="shared" si="43"/>
        <v>#DIV/0!</v>
      </c>
    </row>
    <row r="113" spans="1:45" ht="20.100000000000001" hidden="1" customHeight="1">
      <c r="A113" s="12">
        <v>0</v>
      </c>
      <c r="B113" s="13">
        <f>'INTERNAL TEST-1  '!B113</f>
        <v>0</v>
      </c>
      <c r="C113" s="64">
        <f>'INTERNAL TEST-1  '!C113</f>
        <v>0</v>
      </c>
      <c r="D113" s="12"/>
      <c r="E113" s="12"/>
      <c r="F113" s="12"/>
      <c r="G113" s="12"/>
      <c r="H113" s="12"/>
      <c r="I113" s="12"/>
      <c r="J113" s="12"/>
      <c r="K113" s="12"/>
      <c r="L113" s="12"/>
      <c r="M113" s="12"/>
      <c r="N113" s="12"/>
      <c r="O113" s="57"/>
      <c r="P113" s="57"/>
      <c r="Q113" s="12"/>
      <c r="R113" s="12"/>
      <c r="S113" s="12"/>
      <c r="T113" s="12"/>
      <c r="U113" s="13">
        <f t="shared" si="26"/>
        <v>0</v>
      </c>
      <c r="V113" s="13">
        <f t="shared" si="27"/>
        <v>0</v>
      </c>
      <c r="W113" s="13">
        <f t="shared" si="28"/>
        <v>0</v>
      </c>
      <c r="X113" s="13">
        <f t="shared" si="29"/>
        <v>0</v>
      </c>
      <c r="Y113" s="13">
        <f t="shared" si="30"/>
        <v>0</v>
      </c>
      <c r="Z113" s="13">
        <f t="shared" si="31"/>
        <v>0</v>
      </c>
      <c r="AA113" s="13">
        <f t="shared" si="32"/>
        <v>0</v>
      </c>
      <c r="AB113" s="13">
        <f t="shared" si="33"/>
        <v>0</v>
      </c>
      <c r="AC113" s="13">
        <f t="shared" si="34"/>
        <v>0</v>
      </c>
      <c r="AD113" s="13">
        <f t="shared" si="35"/>
        <v>0</v>
      </c>
      <c r="AE113" s="13">
        <f t="shared" si="36"/>
        <v>0</v>
      </c>
      <c r="AF113" s="13">
        <f t="shared" si="37"/>
        <v>0</v>
      </c>
      <c r="AG113" s="13">
        <f t="shared" si="38"/>
        <v>0</v>
      </c>
      <c r="AH113" s="13" t="e">
        <f t="shared" si="13"/>
        <v>#DIV/0!</v>
      </c>
      <c r="AI113" s="13" t="e">
        <f t="shared" si="14"/>
        <v>#DIV/0!</v>
      </c>
      <c r="AJ113" s="13" t="e">
        <f t="shared" si="15"/>
        <v>#DIV/0!</v>
      </c>
      <c r="AK113" s="13" t="e">
        <f t="shared" si="16"/>
        <v>#DIV/0!</v>
      </c>
      <c r="AL113" s="13" t="e">
        <f t="shared" si="17"/>
        <v>#DIV/0!</v>
      </c>
      <c r="AM113" s="13" t="e">
        <f t="shared" si="18"/>
        <v>#DIV/0!</v>
      </c>
      <c r="AN113" s="13" t="e">
        <f t="shared" si="19"/>
        <v>#DIV/0!</v>
      </c>
      <c r="AO113" s="2" t="e">
        <f t="shared" si="39"/>
        <v>#DIV/0!</v>
      </c>
      <c r="AP113" s="2" t="e">
        <f t="shared" si="40"/>
        <v>#DIV/0!</v>
      </c>
      <c r="AQ113" s="2" t="e">
        <f t="shared" si="41"/>
        <v>#DIV/0!</v>
      </c>
      <c r="AR113" s="2" t="e">
        <f t="shared" si="42"/>
        <v>#DIV/0!</v>
      </c>
      <c r="AS113" s="2" t="e">
        <f t="shared" si="43"/>
        <v>#DIV/0!</v>
      </c>
    </row>
    <row r="114" spans="1:45" ht="20.100000000000001" hidden="1" customHeight="1">
      <c r="A114" s="12">
        <v>0</v>
      </c>
      <c r="B114" s="13">
        <f>'INTERNAL TEST-1  '!B114</f>
        <v>0</v>
      </c>
      <c r="C114" s="64">
        <f>'INTERNAL TEST-1  '!C114</f>
        <v>0</v>
      </c>
      <c r="D114" s="12"/>
      <c r="E114" s="12"/>
      <c r="F114" s="12"/>
      <c r="G114" s="12"/>
      <c r="H114" s="12"/>
      <c r="I114" s="12"/>
      <c r="J114" s="12"/>
      <c r="K114" s="12"/>
      <c r="L114" s="12"/>
      <c r="M114" s="12"/>
      <c r="N114" s="12"/>
      <c r="O114" s="57"/>
      <c r="P114" s="57"/>
      <c r="Q114" s="12"/>
      <c r="R114" s="12"/>
      <c r="S114" s="12"/>
      <c r="T114" s="12"/>
      <c r="U114" s="13">
        <f t="shared" si="26"/>
        <v>0</v>
      </c>
      <c r="V114" s="13">
        <f t="shared" si="27"/>
        <v>0</v>
      </c>
      <c r="W114" s="13">
        <f t="shared" si="28"/>
        <v>0</v>
      </c>
      <c r="X114" s="13">
        <f t="shared" si="29"/>
        <v>0</v>
      </c>
      <c r="Y114" s="13">
        <f t="shared" si="30"/>
        <v>0</v>
      </c>
      <c r="Z114" s="13">
        <f t="shared" si="31"/>
        <v>0</v>
      </c>
      <c r="AA114" s="13">
        <f t="shared" si="32"/>
        <v>0</v>
      </c>
      <c r="AB114" s="13">
        <f t="shared" si="33"/>
        <v>0</v>
      </c>
      <c r="AC114" s="13">
        <f t="shared" si="34"/>
        <v>0</v>
      </c>
      <c r="AD114" s="13">
        <f t="shared" si="35"/>
        <v>0</v>
      </c>
      <c r="AE114" s="13">
        <f t="shared" si="36"/>
        <v>0</v>
      </c>
      <c r="AF114" s="13">
        <f t="shared" si="37"/>
        <v>0</v>
      </c>
      <c r="AG114" s="13">
        <f t="shared" si="38"/>
        <v>0</v>
      </c>
      <c r="AH114" s="13" t="e">
        <f t="shared" si="13"/>
        <v>#DIV/0!</v>
      </c>
      <c r="AI114" s="13" t="e">
        <f t="shared" si="14"/>
        <v>#DIV/0!</v>
      </c>
      <c r="AJ114" s="13" t="e">
        <f t="shared" si="15"/>
        <v>#DIV/0!</v>
      </c>
      <c r="AK114" s="13" t="e">
        <f t="shared" si="16"/>
        <v>#DIV/0!</v>
      </c>
      <c r="AL114" s="13" t="e">
        <f t="shared" si="17"/>
        <v>#DIV/0!</v>
      </c>
      <c r="AM114" s="13" t="e">
        <f t="shared" si="18"/>
        <v>#DIV/0!</v>
      </c>
      <c r="AN114" s="13" t="e">
        <f t="shared" si="19"/>
        <v>#DIV/0!</v>
      </c>
      <c r="AO114" s="2" t="e">
        <f t="shared" si="39"/>
        <v>#DIV/0!</v>
      </c>
      <c r="AP114" s="2" t="e">
        <f t="shared" si="40"/>
        <v>#DIV/0!</v>
      </c>
      <c r="AQ114" s="2" t="e">
        <f t="shared" si="41"/>
        <v>#DIV/0!</v>
      </c>
      <c r="AR114" s="2" t="e">
        <f t="shared" si="42"/>
        <v>#DIV/0!</v>
      </c>
      <c r="AS114" s="2" t="e">
        <f t="shared" si="43"/>
        <v>#DIV/0!</v>
      </c>
    </row>
    <row r="115" spans="1:45" ht="20.100000000000001" hidden="1" customHeight="1">
      <c r="A115" s="12">
        <v>0</v>
      </c>
      <c r="B115" s="13">
        <f>'INTERNAL TEST-1  '!B115</f>
        <v>0</v>
      </c>
      <c r="C115" s="64">
        <f>'INTERNAL TEST-1  '!C115</f>
        <v>0</v>
      </c>
      <c r="D115" s="12"/>
      <c r="E115" s="12"/>
      <c r="F115" s="12"/>
      <c r="G115" s="12"/>
      <c r="H115" s="12"/>
      <c r="I115" s="12"/>
      <c r="J115" s="12"/>
      <c r="K115" s="12"/>
      <c r="L115" s="12"/>
      <c r="M115" s="12"/>
      <c r="N115" s="12"/>
      <c r="O115" s="57"/>
      <c r="P115" s="57"/>
      <c r="Q115" s="12"/>
      <c r="R115" s="12"/>
      <c r="S115" s="12"/>
      <c r="T115" s="12"/>
      <c r="U115" s="13">
        <f t="shared" si="26"/>
        <v>0</v>
      </c>
      <c r="V115" s="13">
        <f t="shared" si="27"/>
        <v>0</v>
      </c>
      <c r="W115" s="13">
        <f t="shared" si="28"/>
        <v>0</v>
      </c>
      <c r="X115" s="13">
        <f t="shared" si="29"/>
        <v>0</v>
      </c>
      <c r="Y115" s="13">
        <f t="shared" si="30"/>
        <v>0</v>
      </c>
      <c r="Z115" s="13">
        <f t="shared" si="31"/>
        <v>0</v>
      </c>
      <c r="AA115" s="13">
        <f t="shared" si="32"/>
        <v>0</v>
      </c>
      <c r="AB115" s="13">
        <f t="shared" si="33"/>
        <v>0</v>
      </c>
      <c r="AC115" s="13">
        <f t="shared" si="34"/>
        <v>0</v>
      </c>
      <c r="AD115" s="13">
        <f t="shared" si="35"/>
        <v>0</v>
      </c>
      <c r="AE115" s="13">
        <f t="shared" si="36"/>
        <v>0</v>
      </c>
      <c r="AF115" s="13">
        <f t="shared" si="37"/>
        <v>0</v>
      </c>
      <c r="AG115" s="13">
        <f t="shared" si="38"/>
        <v>0</v>
      </c>
      <c r="AH115" s="13" t="e">
        <f t="shared" si="13"/>
        <v>#DIV/0!</v>
      </c>
      <c r="AI115" s="13" t="e">
        <f t="shared" si="14"/>
        <v>#DIV/0!</v>
      </c>
      <c r="AJ115" s="13" t="e">
        <f t="shared" si="15"/>
        <v>#DIV/0!</v>
      </c>
      <c r="AK115" s="13" t="e">
        <f t="shared" si="16"/>
        <v>#DIV/0!</v>
      </c>
      <c r="AL115" s="13" t="e">
        <f t="shared" si="17"/>
        <v>#DIV/0!</v>
      </c>
      <c r="AM115" s="13" t="e">
        <f t="shared" si="18"/>
        <v>#DIV/0!</v>
      </c>
      <c r="AN115" s="13" t="e">
        <f t="shared" si="19"/>
        <v>#DIV/0!</v>
      </c>
      <c r="AO115" s="2" t="e">
        <f t="shared" si="39"/>
        <v>#DIV/0!</v>
      </c>
      <c r="AP115" s="2" t="e">
        <f t="shared" si="40"/>
        <v>#DIV/0!</v>
      </c>
      <c r="AQ115" s="2" t="e">
        <f t="shared" si="41"/>
        <v>#DIV/0!</v>
      </c>
      <c r="AR115" s="2" t="e">
        <f t="shared" si="42"/>
        <v>#DIV/0!</v>
      </c>
      <c r="AS115" s="2" t="e">
        <f t="shared" si="43"/>
        <v>#DIV/0!</v>
      </c>
    </row>
    <row r="116" spans="1:45" ht="20.100000000000001" hidden="1" customHeight="1">
      <c r="A116" s="12">
        <v>0</v>
      </c>
      <c r="B116" s="13">
        <f>'INTERNAL TEST-1  '!B116</f>
        <v>0</v>
      </c>
      <c r="C116" s="64">
        <f>'INTERNAL TEST-1  '!C116</f>
        <v>0</v>
      </c>
      <c r="D116" s="12"/>
      <c r="E116" s="12"/>
      <c r="F116" s="12"/>
      <c r="G116" s="12"/>
      <c r="H116" s="12"/>
      <c r="I116" s="12"/>
      <c r="J116" s="12"/>
      <c r="K116" s="12"/>
      <c r="L116" s="12"/>
      <c r="M116" s="12"/>
      <c r="N116" s="12"/>
      <c r="O116" s="57"/>
      <c r="P116" s="57"/>
      <c r="Q116" s="12"/>
      <c r="R116" s="12"/>
      <c r="S116" s="12"/>
      <c r="T116" s="12"/>
      <c r="U116" s="13">
        <f t="shared" si="26"/>
        <v>0</v>
      </c>
      <c r="V116" s="13">
        <f t="shared" si="27"/>
        <v>0</v>
      </c>
      <c r="W116" s="13">
        <f t="shared" si="28"/>
        <v>0</v>
      </c>
      <c r="X116" s="13">
        <f t="shared" si="29"/>
        <v>0</v>
      </c>
      <c r="Y116" s="13">
        <f t="shared" si="30"/>
        <v>0</v>
      </c>
      <c r="Z116" s="13">
        <f t="shared" si="31"/>
        <v>0</v>
      </c>
      <c r="AA116" s="13">
        <f t="shared" si="32"/>
        <v>0</v>
      </c>
      <c r="AB116" s="13">
        <f t="shared" si="33"/>
        <v>0</v>
      </c>
      <c r="AC116" s="13">
        <f t="shared" si="34"/>
        <v>0</v>
      </c>
      <c r="AD116" s="13">
        <f t="shared" si="35"/>
        <v>0</v>
      </c>
      <c r="AE116" s="13">
        <f t="shared" si="36"/>
        <v>0</v>
      </c>
      <c r="AF116" s="13">
        <f t="shared" si="37"/>
        <v>0</v>
      </c>
      <c r="AG116" s="13">
        <f t="shared" si="38"/>
        <v>0</v>
      </c>
      <c r="AH116" s="13" t="e">
        <f t="shared" si="13"/>
        <v>#DIV/0!</v>
      </c>
      <c r="AI116" s="13" t="e">
        <f t="shared" si="14"/>
        <v>#DIV/0!</v>
      </c>
      <c r="AJ116" s="13" t="e">
        <f t="shared" si="15"/>
        <v>#DIV/0!</v>
      </c>
      <c r="AK116" s="13" t="e">
        <f t="shared" si="16"/>
        <v>#DIV/0!</v>
      </c>
      <c r="AL116" s="13" t="e">
        <f t="shared" si="17"/>
        <v>#DIV/0!</v>
      </c>
      <c r="AM116" s="13" t="e">
        <f t="shared" si="18"/>
        <v>#DIV/0!</v>
      </c>
      <c r="AN116" s="13" t="e">
        <f t="shared" si="19"/>
        <v>#DIV/0!</v>
      </c>
      <c r="AO116" s="2" t="e">
        <f t="shared" si="39"/>
        <v>#DIV/0!</v>
      </c>
      <c r="AP116" s="2" t="e">
        <f t="shared" si="40"/>
        <v>#DIV/0!</v>
      </c>
      <c r="AQ116" s="2" t="e">
        <f t="shared" si="41"/>
        <v>#DIV/0!</v>
      </c>
      <c r="AR116" s="2" t="e">
        <f t="shared" si="42"/>
        <v>#DIV/0!</v>
      </c>
      <c r="AS116" s="2" t="e">
        <f t="shared" si="43"/>
        <v>#DIV/0!</v>
      </c>
    </row>
    <row r="117" spans="1:45" ht="20.100000000000001" hidden="1" customHeight="1">
      <c r="A117" s="12">
        <v>0</v>
      </c>
      <c r="B117" s="13">
        <f>'INTERNAL TEST-1  '!B117</f>
        <v>0</v>
      </c>
      <c r="C117" s="64">
        <f>'INTERNAL TEST-1  '!C117</f>
        <v>0</v>
      </c>
      <c r="D117" s="12"/>
      <c r="E117" s="12"/>
      <c r="F117" s="12"/>
      <c r="G117" s="12"/>
      <c r="H117" s="12"/>
      <c r="I117" s="12"/>
      <c r="J117" s="12"/>
      <c r="K117" s="12"/>
      <c r="L117" s="12"/>
      <c r="M117" s="12"/>
      <c r="N117" s="12"/>
      <c r="O117" s="57"/>
      <c r="P117" s="57"/>
      <c r="Q117" s="12"/>
      <c r="R117" s="12"/>
      <c r="S117" s="12"/>
      <c r="T117" s="12"/>
      <c r="U117" s="13">
        <f t="shared" si="26"/>
        <v>0</v>
      </c>
      <c r="V117" s="13">
        <f t="shared" si="27"/>
        <v>0</v>
      </c>
      <c r="W117" s="13">
        <f t="shared" si="28"/>
        <v>0</v>
      </c>
      <c r="X117" s="13">
        <f t="shared" si="29"/>
        <v>0</v>
      </c>
      <c r="Y117" s="13">
        <f t="shared" si="30"/>
        <v>0</v>
      </c>
      <c r="Z117" s="13">
        <f t="shared" si="31"/>
        <v>0</v>
      </c>
      <c r="AA117" s="13">
        <f t="shared" si="32"/>
        <v>0</v>
      </c>
      <c r="AB117" s="13">
        <f t="shared" si="33"/>
        <v>0</v>
      </c>
      <c r="AC117" s="13">
        <f t="shared" si="34"/>
        <v>0</v>
      </c>
      <c r="AD117" s="13">
        <f t="shared" si="35"/>
        <v>0</v>
      </c>
      <c r="AE117" s="13">
        <f t="shared" si="36"/>
        <v>0</v>
      </c>
      <c r="AF117" s="13">
        <f t="shared" si="37"/>
        <v>0</v>
      </c>
      <c r="AG117" s="13">
        <f t="shared" si="38"/>
        <v>0</v>
      </c>
      <c r="AH117" s="13" t="e">
        <f t="shared" si="13"/>
        <v>#DIV/0!</v>
      </c>
      <c r="AI117" s="13" t="e">
        <f t="shared" si="14"/>
        <v>#DIV/0!</v>
      </c>
      <c r="AJ117" s="13" t="e">
        <f t="shared" si="15"/>
        <v>#DIV/0!</v>
      </c>
      <c r="AK117" s="13" t="e">
        <f t="shared" si="16"/>
        <v>#DIV/0!</v>
      </c>
      <c r="AL117" s="13" t="e">
        <f t="shared" si="17"/>
        <v>#DIV/0!</v>
      </c>
      <c r="AM117" s="13" t="e">
        <f t="shared" si="18"/>
        <v>#DIV/0!</v>
      </c>
      <c r="AN117" s="13" t="e">
        <f t="shared" si="19"/>
        <v>#DIV/0!</v>
      </c>
      <c r="AO117" s="2" t="e">
        <f t="shared" si="39"/>
        <v>#DIV/0!</v>
      </c>
      <c r="AP117" s="2" t="e">
        <f t="shared" si="40"/>
        <v>#DIV/0!</v>
      </c>
      <c r="AQ117" s="2" t="e">
        <f t="shared" si="41"/>
        <v>#DIV/0!</v>
      </c>
      <c r="AR117" s="2" t="e">
        <f t="shared" si="42"/>
        <v>#DIV/0!</v>
      </c>
      <c r="AS117" s="2" t="e">
        <f t="shared" si="43"/>
        <v>#DIV/0!</v>
      </c>
    </row>
    <row r="118" spans="1:45" ht="20.100000000000001" hidden="1" customHeight="1">
      <c r="A118" s="12">
        <v>0</v>
      </c>
      <c r="B118" s="13">
        <f>'INTERNAL TEST-1  '!B118</f>
        <v>0</v>
      </c>
      <c r="C118" s="64">
        <f>'INTERNAL TEST-1  '!C118</f>
        <v>0</v>
      </c>
      <c r="D118" s="12"/>
      <c r="E118" s="12"/>
      <c r="F118" s="12"/>
      <c r="G118" s="12"/>
      <c r="H118" s="12"/>
      <c r="I118" s="12"/>
      <c r="J118" s="12"/>
      <c r="K118" s="12"/>
      <c r="L118" s="12"/>
      <c r="M118" s="12"/>
      <c r="N118" s="12"/>
      <c r="O118" s="57"/>
      <c r="P118" s="57"/>
      <c r="Q118" s="12"/>
      <c r="R118" s="12"/>
      <c r="S118" s="12"/>
      <c r="T118" s="12"/>
      <c r="U118" s="13">
        <f t="shared" si="26"/>
        <v>0</v>
      </c>
      <c r="V118" s="13">
        <f t="shared" si="27"/>
        <v>0</v>
      </c>
      <c r="W118" s="13">
        <f t="shared" si="28"/>
        <v>0</v>
      </c>
      <c r="X118" s="13">
        <f t="shared" si="29"/>
        <v>0</v>
      </c>
      <c r="Y118" s="13">
        <f t="shared" si="30"/>
        <v>0</v>
      </c>
      <c r="Z118" s="13">
        <f t="shared" si="31"/>
        <v>0</v>
      </c>
      <c r="AA118" s="13">
        <f t="shared" si="32"/>
        <v>0</v>
      </c>
      <c r="AB118" s="13">
        <f t="shared" si="33"/>
        <v>0</v>
      </c>
      <c r="AC118" s="13">
        <f t="shared" si="34"/>
        <v>0</v>
      </c>
      <c r="AD118" s="13">
        <f t="shared" si="35"/>
        <v>0</v>
      </c>
      <c r="AE118" s="13">
        <f t="shared" si="36"/>
        <v>0</v>
      </c>
      <c r="AF118" s="13">
        <f t="shared" si="37"/>
        <v>0</v>
      </c>
      <c r="AG118" s="13">
        <f t="shared" si="38"/>
        <v>0</v>
      </c>
      <c r="AH118" s="13" t="e">
        <f t="shared" si="13"/>
        <v>#DIV/0!</v>
      </c>
      <c r="AI118" s="13" t="e">
        <f t="shared" si="14"/>
        <v>#DIV/0!</v>
      </c>
      <c r="AJ118" s="13" t="e">
        <f t="shared" si="15"/>
        <v>#DIV/0!</v>
      </c>
      <c r="AK118" s="13" t="e">
        <f t="shared" si="16"/>
        <v>#DIV/0!</v>
      </c>
      <c r="AL118" s="13" t="e">
        <f t="shared" si="17"/>
        <v>#DIV/0!</v>
      </c>
      <c r="AM118" s="13" t="e">
        <f t="shared" si="18"/>
        <v>#DIV/0!</v>
      </c>
      <c r="AN118" s="13" t="e">
        <f t="shared" si="19"/>
        <v>#DIV/0!</v>
      </c>
      <c r="AO118" s="2" t="e">
        <f t="shared" si="39"/>
        <v>#DIV/0!</v>
      </c>
      <c r="AP118" s="2" t="e">
        <f t="shared" si="40"/>
        <v>#DIV/0!</v>
      </c>
      <c r="AQ118" s="2" t="e">
        <f t="shared" si="41"/>
        <v>#DIV/0!</v>
      </c>
      <c r="AR118" s="2" t="e">
        <f t="shared" si="42"/>
        <v>#DIV/0!</v>
      </c>
      <c r="AS118" s="2" t="e">
        <f t="shared" si="43"/>
        <v>#DIV/0!</v>
      </c>
    </row>
    <row r="119" spans="1:45" ht="20.100000000000001" hidden="1" customHeight="1">
      <c r="A119" s="12">
        <v>0</v>
      </c>
      <c r="B119" s="13">
        <f>'INTERNAL TEST-1  '!B119</f>
        <v>0</v>
      </c>
      <c r="C119" s="64">
        <f>'INTERNAL TEST-1  '!C119</f>
        <v>0</v>
      </c>
      <c r="D119" s="12"/>
      <c r="E119" s="12"/>
      <c r="F119" s="12"/>
      <c r="G119" s="12"/>
      <c r="H119" s="12"/>
      <c r="I119" s="12"/>
      <c r="J119" s="12"/>
      <c r="K119" s="12"/>
      <c r="L119" s="12"/>
      <c r="M119" s="12"/>
      <c r="N119" s="12"/>
      <c r="O119" s="57"/>
      <c r="P119" s="57"/>
      <c r="Q119" s="12"/>
      <c r="R119" s="12"/>
      <c r="S119" s="12"/>
      <c r="T119" s="12"/>
      <c r="U119" s="13">
        <f t="shared" si="26"/>
        <v>0</v>
      </c>
      <c r="V119" s="13">
        <f t="shared" si="27"/>
        <v>0</v>
      </c>
      <c r="W119" s="13">
        <f t="shared" si="28"/>
        <v>0</v>
      </c>
      <c r="X119" s="13">
        <f t="shared" si="29"/>
        <v>0</v>
      </c>
      <c r="Y119" s="13">
        <f t="shared" si="30"/>
        <v>0</v>
      </c>
      <c r="Z119" s="13">
        <f t="shared" si="31"/>
        <v>0</v>
      </c>
      <c r="AA119" s="13">
        <f t="shared" si="32"/>
        <v>0</v>
      </c>
      <c r="AB119" s="13">
        <f t="shared" si="33"/>
        <v>0</v>
      </c>
      <c r="AC119" s="13">
        <f t="shared" si="34"/>
        <v>0</v>
      </c>
      <c r="AD119" s="13">
        <f t="shared" si="35"/>
        <v>0</v>
      </c>
      <c r="AE119" s="13">
        <f t="shared" si="36"/>
        <v>0</v>
      </c>
      <c r="AF119" s="13">
        <f t="shared" si="37"/>
        <v>0</v>
      </c>
      <c r="AG119" s="13">
        <f t="shared" si="38"/>
        <v>0</v>
      </c>
      <c r="AH119" s="13" t="e">
        <f t="shared" si="13"/>
        <v>#DIV/0!</v>
      </c>
      <c r="AI119" s="13" t="e">
        <f t="shared" si="14"/>
        <v>#DIV/0!</v>
      </c>
      <c r="AJ119" s="13" t="e">
        <f t="shared" si="15"/>
        <v>#DIV/0!</v>
      </c>
      <c r="AK119" s="13" t="e">
        <f t="shared" si="16"/>
        <v>#DIV/0!</v>
      </c>
      <c r="AL119" s="13" t="e">
        <f t="shared" si="17"/>
        <v>#DIV/0!</v>
      </c>
      <c r="AM119" s="13" t="e">
        <f t="shared" si="18"/>
        <v>#DIV/0!</v>
      </c>
      <c r="AN119" s="13" t="e">
        <f t="shared" si="19"/>
        <v>#DIV/0!</v>
      </c>
      <c r="AO119" s="2" t="e">
        <f t="shared" si="39"/>
        <v>#DIV/0!</v>
      </c>
      <c r="AP119" s="2" t="e">
        <f t="shared" si="40"/>
        <v>#DIV/0!</v>
      </c>
      <c r="AQ119" s="2" t="e">
        <f t="shared" si="41"/>
        <v>#DIV/0!</v>
      </c>
      <c r="AR119" s="2" t="e">
        <f t="shared" si="42"/>
        <v>#DIV/0!</v>
      </c>
      <c r="AS119" s="2" t="e">
        <f t="shared" si="43"/>
        <v>#DIV/0!</v>
      </c>
    </row>
    <row r="120" spans="1:45" ht="20.100000000000001" hidden="1" customHeight="1">
      <c r="A120" s="12">
        <v>0</v>
      </c>
      <c r="B120" s="13">
        <f>'INTERNAL TEST-1  '!B120</f>
        <v>0</v>
      </c>
      <c r="C120" s="64">
        <f>'INTERNAL TEST-1  '!C120</f>
        <v>0</v>
      </c>
      <c r="D120" s="12"/>
      <c r="E120" s="12"/>
      <c r="F120" s="12"/>
      <c r="G120" s="12"/>
      <c r="H120" s="12"/>
      <c r="I120" s="12"/>
      <c r="J120" s="12"/>
      <c r="K120" s="12"/>
      <c r="L120" s="12"/>
      <c r="M120" s="12"/>
      <c r="N120" s="12"/>
      <c r="O120" s="57"/>
      <c r="P120" s="57"/>
      <c r="Q120" s="12"/>
      <c r="R120" s="12"/>
      <c r="S120" s="12"/>
      <c r="T120" s="12"/>
      <c r="U120" s="13">
        <f t="shared" si="26"/>
        <v>0</v>
      </c>
      <c r="V120" s="13">
        <f t="shared" si="27"/>
        <v>0</v>
      </c>
      <c r="W120" s="13">
        <f t="shared" si="28"/>
        <v>0</v>
      </c>
      <c r="X120" s="13">
        <f t="shared" si="29"/>
        <v>0</v>
      </c>
      <c r="Y120" s="13">
        <f t="shared" si="30"/>
        <v>0</v>
      </c>
      <c r="Z120" s="13">
        <f t="shared" si="31"/>
        <v>0</v>
      </c>
      <c r="AA120" s="13">
        <f t="shared" si="32"/>
        <v>0</v>
      </c>
      <c r="AB120" s="13">
        <f t="shared" si="33"/>
        <v>0</v>
      </c>
      <c r="AC120" s="13">
        <f t="shared" si="34"/>
        <v>0</v>
      </c>
      <c r="AD120" s="13">
        <f t="shared" si="35"/>
        <v>0</v>
      </c>
      <c r="AE120" s="13">
        <f t="shared" si="36"/>
        <v>0</v>
      </c>
      <c r="AF120" s="13">
        <f t="shared" si="37"/>
        <v>0</v>
      </c>
      <c r="AG120" s="13">
        <f t="shared" si="38"/>
        <v>0</v>
      </c>
      <c r="AH120" s="13" t="e">
        <f t="shared" si="13"/>
        <v>#DIV/0!</v>
      </c>
      <c r="AI120" s="13" t="e">
        <f t="shared" si="14"/>
        <v>#DIV/0!</v>
      </c>
      <c r="AJ120" s="13" t="e">
        <f t="shared" si="15"/>
        <v>#DIV/0!</v>
      </c>
      <c r="AK120" s="13" t="e">
        <f t="shared" si="16"/>
        <v>#DIV/0!</v>
      </c>
      <c r="AL120" s="13" t="e">
        <f t="shared" si="17"/>
        <v>#DIV/0!</v>
      </c>
      <c r="AM120" s="13" t="e">
        <f t="shared" si="18"/>
        <v>#DIV/0!</v>
      </c>
      <c r="AN120" s="13" t="e">
        <f t="shared" si="19"/>
        <v>#DIV/0!</v>
      </c>
      <c r="AO120" s="2" t="e">
        <f t="shared" si="39"/>
        <v>#DIV/0!</v>
      </c>
      <c r="AP120" s="2" t="e">
        <f t="shared" si="40"/>
        <v>#DIV/0!</v>
      </c>
      <c r="AQ120" s="2" t="e">
        <f t="shared" si="41"/>
        <v>#DIV/0!</v>
      </c>
      <c r="AR120" s="2" t="e">
        <f t="shared" si="42"/>
        <v>#DIV/0!</v>
      </c>
      <c r="AS120" s="2" t="e">
        <f t="shared" si="43"/>
        <v>#DIV/0!</v>
      </c>
    </row>
    <row r="121" spans="1:45" ht="20.100000000000001" hidden="1" customHeight="1">
      <c r="A121" s="12">
        <v>0</v>
      </c>
      <c r="B121" s="13">
        <f>'INTERNAL TEST-1  '!B121</f>
        <v>0</v>
      </c>
      <c r="C121" s="64">
        <f>'INTERNAL TEST-1  '!C121</f>
        <v>0</v>
      </c>
      <c r="D121" s="12"/>
      <c r="E121" s="12"/>
      <c r="F121" s="12"/>
      <c r="G121" s="12"/>
      <c r="H121" s="12"/>
      <c r="I121" s="12"/>
      <c r="J121" s="12"/>
      <c r="K121" s="12"/>
      <c r="L121" s="12"/>
      <c r="M121" s="12"/>
      <c r="N121" s="12"/>
      <c r="O121" s="57"/>
      <c r="P121" s="57"/>
      <c r="Q121" s="12"/>
      <c r="R121" s="12"/>
      <c r="S121" s="12"/>
      <c r="T121" s="12"/>
      <c r="U121" s="13">
        <f t="shared" si="26"/>
        <v>0</v>
      </c>
      <c r="V121" s="13">
        <f t="shared" si="27"/>
        <v>0</v>
      </c>
      <c r="W121" s="13">
        <f t="shared" si="28"/>
        <v>0</v>
      </c>
      <c r="X121" s="13">
        <f t="shared" si="29"/>
        <v>0</v>
      </c>
      <c r="Y121" s="13">
        <f t="shared" si="30"/>
        <v>0</v>
      </c>
      <c r="Z121" s="13">
        <f t="shared" si="31"/>
        <v>0</v>
      </c>
      <c r="AA121" s="13">
        <f t="shared" si="32"/>
        <v>0</v>
      </c>
      <c r="AB121" s="13">
        <f t="shared" si="33"/>
        <v>0</v>
      </c>
      <c r="AC121" s="13">
        <f t="shared" si="34"/>
        <v>0</v>
      </c>
      <c r="AD121" s="13">
        <f t="shared" si="35"/>
        <v>0</v>
      </c>
      <c r="AE121" s="13">
        <f t="shared" si="36"/>
        <v>0</v>
      </c>
      <c r="AF121" s="13">
        <f t="shared" si="37"/>
        <v>0</v>
      </c>
      <c r="AG121" s="13">
        <f t="shared" si="38"/>
        <v>0</v>
      </c>
      <c r="AH121" s="13" t="e">
        <f t="shared" si="13"/>
        <v>#DIV/0!</v>
      </c>
      <c r="AI121" s="13" t="e">
        <f t="shared" si="14"/>
        <v>#DIV/0!</v>
      </c>
      <c r="AJ121" s="13" t="e">
        <f t="shared" si="15"/>
        <v>#DIV/0!</v>
      </c>
      <c r="AK121" s="13" t="e">
        <f t="shared" si="16"/>
        <v>#DIV/0!</v>
      </c>
      <c r="AL121" s="13" t="e">
        <f t="shared" si="17"/>
        <v>#DIV/0!</v>
      </c>
      <c r="AM121" s="13" t="e">
        <f t="shared" si="18"/>
        <v>#DIV/0!</v>
      </c>
      <c r="AN121" s="13" t="e">
        <f t="shared" si="19"/>
        <v>#DIV/0!</v>
      </c>
      <c r="AO121" s="2" t="e">
        <f t="shared" si="39"/>
        <v>#DIV/0!</v>
      </c>
      <c r="AP121" s="2" t="e">
        <f t="shared" si="40"/>
        <v>#DIV/0!</v>
      </c>
      <c r="AQ121" s="2" t="e">
        <f t="shared" si="41"/>
        <v>#DIV/0!</v>
      </c>
      <c r="AR121" s="2" t="e">
        <f t="shared" si="42"/>
        <v>#DIV/0!</v>
      </c>
      <c r="AS121" s="2" t="e">
        <f t="shared" si="43"/>
        <v>#DIV/0!</v>
      </c>
    </row>
    <row r="122" spans="1:45" ht="19.8" hidden="1" customHeight="1">
      <c r="A122" s="12">
        <v>0</v>
      </c>
      <c r="B122" s="13">
        <f>'INTERNAL TEST-1  '!B122</f>
        <v>0</v>
      </c>
      <c r="C122" s="64">
        <f>'INTERNAL TEST-1  '!C122</f>
        <v>0</v>
      </c>
      <c r="D122" s="12"/>
      <c r="E122" s="12"/>
      <c r="F122" s="12"/>
      <c r="G122" s="12"/>
      <c r="H122" s="12"/>
      <c r="I122" s="12"/>
      <c r="J122" s="12"/>
      <c r="K122" s="12"/>
      <c r="L122" s="12"/>
      <c r="M122" s="12"/>
      <c r="N122" s="12"/>
      <c r="O122" s="57"/>
      <c r="P122" s="57"/>
      <c r="Q122" s="12"/>
      <c r="R122" s="12"/>
      <c r="S122" s="12"/>
      <c r="T122" s="12"/>
      <c r="U122" s="13">
        <f t="shared" si="26"/>
        <v>0</v>
      </c>
      <c r="V122" s="13">
        <f t="shared" si="27"/>
        <v>0</v>
      </c>
      <c r="W122" s="13">
        <f t="shared" si="28"/>
        <v>0</v>
      </c>
      <c r="X122" s="13">
        <f t="shared" si="29"/>
        <v>0</v>
      </c>
      <c r="Y122" s="13">
        <f t="shared" si="30"/>
        <v>0</v>
      </c>
      <c r="Z122" s="13">
        <f t="shared" si="31"/>
        <v>0</v>
      </c>
      <c r="AA122" s="13">
        <f t="shared" si="32"/>
        <v>0</v>
      </c>
      <c r="AB122" s="13">
        <f t="shared" si="33"/>
        <v>0</v>
      </c>
      <c r="AC122" s="13">
        <f t="shared" si="34"/>
        <v>0</v>
      </c>
      <c r="AD122" s="13">
        <f t="shared" si="35"/>
        <v>0</v>
      </c>
      <c r="AE122" s="13">
        <f t="shared" si="36"/>
        <v>0</v>
      </c>
      <c r="AF122" s="13">
        <f t="shared" si="37"/>
        <v>0</v>
      </c>
      <c r="AG122" s="13">
        <f t="shared" si="38"/>
        <v>0</v>
      </c>
      <c r="AH122" s="13" t="e">
        <f t="shared" si="13"/>
        <v>#DIV/0!</v>
      </c>
      <c r="AI122" s="13" t="e">
        <f t="shared" si="14"/>
        <v>#DIV/0!</v>
      </c>
      <c r="AJ122" s="13" t="e">
        <f t="shared" si="15"/>
        <v>#DIV/0!</v>
      </c>
      <c r="AK122" s="13" t="e">
        <f t="shared" si="16"/>
        <v>#DIV/0!</v>
      </c>
      <c r="AL122" s="13" t="e">
        <f t="shared" si="17"/>
        <v>#DIV/0!</v>
      </c>
      <c r="AM122" s="13" t="e">
        <f t="shared" si="18"/>
        <v>#DIV/0!</v>
      </c>
      <c r="AN122" s="13" t="e">
        <f t="shared" si="19"/>
        <v>#DIV/0!</v>
      </c>
      <c r="AO122" s="2" t="e">
        <f t="shared" si="39"/>
        <v>#DIV/0!</v>
      </c>
      <c r="AP122" s="2" t="e">
        <f t="shared" si="40"/>
        <v>#DIV/0!</v>
      </c>
      <c r="AQ122" s="2" t="e">
        <f t="shared" si="41"/>
        <v>#DIV/0!</v>
      </c>
      <c r="AR122" s="2" t="e">
        <f t="shared" si="42"/>
        <v>#DIV/0!</v>
      </c>
      <c r="AS122" s="2" t="e">
        <f t="shared" si="43"/>
        <v>#DIV/0!</v>
      </c>
    </row>
    <row r="123" spans="1:45" ht="20.100000000000001" hidden="1" customHeight="1">
      <c r="A123" s="12">
        <v>0</v>
      </c>
      <c r="B123" s="13">
        <f>'INTERNAL TEST-1  '!B123</f>
        <v>0</v>
      </c>
      <c r="C123" s="64">
        <f>'INTERNAL TEST-1  '!C123</f>
        <v>0</v>
      </c>
      <c r="D123" s="12"/>
      <c r="E123" s="12"/>
      <c r="F123" s="12"/>
      <c r="G123" s="12"/>
      <c r="H123" s="12"/>
      <c r="I123" s="12"/>
      <c r="J123" s="12"/>
      <c r="K123" s="12"/>
      <c r="L123" s="12"/>
      <c r="M123" s="12"/>
      <c r="N123" s="12"/>
      <c r="O123" s="57"/>
      <c r="P123" s="57"/>
      <c r="Q123" s="12"/>
      <c r="R123" s="12"/>
      <c r="S123" s="12"/>
      <c r="T123" s="12"/>
      <c r="U123" s="13">
        <f t="shared" si="26"/>
        <v>0</v>
      </c>
      <c r="V123" s="13">
        <f t="shared" si="27"/>
        <v>0</v>
      </c>
      <c r="W123" s="13">
        <f t="shared" si="28"/>
        <v>0</v>
      </c>
      <c r="X123" s="13">
        <f t="shared" si="29"/>
        <v>0</v>
      </c>
      <c r="Y123" s="13">
        <f t="shared" si="30"/>
        <v>0</v>
      </c>
      <c r="Z123" s="13">
        <f t="shared" si="31"/>
        <v>0</v>
      </c>
      <c r="AA123" s="13">
        <f t="shared" si="32"/>
        <v>0</v>
      </c>
      <c r="AB123" s="13">
        <f t="shared" si="33"/>
        <v>0</v>
      </c>
      <c r="AC123" s="13">
        <f t="shared" si="34"/>
        <v>0</v>
      </c>
      <c r="AD123" s="13">
        <f t="shared" si="35"/>
        <v>0</v>
      </c>
      <c r="AE123" s="13">
        <f t="shared" si="36"/>
        <v>0</v>
      </c>
      <c r="AF123" s="13">
        <f t="shared" si="37"/>
        <v>0</v>
      </c>
      <c r="AG123" s="13">
        <f t="shared" si="38"/>
        <v>0</v>
      </c>
      <c r="AH123" s="13" t="e">
        <f t="shared" si="13"/>
        <v>#DIV/0!</v>
      </c>
      <c r="AI123" s="13" t="e">
        <f t="shared" si="14"/>
        <v>#DIV/0!</v>
      </c>
      <c r="AJ123" s="13" t="e">
        <f t="shared" si="15"/>
        <v>#DIV/0!</v>
      </c>
      <c r="AK123" s="13" t="e">
        <f t="shared" si="16"/>
        <v>#DIV/0!</v>
      </c>
      <c r="AL123" s="13" t="e">
        <f t="shared" si="17"/>
        <v>#DIV/0!</v>
      </c>
      <c r="AM123" s="13" t="e">
        <f t="shared" si="18"/>
        <v>#DIV/0!</v>
      </c>
      <c r="AN123" s="13" t="e">
        <f t="shared" si="19"/>
        <v>#DIV/0!</v>
      </c>
      <c r="AO123" s="2" t="e">
        <f t="shared" si="39"/>
        <v>#DIV/0!</v>
      </c>
      <c r="AP123" s="2" t="e">
        <f t="shared" si="40"/>
        <v>#DIV/0!</v>
      </c>
      <c r="AQ123" s="2" t="e">
        <f t="shared" si="41"/>
        <v>#DIV/0!</v>
      </c>
      <c r="AR123" s="2" t="e">
        <f t="shared" si="42"/>
        <v>#DIV/0!</v>
      </c>
      <c r="AS123" s="2" t="e">
        <f t="shared" si="43"/>
        <v>#DIV/0!</v>
      </c>
    </row>
    <row r="124" spans="1:45" ht="20.100000000000001" hidden="1" customHeight="1">
      <c r="A124" s="12">
        <v>0</v>
      </c>
      <c r="B124" s="13">
        <f>'INTERNAL TEST-1  '!B124</f>
        <v>0</v>
      </c>
      <c r="C124" s="64">
        <f>'INTERNAL TEST-1  '!C124</f>
        <v>0</v>
      </c>
      <c r="D124" s="12"/>
      <c r="E124" s="12"/>
      <c r="F124" s="12"/>
      <c r="G124" s="12"/>
      <c r="H124" s="12"/>
      <c r="I124" s="12"/>
      <c r="J124" s="12"/>
      <c r="K124" s="12"/>
      <c r="L124" s="12"/>
      <c r="M124" s="12"/>
      <c r="N124" s="12"/>
      <c r="O124" s="57"/>
      <c r="P124" s="57"/>
      <c r="Q124" s="12"/>
      <c r="R124" s="12"/>
      <c r="S124" s="12"/>
      <c r="T124" s="12"/>
      <c r="U124" s="13">
        <f t="shared" si="26"/>
        <v>0</v>
      </c>
      <c r="V124" s="13">
        <f t="shared" si="27"/>
        <v>0</v>
      </c>
      <c r="W124" s="13">
        <f t="shared" si="28"/>
        <v>0</v>
      </c>
      <c r="X124" s="13">
        <f t="shared" si="29"/>
        <v>0</v>
      </c>
      <c r="Y124" s="13">
        <f t="shared" si="30"/>
        <v>0</v>
      </c>
      <c r="Z124" s="13">
        <f t="shared" si="31"/>
        <v>0</v>
      </c>
      <c r="AA124" s="13">
        <f t="shared" si="32"/>
        <v>0</v>
      </c>
      <c r="AB124" s="13">
        <f t="shared" si="33"/>
        <v>0</v>
      </c>
      <c r="AC124" s="13">
        <f t="shared" si="34"/>
        <v>0</v>
      </c>
      <c r="AD124" s="13">
        <f t="shared" si="35"/>
        <v>0</v>
      </c>
      <c r="AE124" s="13">
        <f t="shared" si="36"/>
        <v>0</v>
      </c>
      <c r="AF124" s="13">
        <f t="shared" si="37"/>
        <v>0</v>
      </c>
      <c r="AG124" s="13">
        <f t="shared" si="38"/>
        <v>0</v>
      </c>
      <c r="AH124" s="13" t="e">
        <f t="shared" si="13"/>
        <v>#DIV/0!</v>
      </c>
      <c r="AI124" s="13" t="e">
        <f t="shared" si="14"/>
        <v>#DIV/0!</v>
      </c>
      <c r="AJ124" s="13" t="e">
        <f t="shared" si="15"/>
        <v>#DIV/0!</v>
      </c>
      <c r="AK124" s="13" t="e">
        <f t="shared" si="16"/>
        <v>#DIV/0!</v>
      </c>
      <c r="AL124" s="13" t="e">
        <f t="shared" si="17"/>
        <v>#DIV/0!</v>
      </c>
      <c r="AM124" s="13" t="e">
        <f t="shared" si="18"/>
        <v>#DIV/0!</v>
      </c>
      <c r="AN124" s="13" t="e">
        <f t="shared" si="19"/>
        <v>#DIV/0!</v>
      </c>
      <c r="AO124" s="2" t="e">
        <f t="shared" si="39"/>
        <v>#DIV/0!</v>
      </c>
      <c r="AP124" s="2" t="e">
        <f t="shared" si="40"/>
        <v>#DIV/0!</v>
      </c>
      <c r="AQ124" s="2" t="e">
        <f t="shared" si="41"/>
        <v>#DIV/0!</v>
      </c>
      <c r="AR124" s="2" t="e">
        <f t="shared" si="42"/>
        <v>#DIV/0!</v>
      </c>
      <c r="AS124" s="2" t="e">
        <f t="shared" si="43"/>
        <v>#DIV/0!</v>
      </c>
    </row>
    <row r="125" spans="1:45" ht="19.8" hidden="1" customHeight="1">
      <c r="A125" s="12">
        <v>0</v>
      </c>
      <c r="B125" s="13">
        <f>'INTERNAL TEST-1  '!B125</f>
        <v>0</v>
      </c>
      <c r="C125" s="64">
        <f>'INTERNAL TEST-1  '!C125</f>
        <v>0</v>
      </c>
      <c r="D125" s="12"/>
      <c r="E125" s="12"/>
      <c r="F125" s="12"/>
      <c r="G125" s="12"/>
      <c r="H125" s="12"/>
      <c r="I125" s="12"/>
      <c r="J125" s="12"/>
      <c r="K125" s="12"/>
      <c r="L125" s="12"/>
      <c r="M125" s="12"/>
      <c r="N125" s="12"/>
      <c r="O125" s="57"/>
      <c r="P125" s="57"/>
      <c r="Q125" s="12"/>
      <c r="R125" s="12"/>
      <c r="S125" s="12"/>
      <c r="T125" s="12"/>
      <c r="U125" s="13">
        <f t="shared" si="26"/>
        <v>0</v>
      </c>
      <c r="V125" s="13">
        <f t="shared" si="27"/>
        <v>0</v>
      </c>
      <c r="W125" s="13">
        <f t="shared" si="28"/>
        <v>0</v>
      </c>
      <c r="X125" s="13">
        <f t="shared" si="29"/>
        <v>0</v>
      </c>
      <c r="Y125" s="13">
        <f t="shared" si="30"/>
        <v>0</v>
      </c>
      <c r="Z125" s="13">
        <f t="shared" si="31"/>
        <v>0</v>
      </c>
      <c r="AA125" s="13">
        <f t="shared" si="32"/>
        <v>0</v>
      </c>
      <c r="AB125" s="13">
        <f t="shared" si="33"/>
        <v>0</v>
      </c>
      <c r="AC125" s="13">
        <f t="shared" si="34"/>
        <v>0</v>
      </c>
      <c r="AD125" s="13">
        <f t="shared" si="35"/>
        <v>0</v>
      </c>
      <c r="AE125" s="13">
        <f t="shared" si="36"/>
        <v>0</v>
      </c>
      <c r="AF125" s="13">
        <f t="shared" si="37"/>
        <v>0</v>
      </c>
      <c r="AG125" s="13">
        <f t="shared" si="38"/>
        <v>0</v>
      </c>
      <c r="AH125" s="13" t="e">
        <f t="shared" si="13"/>
        <v>#DIV/0!</v>
      </c>
      <c r="AI125" s="13" t="e">
        <f t="shared" si="14"/>
        <v>#DIV/0!</v>
      </c>
      <c r="AJ125" s="13" t="e">
        <f t="shared" si="15"/>
        <v>#DIV/0!</v>
      </c>
      <c r="AK125" s="13" t="e">
        <f t="shared" si="16"/>
        <v>#DIV/0!</v>
      </c>
      <c r="AL125" s="13" t="e">
        <f t="shared" si="17"/>
        <v>#DIV/0!</v>
      </c>
      <c r="AM125" s="13" t="e">
        <f t="shared" si="18"/>
        <v>#DIV/0!</v>
      </c>
      <c r="AN125" s="13" t="e">
        <f t="shared" si="19"/>
        <v>#DIV/0!</v>
      </c>
      <c r="AO125" s="2" t="e">
        <f t="shared" si="39"/>
        <v>#DIV/0!</v>
      </c>
      <c r="AP125" s="2" t="e">
        <f t="shared" si="40"/>
        <v>#DIV/0!</v>
      </c>
      <c r="AQ125" s="2" t="e">
        <f t="shared" si="41"/>
        <v>#DIV/0!</v>
      </c>
      <c r="AR125" s="2" t="e">
        <f t="shared" si="42"/>
        <v>#DIV/0!</v>
      </c>
      <c r="AS125" s="2" t="e">
        <f t="shared" si="43"/>
        <v>#DIV/0!</v>
      </c>
    </row>
    <row r="126" spans="1:45" ht="19.2" hidden="1" customHeight="1">
      <c r="A126" s="12">
        <v>0</v>
      </c>
      <c r="B126" s="13">
        <f>'INTERNAL TEST-1  '!B126</f>
        <v>0</v>
      </c>
      <c r="C126" s="64">
        <f>'INTERNAL TEST-1  '!C126</f>
        <v>0</v>
      </c>
      <c r="D126" s="12"/>
      <c r="E126" s="12"/>
      <c r="F126" s="12"/>
      <c r="G126" s="12"/>
      <c r="H126" s="12"/>
      <c r="I126" s="12"/>
      <c r="J126" s="12"/>
      <c r="K126" s="12"/>
      <c r="L126" s="12"/>
      <c r="M126" s="12"/>
      <c r="N126" s="12"/>
      <c r="O126" s="57"/>
      <c r="P126" s="57"/>
      <c r="Q126" s="12"/>
      <c r="R126" s="12"/>
      <c r="S126" s="12"/>
      <c r="T126" s="12"/>
      <c r="U126" s="13">
        <f t="shared" si="26"/>
        <v>0</v>
      </c>
      <c r="V126" s="13">
        <f t="shared" si="27"/>
        <v>0</v>
      </c>
      <c r="W126" s="13">
        <f t="shared" si="28"/>
        <v>0</v>
      </c>
      <c r="X126" s="13">
        <f t="shared" si="29"/>
        <v>0</v>
      </c>
      <c r="Y126" s="13">
        <f t="shared" si="30"/>
        <v>0</v>
      </c>
      <c r="Z126" s="13">
        <f t="shared" si="31"/>
        <v>0</v>
      </c>
      <c r="AA126" s="13">
        <f t="shared" si="32"/>
        <v>0</v>
      </c>
      <c r="AB126" s="13">
        <f t="shared" si="33"/>
        <v>0</v>
      </c>
      <c r="AC126" s="13">
        <f t="shared" si="34"/>
        <v>0</v>
      </c>
      <c r="AD126" s="13">
        <f t="shared" si="35"/>
        <v>0</v>
      </c>
      <c r="AE126" s="13">
        <f t="shared" si="36"/>
        <v>0</v>
      </c>
      <c r="AF126" s="13">
        <f t="shared" si="37"/>
        <v>0</v>
      </c>
      <c r="AG126" s="13">
        <f t="shared" si="38"/>
        <v>0</v>
      </c>
      <c r="AH126" s="13" t="e">
        <f t="shared" si="13"/>
        <v>#DIV/0!</v>
      </c>
      <c r="AI126" s="13" t="e">
        <f t="shared" si="14"/>
        <v>#DIV/0!</v>
      </c>
      <c r="AJ126" s="13" t="e">
        <f t="shared" si="15"/>
        <v>#DIV/0!</v>
      </c>
      <c r="AK126" s="13" t="e">
        <f t="shared" si="16"/>
        <v>#DIV/0!</v>
      </c>
      <c r="AL126" s="13" t="e">
        <f t="shared" si="17"/>
        <v>#DIV/0!</v>
      </c>
      <c r="AM126" s="13" t="e">
        <f t="shared" si="18"/>
        <v>#DIV/0!</v>
      </c>
      <c r="AN126" s="13" t="e">
        <f t="shared" si="19"/>
        <v>#DIV/0!</v>
      </c>
      <c r="AO126" s="2" t="e">
        <f t="shared" si="39"/>
        <v>#DIV/0!</v>
      </c>
      <c r="AP126" s="2" t="e">
        <f t="shared" si="40"/>
        <v>#DIV/0!</v>
      </c>
      <c r="AQ126" s="2" t="e">
        <f t="shared" si="41"/>
        <v>#DIV/0!</v>
      </c>
      <c r="AR126" s="2" t="e">
        <f t="shared" si="42"/>
        <v>#DIV/0!</v>
      </c>
      <c r="AS126" s="2" t="e">
        <f t="shared" si="43"/>
        <v>#DIV/0!</v>
      </c>
    </row>
    <row r="127" spans="1:45" ht="19.2" hidden="1" customHeight="1">
      <c r="A127" s="12">
        <v>0</v>
      </c>
      <c r="B127" s="13">
        <f>'INTERNAL TEST-1  '!B127</f>
        <v>0</v>
      </c>
      <c r="C127" s="64">
        <f>'INTERNAL TEST-1  '!C127</f>
        <v>0</v>
      </c>
      <c r="D127" s="12"/>
      <c r="E127" s="12"/>
      <c r="F127" s="12"/>
      <c r="G127" s="12"/>
      <c r="H127" s="12"/>
      <c r="I127" s="12"/>
      <c r="J127" s="12"/>
      <c r="K127" s="12"/>
      <c r="L127" s="12"/>
      <c r="M127" s="12"/>
      <c r="N127" s="12"/>
      <c r="O127" s="12"/>
      <c r="P127" s="12"/>
      <c r="Q127" s="12"/>
      <c r="R127" s="12"/>
      <c r="S127" s="12"/>
      <c r="T127" s="12"/>
      <c r="U127" s="13">
        <f t="shared" si="26"/>
        <v>0</v>
      </c>
      <c r="V127" s="13">
        <f t="shared" si="27"/>
        <v>0</v>
      </c>
      <c r="W127" s="13">
        <f t="shared" si="28"/>
        <v>0</v>
      </c>
      <c r="X127" s="13">
        <f t="shared" si="29"/>
        <v>0</v>
      </c>
      <c r="Y127" s="13">
        <f t="shared" si="30"/>
        <v>0</v>
      </c>
      <c r="Z127" s="13">
        <f t="shared" si="31"/>
        <v>0</v>
      </c>
      <c r="AA127" s="13">
        <f t="shared" si="32"/>
        <v>0</v>
      </c>
      <c r="AB127" s="13">
        <f t="shared" si="33"/>
        <v>0</v>
      </c>
      <c r="AC127" s="13">
        <f t="shared" si="34"/>
        <v>0</v>
      </c>
      <c r="AD127" s="13">
        <f t="shared" si="35"/>
        <v>0</v>
      </c>
      <c r="AE127" s="13">
        <f t="shared" si="36"/>
        <v>0</v>
      </c>
      <c r="AF127" s="13">
        <f t="shared" si="37"/>
        <v>0</v>
      </c>
      <c r="AG127" s="13">
        <f t="shared" si="38"/>
        <v>0</v>
      </c>
      <c r="AH127" s="13" t="e">
        <f t="shared" si="13"/>
        <v>#DIV/0!</v>
      </c>
      <c r="AI127" s="13" t="e">
        <f t="shared" si="14"/>
        <v>#DIV/0!</v>
      </c>
      <c r="AJ127" s="13" t="e">
        <f t="shared" si="15"/>
        <v>#DIV/0!</v>
      </c>
      <c r="AK127" s="13" t="e">
        <f t="shared" si="16"/>
        <v>#DIV/0!</v>
      </c>
      <c r="AL127" s="13" t="e">
        <f t="shared" si="17"/>
        <v>#DIV/0!</v>
      </c>
      <c r="AM127" s="13" t="e">
        <f t="shared" si="18"/>
        <v>#DIV/0!</v>
      </c>
      <c r="AN127" s="13" t="e">
        <f t="shared" si="19"/>
        <v>#DIV/0!</v>
      </c>
      <c r="AO127" s="2" t="e">
        <f t="shared" si="39"/>
        <v>#DIV/0!</v>
      </c>
      <c r="AP127" s="2" t="e">
        <f t="shared" si="40"/>
        <v>#DIV/0!</v>
      </c>
      <c r="AQ127" s="2" t="e">
        <f t="shared" si="41"/>
        <v>#DIV/0!</v>
      </c>
      <c r="AR127" s="2" t="e">
        <f t="shared" si="42"/>
        <v>#DIV/0!</v>
      </c>
      <c r="AS127" s="2" t="e">
        <f t="shared" si="43"/>
        <v>#DIV/0!</v>
      </c>
    </row>
    <row r="128" spans="1:45" ht="19.2" hidden="1" customHeight="1">
      <c r="A128" s="12">
        <v>0</v>
      </c>
      <c r="B128" s="13">
        <f>'INTERNAL TEST-1  '!B128</f>
        <v>0</v>
      </c>
      <c r="C128" s="64">
        <f>'INTERNAL TEST-1  '!C128</f>
        <v>0</v>
      </c>
      <c r="D128" s="12"/>
      <c r="E128" s="12"/>
      <c r="F128" s="12"/>
      <c r="G128" s="12"/>
      <c r="H128" s="12"/>
      <c r="I128" s="12"/>
      <c r="J128" s="12"/>
      <c r="K128" s="12"/>
      <c r="L128" s="12"/>
      <c r="M128" s="12"/>
      <c r="N128" s="12"/>
      <c r="O128" s="12"/>
      <c r="P128" s="12"/>
      <c r="Q128" s="12"/>
      <c r="R128" s="12"/>
      <c r="S128" s="12"/>
      <c r="T128" s="12"/>
      <c r="U128" s="13">
        <f t="shared" si="26"/>
        <v>0</v>
      </c>
      <c r="V128" s="13">
        <f t="shared" si="27"/>
        <v>0</v>
      </c>
      <c r="W128" s="13">
        <f t="shared" si="28"/>
        <v>0</v>
      </c>
      <c r="X128" s="13">
        <f t="shared" si="29"/>
        <v>0</v>
      </c>
      <c r="Y128" s="13">
        <f t="shared" si="30"/>
        <v>0</v>
      </c>
      <c r="Z128" s="13">
        <f t="shared" si="31"/>
        <v>0</v>
      </c>
      <c r="AA128" s="13">
        <f t="shared" si="32"/>
        <v>0</v>
      </c>
      <c r="AB128" s="13">
        <f t="shared" si="33"/>
        <v>0</v>
      </c>
      <c r="AC128" s="13">
        <f t="shared" si="34"/>
        <v>0</v>
      </c>
      <c r="AD128" s="13">
        <f t="shared" si="35"/>
        <v>0</v>
      </c>
      <c r="AE128" s="13">
        <f t="shared" si="36"/>
        <v>0</v>
      </c>
      <c r="AF128" s="13">
        <f t="shared" si="37"/>
        <v>0</v>
      </c>
      <c r="AG128" s="13">
        <f t="shared" si="38"/>
        <v>0</v>
      </c>
      <c r="AH128" s="13" t="e">
        <f t="shared" si="13"/>
        <v>#DIV/0!</v>
      </c>
      <c r="AI128" s="13" t="e">
        <f t="shared" si="14"/>
        <v>#DIV/0!</v>
      </c>
      <c r="AJ128" s="13" t="e">
        <f t="shared" si="15"/>
        <v>#DIV/0!</v>
      </c>
      <c r="AK128" s="13" t="e">
        <f t="shared" si="16"/>
        <v>#DIV/0!</v>
      </c>
      <c r="AL128" s="13" t="e">
        <f t="shared" si="17"/>
        <v>#DIV/0!</v>
      </c>
      <c r="AM128" s="13" t="e">
        <f t="shared" si="18"/>
        <v>#DIV/0!</v>
      </c>
      <c r="AN128" s="13" t="e">
        <f t="shared" si="19"/>
        <v>#DIV/0!</v>
      </c>
      <c r="AO128" s="2" t="e">
        <f t="shared" si="39"/>
        <v>#DIV/0!</v>
      </c>
      <c r="AP128" s="2" t="e">
        <f t="shared" si="40"/>
        <v>#DIV/0!</v>
      </c>
      <c r="AQ128" s="2" t="e">
        <f t="shared" si="41"/>
        <v>#DIV/0!</v>
      </c>
      <c r="AR128" s="2" t="e">
        <f t="shared" si="42"/>
        <v>#DIV/0!</v>
      </c>
      <c r="AS128" s="2" t="e">
        <f t="shared" si="43"/>
        <v>#DIV/0!</v>
      </c>
    </row>
    <row r="129" spans="1:45" ht="19.2" hidden="1" customHeight="1">
      <c r="A129" s="12">
        <v>0</v>
      </c>
      <c r="B129" s="13">
        <f>'INTERNAL TEST-1  '!B129</f>
        <v>0</v>
      </c>
      <c r="C129" s="64">
        <f>'INTERNAL TEST-1  '!C129</f>
        <v>0</v>
      </c>
      <c r="D129" s="12"/>
      <c r="E129" s="12"/>
      <c r="F129" s="12"/>
      <c r="G129" s="12"/>
      <c r="H129" s="12"/>
      <c r="I129" s="12"/>
      <c r="J129" s="12"/>
      <c r="K129" s="12"/>
      <c r="L129" s="12"/>
      <c r="M129" s="12"/>
      <c r="N129" s="12"/>
      <c r="O129" s="12"/>
      <c r="P129" s="12"/>
      <c r="Q129" s="12"/>
      <c r="R129" s="12"/>
      <c r="S129" s="12"/>
      <c r="T129" s="12"/>
      <c r="U129" s="13">
        <f t="shared" si="26"/>
        <v>0</v>
      </c>
      <c r="V129" s="13">
        <f t="shared" si="27"/>
        <v>0</v>
      </c>
      <c r="W129" s="13">
        <f t="shared" si="28"/>
        <v>0</v>
      </c>
      <c r="X129" s="13">
        <f t="shared" si="29"/>
        <v>0</v>
      </c>
      <c r="Y129" s="13">
        <f t="shared" si="30"/>
        <v>0</v>
      </c>
      <c r="Z129" s="13">
        <f t="shared" si="31"/>
        <v>0</v>
      </c>
      <c r="AA129" s="13">
        <f t="shared" si="32"/>
        <v>0</v>
      </c>
      <c r="AB129" s="13">
        <f t="shared" si="33"/>
        <v>0</v>
      </c>
      <c r="AC129" s="13">
        <f t="shared" si="34"/>
        <v>0</v>
      </c>
      <c r="AD129" s="13">
        <f t="shared" si="35"/>
        <v>0</v>
      </c>
      <c r="AE129" s="13">
        <f t="shared" si="36"/>
        <v>0</v>
      </c>
      <c r="AF129" s="13">
        <f t="shared" si="37"/>
        <v>0</v>
      </c>
      <c r="AG129" s="13">
        <f t="shared" si="38"/>
        <v>0</v>
      </c>
      <c r="AH129" s="13" t="e">
        <f t="shared" si="13"/>
        <v>#DIV/0!</v>
      </c>
      <c r="AI129" s="13" t="e">
        <f t="shared" si="14"/>
        <v>#DIV/0!</v>
      </c>
      <c r="AJ129" s="13" t="e">
        <f t="shared" si="15"/>
        <v>#DIV/0!</v>
      </c>
      <c r="AK129" s="13" t="e">
        <f t="shared" si="16"/>
        <v>#DIV/0!</v>
      </c>
      <c r="AL129" s="13" t="e">
        <f t="shared" si="17"/>
        <v>#DIV/0!</v>
      </c>
      <c r="AM129" s="13" t="e">
        <f t="shared" si="18"/>
        <v>#DIV/0!</v>
      </c>
      <c r="AN129" s="13" t="e">
        <f t="shared" si="19"/>
        <v>#DIV/0!</v>
      </c>
      <c r="AO129" s="2" t="e">
        <f t="shared" si="39"/>
        <v>#DIV/0!</v>
      </c>
      <c r="AP129" s="2" t="e">
        <f t="shared" si="40"/>
        <v>#DIV/0!</v>
      </c>
      <c r="AQ129" s="2" t="e">
        <f t="shared" si="41"/>
        <v>#DIV/0!</v>
      </c>
      <c r="AR129" s="2" t="e">
        <f t="shared" si="42"/>
        <v>#DIV/0!</v>
      </c>
      <c r="AS129" s="2" t="e">
        <f t="shared" si="43"/>
        <v>#DIV/0!</v>
      </c>
    </row>
    <row r="130" spans="1:45" ht="19.2" hidden="1" customHeight="1">
      <c r="A130" s="12">
        <v>0</v>
      </c>
      <c r="B130" s="13">
        <f>'INTERNAL TEST-1  '!B130</f>
        <v>0</v>
      </c>
      <c r="C130" s="64">
        <f>'INTERNAL TEST-1  '!C130</f>
        <v>0</v>
      </c>
      <c r="D130" s="12"/>
      <c r="E130" s="12"/>
      <c r="F130" s="12"/>
      <c r="G130" s="12"/>
      <c r="H130" s="12"/>
      <c r="I130" s="12"/>
      <c r="J130" s="12"/>
      <c r="K130" s="12"/>
      <c r="L130" s="12"/>
      <c r="M130" s="12"/>
      <c r="N130" s="12"/>
      <c r="O130" s="12"/>
      <c r="P130" s="12"/>
      <c r="Q130" s="12"/>
      <c r="R130" s="12"/>
      <c r="S130" s="12"/>
      <c r="T130" s="12"/>
      <c r="U130" s="13">
        <f t="shared" si="26"/>
        <v>0</v>
      </c>
      <c r="V130" s="13">
        <f t="shared" si="27"/>
        <v>0</v>
      </c>
      <c r="W130" s="13">
        <f t="shared" si="28"/>
        <v>0</v>
      </c>
      <c r="X130" s="13">
        <f t="shared" si="29"/>
        <v>0</v>
      </c>
      <c r="Y130" s="13">
        <f t="shared" si="30"/>
        <v>0</v>
      </c>
      <c r="Z130" s="13">
        <f t="shared" si="31"/>
        <v>0</v>
      </c>
      <c r="AA130" s="13">
        <f t="shared" si="32"/>
        <v>0</v>
      </c>
      <c r="AB130" s="13">
        <f t="shared" si="33"/>
        <v>0</v>
      </c>
      <c r="AC130" s="13">
        <f t="shared" si="34"/>
        <v>0</v>
      </c>
      <c r="AD130" s="13">
        <f t="shared" si="35"/>
        <v>0</v>
      </c>
      <c r="AE130" s="13">
        <f t="shared" si="36"/>
        <v>0</v>
      </c>
      <c r="AF130" s="13">
        <f t="shared" si="37"/>
        <v>0</v>
      </c>
      <c r="AG130" s="13">
        <f t="shared" si="38"/>
        <v>0</v>
      </c>
      <c r="AH130" s="13" t="e">
        <f t="shared" si="13"/>
        <v>#DIV/0!</v>
      </c>
      <c r="AI130" s="13" t="e">
        <f t="shared" si="14"/>
        <v>#DIV/0!</v>
      </c>
      <c r="AJ130" s="13" t="e">
        <f t="shared" si="15"/>
        <v>#DIV/0!</v>
      </c>
      <c r="AK130" s="13" t="e">
        <f t="shared" si="16"/>
        <v>#DIV/0!</v>
      </c>
      <c r="AL130" s="13" t="e">
        <f t="shared" si="17"/>
        <v>#DIV/0!</v>
      </c>
      <c r="AM130" s="13" t="e">
        <f t="shared" si="18"/>
        <v>#DIV/0!</v>
      </c>
      <c r="AN130" s="13" t="e">
        <f t="shared" si="19"/>
        <v>#DIV/0!</v>
      </c>
      <c r="AO130" s="2" t="e">
        <f t="shared" si="39"/>
        <v>#DIV/0!</v>
      </c>
      <c r="AP130" s="2" t="e">
        <f t="shared" si="40"/>
        <v>#DIV/0!</v>
      </c>
      <c r="AQ130" s="2" t="e">
        <f t="shared" si="41"/>
        <v>#DIV/0!</v>
      </c>
      <c r="AR130" s="2" t="e">
        <f t="shared" si="42"/>
        <v>#DIV/0!</v>
      </c>
      <c r="AS130" s="2" t="e">
        <f t="shared" si="43"/>
        <v>#DIV/0!</v>
      </c>
    </row>
    <row r="131" spans="1:45" ht="19.2" hidden="1" customHeight="1">
      <c r="A131" s="12">
        <v>0</v>
      </c>
      <c r="B131" s="13">
        <f>'INTERNAL TEST-1  '!B131</f>
        <v>0</v>
      </c>
      <c r="C131" s="64">
        <f>'INTERNAL TEST-1  '!C131</f>
        <v>0</v>
      </c>
      <c r="D131" s="12"/>
      <c r="E131" s="12"/>
      <c r="F131" s="12"/>
      <c r="G131" s="12"/>
      <c r="H131" s="12"/>
      <c r="I131" s="12"/>
      <c r="J131" s="12"/>
      <c r="K131" s="12"/>
      <c r="L131" s="12"/>
      <c r="M131" s="12"/>
      <c r="N131" s="12"/>
      <c r="O131" s="12"/>
      <c r="P131" s="12"/>
      <c r="Q131" s="12"/>
      <c r="R131" s="12"/>
      <c r="S131" s="12"/>
      <c r="T131" s="12"/>
      <c r="U131" s="13">
        <f t="shared" si="26"/>
        <v>0</v>
      </c>
      <c r="V131" s="13">
        <f t="shared" si="27"/>
        <v>0</v>
      </c>
      <c r="W131" s="13">
        <f t="shared" si="28"/>
        <v>0</v>
      </c>
      <c r="X131" s="13">
        <f t="shared" si="29"/>
        <v>0</v>
      </c>
      <c r="Y131" s="13">
        <f t="shared" si="30"/>
        <v>0</v>
      </c>
      <c r="Z131" s="13">
        <f t="shared" si="31"/>
        <v>0</v>
      </c>
      <c r="AA131" s="13">
        <f t="shared" si="32"/>
        <v>0</v>
      </c>
      <c r="AB131" s="13">
        <f t="shared" si="33"/>
        <v>0</v>
      </c>
      <c r="AC131" s="13">
        <f t="shared" si="34"/>
        <v>0</v>
      </c>
      <c r="AD131" s="13">
        <f t="shared" si="35"/>
        <v>0</v>
      </c>
      <c r="AE131" s="13">
        <f t="shared" si="36"/>
        <v>0</v>
      </c>
      <c r="AF131" s="13">
        <f t="shared" si="37"/>
        <v>0</v>
      </c>
      <c r="AG131" s="13">
        <f t="shared" si="38"/>
        <v>0</v>
      </c>
      <c r="AH131" s="13" t="e">
        <f t="shared" si="13"/>
        <v>#DIV/0!</v>
      </c>
      <c r="AI131" s="13" t="e">
        <f t="shared" si="14"/>
        <v>#DIV/0!</v>
      </c>
      <c r="AJ131" s="13" t="e">
        <f t="shared" si="15"/>
        <v>#DIV/0!</v>
      </c>
      <c r="AK131" s="13" t="e">
        <f t="shared" si="16"/>
        <v>#DIV/0!</v>
      </c>
      <c r="AL131" s="13" t="e">
        <f t="shared" si="17"/>
        <v>#DIV/0!</v>
      </c>
      <c r="AM131" s="13" t="e">
        <f t="shared" si="18"/>
        <v>#DIV/0!</v>
      </c>
      <c r="AN131" s="13" t="e">
        <f t="shared" si="19"/>
        <v>#DIV/0!</v>
      </c>
      <c r="AO131" s="2" t="e">
        <f t="shared" si="39"/>
        <v>#DIV/0!</v>
      </c>
      <c r="AP131" s="2" t="e">
        <f t="shared" si="40"/>
        <v>#DIV/0!</v>
      </c>
      <c r="AQ131" s="2" t="e">
        <f t="shared" si="41"/>
        <v>#DIV/0!</v>
      </c>
      <c r="AR131" s="2" t="e">
        <f t="shared" si="42"/>
        <v>#DIV/0!</v>
      </c>
      <c r="AS131" s="2" t="e">
        <f t="shared" si="43"/>
        <v>#DIV/0!</v>
      </c>
    </row>
    <row r="132" spans="1:45" ht="19.2" hidden="1" customHeight="1">
      <c r="A132" s="12">
        <v>0</v>
      </c>
      <c r="B132" s="13">
        <f>'INTERNAL TEST-1  '!B132</f>
        <v>0</v>
      </c>
      <c r="C132" s="64">
        <f>'INTERNAL TEST-1  '!C132</f>
        <v>0</v>
      </c>
      <c r="D132" s="12"/>
      <c r="E132" s="12"/>
      <c r="F132" s="12"/>
      <c r="G132" s="12"/>
      <c r="H132" s="12"/>
      <c r="I132" s="12"/>
      <c r="J132" s="12"/>
      <c r="K132" s="12"/>
      <c r="L132" s="12"/>
      <c r="M132" s="12"/>
      <c r="N132" s="12"/>
      <c r="O132" s="12"/>
      <c r="P132" s="12"/>
      <c r="Q132" s="12"/>
      <c r="R132" s="12"/>
      <c r="S132" s="12"/>
      <c r="T132" s="12"/>
      <c r="U132" s="13">
        <f t="shared" si="26"/>
        <v>0</v>
      </c>
      <c r="V132" s="13">
        <f t="shared" si="27"/>
        <v>0</v>
      </c>
      <c r="W132" s="13">
        <f t="shared" si="28"/>
        <v>0</v>
      </c>
      <c r="X132" s="13">
        <f t="shared" si="29"/>
        <v>0</v>
      </c>
      <c r="Y132" s="13">
        <f t="shared" si="30"/>
        <v>0</v>
      </c>
      <c r="Z132" s="13">
        <f t="shared" si="31"/>
        <v>0</v>
      </c>
      <c r="AA132" s="13">
        <f t="shared" si="32"/>
        <v>0</v>
      </c>
      <c r="AB132" s="13">
        <f t="shared" si="33"/>
        <v>0</v>
      </c>
      <c r="AC132" s="13">
        <f t="shared" si="34"/>
        <v>0</v>
      </c>
      <c r="AD132" s="13">
        <f t="shared" si="35"/>
        <v>0</v>
      </c>
      <c r="AE132" s="13">
        <f t="shared" si="36"/>
        <v>0</v>
      </c>
      <c r="AF132" s="13">
        <f t="shared" si="37"/>
        <v>0</v>
      </c>
      <c r="AG132" s="13">
        <f t="shared" si="38"/>
        <v>0</v>
      </c>
      <c r="AH132" s="13" t="e">
        <f t="shared" si="13"/>
        <v>#DIV/0!</v>
      </c>
      <c r="AI132" s="13" t="e">
        <f t="shared" si="14"/>
        <v>#DIV/0!</v>
      </c>
      <c r="AJ132" s="13" t="e">
        <f t="shared" si="15"/>
        <v>#DIV/0!</v>
      </c>
      <c r="AK132" s="13" t="e">
        <f t="shared" si="16"/>
        <v>#DIV/0!</v>
      </c>
      <c r="AL132" s="13" t="e">
        <f t="shared" si="17"/>
        <v>#DIV/0!</v>
      </c>
      <c r="AM132" s="13" t="e">
        <f t="shared" si="18"/>
        <v>#DIV/0!</v>
      </c>
      <c r="AN132" s="13" t="e">
        <f t="shared" si="19"/>
        <v>#DIV/0!</v>
      </c>
      <c r="AO132" s="2" t="e">
        <f t="shared" si="39"/>
        <v>#DIV/0!</v>
      </c>
      <c r="AP132" s="2" t="e">
        <f t="shared" si="40"/>
        <v>#DIV/0!</v>
      </c>
      <c r="AQ132" s="2" t="e">
        <f t="shared" si="41"/>
        <v>#DIV/0!</v>
      </c>
      <c r="AR132" s="2" t="e">
        <f t="shared" si="42"/>
        <v>#DIV/0!</v>
      </c>
      <c r="AS132" s="2" t="e">
        <f t="shared" si="43"/>
        <v>#DIV/0!</v>
      </c>
    </row>
    <row r="133" spans="1:45" ht="19.2" hidden="1" customHeight="1">
      <c r="A133" s="12">
        <v>0</v>
      </c>
      <c r="B133" s="13">
        <f>'INTERNAL TEST-1  '!B133</f>
        <v>0</v>
      </c>
      <c r="C133" s="64">
        <f>'INTERNAL TEST-1  '!C133</f>
        <v>0</v>
      </c>
      <c r="D133" s="12"/>
      <c r="E133" s="12"/>
      <c r="F133" s="12"/>
      <c r="G133" s="12"/>
      <c r="H133" s="12"/>
      <c r="I133" s="12"/>
      <c r="J133" s="12"/>
      <c r="K133" s="12"/>
      <c r="L133" s="12"/>
      <c r="M133" s="12"/>
      <c r="N133" s="12"/>
      <c r="O133" s="12"/>
      <c r="P133" s="12"/>
      <c r="Q133" s="12"/>
      <c r="R133" s="12"/>
      <c r="S133" s="12"/>
      <c r="T133" s="12"/>
      <c r="U133" s="13">
        <f t="shared" si="26"/>
        <v>0</v>
      </c>
      <c r="V133" s="13">
        <f t="shared" si="27"/>
        <v>0</v>
      </c>
      <c r="W133" s="13">
        <f t="shared" si="28"/>
        <v>0</v>
      </c>
      <c r="X133" s="13">
        <f t="shared" si="29"/>
        <v>0</v>
      </c>
      <c r="Y133" s="13">
        <f t="shared" si="30"/>
        <v>0</v>
      </c>
      <c r="Z133" s="13">
        <f t="shared" si="31"/>
        <v>0</v>
      </c>
      <c r="AA133" s="13">
        <f t="shared" si="32"/>
        <v>0</v>
      </c>
      <c r="AB133" s="13">
        <f t="shared" si="33"/>
        <v>0</v>
      </c>
      <c r="AC133" s="13">
        <f t="shared" si="34"/>
        <v>0</v>
      </c>
      <c r="AD133" s="13">
        <f t="shared" si="35"/>
        <v>0</v>
      </c>
      <c r="AE133" s="13">
        <f t="shared" si="36"/>
        <v>0</v>
      </c>
      <c r="AF133" s="13">
        <f t="shared" si="37"/>
        <v>0</v>
      </c>
      <c r="AG133" s="13">
        <f t="shared" si="38"/>
        <v>0</v>
      </c>
      <c r="AH133" s="13" t="e">
        <f t="shared" si="13"/>
        <v>#DIV/0!</v>
      </c>
      <c r="AI133" s="13" t="e">
        <f t="shared" si="14"/>
        <v>#DIV/0!</v>
      </c>
      <c r="AJ133" s="13" t="e">
        <f t="shared" si="15"/>
        <v>#DIV/0!</v>
      </c>
      <c r="AK133" s="13" t="e">
        <f t="shared" si="16"/>
        <v>#DIV/0!</v>
      </c>
      <c r="AL133" s="13" t="e">
        <f t="shared" si="17"/>
        <v>#DIV/0!</v>
      </c>
      <c r="AM133" s="13" t="e">
        <f t="shared" si="18"/>
        <v>#DIV/0!</v>
      </c>
      <c r="AN133" s="13" t="e">
        <f t="shared" si="19"/>
        <v>#DIV/0!</v>
      </c>
      <c r="AO133" s="2" t="e">
        <f t="shared" si="39"/>
        <v>#DIV/0!</v>
      </c>
      <c r="AP133" s="2" t="e">
        <f t="shared" si="40"/>
        <v>#DIV/0!</v>
      </c>
      <c r="AQ133" s="2" t="e">
        <f t="shared" si="41"/>
        <v>#DIV/0!</v>
      </c>
      <c r="AR133" s="2" t="e">
        <f t="shared" si="42"/>
        <v>#DIV/0!</v>
      </c>
      <c r="AS133" s="2" t="e">
        <f t="shared" si="43"/>
        <v>#DIV/0!</v>
      </c>
    </row>
    <row r="134" spans="1:45" ht="19.2" hidden="1" customHeight="1">
      <c r="A134" s="12">
        <v>0</v>
      </c>
      <c r="B134" s="13">
        <f>'INTERNAL TEST-1  '!B134</f>
        <v>0</v>
      </c>
      <c r="C134" s="64">
        <f>'INTERNAL TEST-1  '!C134</f>
        <v>0</v>
      </c>
      <c r="D134" s="12"/>
      <c r="E134" s="12"/>
      <c r="F134" s="12"/>
      <c r="G134" s="12"/>
      <c r="H134" s="12"/>
      <c r="I134" s="12"/>
      <c r="J134" s="12"/>
      <c r="K134" s="12"/>
      <c r="L134" s="12"/>
      <c r="M134" s="12"/>
      <c r="N134" s="12"/>
      <c r="O134" s="12"/>
      <c r="P134" s="12"/>
      <c r="Q134" s="12"/>
      <c r="R134" s="12"/>
      <c r="S134" s="12"/>
      <c r="T134" s="12"/>
      <c r="U134" s="13">
        <f t="shared" si="26"/>
        <v>0</v>
      </c>
      <c r="V134" s="13">
        <f t="shared" si="27"/>
        <v>0</v>
      </c>
      <c r="W134" s="13">
        <f t="shared" si="28"/>
        <v>0</v>
      </c>
      <c r="X134" s="13">
        <f t="shared" si="29"/>
        <v>0</v>
      </c>
      <c r="Y134" s="13">
        <f t="shared" si="30"/>
        <v>0</v>
      </c>
      <c r="Z134" s="13">
        <f t="shared" si="31"/>
        <v>0</v>
      </c>
      <c r="AA134" s="13">
        <f t="shared" si="32"/>
        <v>0</v>
      </c>
      <c r="AB134" s="13">
        <f t="shared" si="33"/>
        <v>0</v>
      </c>
      <c r="AC134" s="13">
        <f t="shared" si="34"/>
        <v>0</v>
      </c>
      <c r="AD134" s="13">
        <f t="shared" si="35"/>
        <v>0</v>
      </c>
      <c r="AE134" s="13">
        <f t="shared" si="36"/>
        <v>0</v>
      </c>
      <c r="AF134" s="13">
        <f t="shared" si="37"/>
        <v>0</v>
      </c>
      <c r="AG134" s="13">
        <f t="shared" si="38"/>
        <v>0</v>
      </c>
      <c r="AH134" s="13" t="e">
        <f t="shared" si="13"/>
        <v>#DIV/0!</v>
      </c>
      <c r="AI134" s="13" t="e">
        <f t="shared" si="14"/>
        <v>#DIV/0!</v>
      </c>
      <c r="AJ134" s="13" t="e">
        <f t="shared" si="15"/>
        <v>#DIV/0!</v>
      </c>
      <c r="AK134" s="13" t="e">
        <f t="shared" si="16"/>
        <v>#DIV/0!</v>
      </c>
      <c r="AL134" s="13" t="e">
        <f t="shared" si="17"/>
        <v>#DIV/0!</v>
      </c>
      <c r="AM134" s="13" t="e">
        <f t="shared" si="18"/>
        <v>#DIV/0!</v>
      </c>
      <c r="AN134" s="13" t="e">
        <f t="shared" si="19"/>
        <v>#DIV/0!</v>
      </c>
      <c r="AO134" s="2" t="e">
        <f t="shared" si="39"/>
        <v>#DIV/0!</v>
      </c>
      <c r="AP134" s="2" t="e">
        <f t="shared" si="40"/>
        <v>#DIV/0!</v>
      </c>
      <c r="AQ134" s="2" t="e">
        <f t="shared" si="41"/>
        <v>#DIV/0!</v>
      </c>
      <c r="AR134" s="2" t="e">
        <f t="shared" si="42"/>
        <v>#DIV/0!</v>
      </c>
      <c r="AS134" s="2" t="e">
        <f t="shared" si="43"/>
        <v>#DIV/0!</v>
      </c>
    </row>
    <row r="135" spans="1:45" ht="19.2" hidden="1" customHeight="1">
      <c r="A135" s="12">
        <v>0</v>
      </c>
      <c r="B135" s="13">
        <f>'INTERNAL TEST-1  '!B135</f>
        <v>0</v>
      </c>
      <c r="C135" s="64">
        <f>'INTERNAL TEST-1  '!C135</f>
        <v>0</v>
      </c>
      <c r="D135" s="12"/>
      <c r="E135" s="12"/>
      <c r="F135" s="12"/>
      <c r="G135" s="12"/>
      <c r="H135" s="12"/>
      <c r="I135" s="12"/>
      <c r="J135" s="12"/>
      <c r="K135" s="12"/>
      <c r="L135" s="12"/>
      <c r="M135" s="12"/>
      <c r="N135" s="12"/>
      <c r="O135" s="12"/>
      <c r="P135" s="12"/>
      <c r="Q135" s="12"/>
      <c r="R135" s="12"/>
      <c r="S135" s="12"/>
      <c r="T135" s="12"/>
      <c r="U135" s="13">
        <f t="shared" si="26"/>
        <v>0</v>
      </c>
      <c r="V135" s="13">
        <f t="shared" si="27"/>
        <v>0</v>
      </c>
      <c r="W135" s="13">
        <f t="shared" si="28"/>
        <v>0</v>
      </c>
      <c r="X135" s="13">
        <f t="shared" si="29"/>
        <v>0</v>
      </c>
      <c r="Y135" s="13">
        <f t="shared" si="30"/>
        <v>0</v>
      </c>
      <c r="Z135" s="13">
        <f t="shared" si="31"/>
        <v>0</v>
      </c>
      <c r="AA135" s="13">
        <f t="shared" si="32"/>
        <v>0</v>
      </c>
      <c r="AB135" s="13">
        <f t="shared" si="33"/>
        <v>0</v>
      </c>
      <c r="AC135" s="13">
        <f t="shared" si="34"/>
        <v>0</v>
      </c>
      <c r="AD135" s="13">
        <f t="shared" si="35"/>
        <v>0</v>
      </c>
      <c r="AE135" s="13">
        <f t="shared" si="36"/>
        <v>0</v>
      </c>
      <c r="AF135" s="13">
        <f t="shared" si="37"/>
        <v>0</v>
      </c>
      <c r="AG135" s="13">
        <f t="shared" si="38"/>
        <v>0</v>
      </c>
      <c r="AH135" s="13" t="e">
        <f t="shared" si="13"/>
        <v>#DIV/0!</v>
      </c>
      <c r="AI135" s="13" t="e">
        <f t="shared" si="14"/>
        <v>#DIV/0!</v>
      </c>
      <c r="AJ135" s="13" t="e">
        <f t="shared" si="15"/>
        <v>#DIV/0!</v>
      </c>
      <c r="AK135" s="13" t="e">
        <f t="shared" si="16"/>
        <v>#DIV/0!</v>
      </c>
      <c r="AL135" s="13" t="e">
        <f t="shared" si="17"/>
        <v>#DIV/0!</v>
      </c>
      <c r="AM135" s="13" t="e">
        <f t="shared" si="18"/>
        <v>#DIV/0!</v>
      </c>
      <c r="AN135" s="13" t="e">
        <f t="shared" si="19"/>
        <v>#DIV/0!</v>
      </c>
      <c r="AO135" s="2" t="e">
        <f t="shared" si="39"/>
        <v>#DIV/0!</v>
      </c>
      <c r="AP135" s="2" t="e">
        <f t="shared" si="40"/>
        <v>#DIV/0!</v>
      </c>
      <c r="AQ135" s="2" t="e">
        <f t="shared" si="41"/>
        <v>#DIV/0!</v>
      </c>
      <c r="AR135" s="2" t="e">
        <f t="shared" si="42"/>
        <v>#DIV/0!</v>
      </c>
      <c r="AS135" s="2" t="e">
        <f t="shared" si="43"/>
        <v>#DIV/0!</v>
      </c>
    </row>
    <row r="136" spans="1:45" ht="19.2" hidden="1" customHeight="1">
      <c r="A136" s="12">
        <v>0</v>
      </c>
      <c r="B136" s="13">
        <f>'INTERNAL TEST-1  '!B136</f>
        <v>0</v>
      </c>
      <c r="C136" s="64">
        <f>'INTERNAL TEST-1  '!C136</f>
        <v>0</v>
      </c>
      <c r="D136" s="12"/>
      <c r="E136" s="12"/>
      <c r="F136" s="12"/>
      <c r="G136" s="12"/>
      <c r="H136" s="12"/>
      <c r="I136" s="12"/>
      <c r="J136" s="12"/>
      <c r="K136" s="12"/>
      <c r="L136" s="12"/>
      <c r="M136" s="12"/>
      <c r="N136" s="12"/>
      <c r="O136" s="12"/>
      <c r="P136" s="12"/>
      <c r="Q136" s="12"/>
      <c r="R136" s="12"/>
      <c r="S136" s="12"/>
      <c r="T136" s="12"/>
      <c r="U136" s="13">
        <f t="shared" si="26"/>
        <v>0</v>
      </c>
      <c r="V136" s="13">
        <f t="shared" si="27"/>
        <v>0</v>
      </c>
      <c r="W136" s="13">
        <f t="shared" si="28"/>
        <v>0</v>
      </c>
      <c r="X136" s="13">
        <f t="shared" si="29"/>
        <v>0</v>
      </c>
      <c r="Y136" s="13">
        <f t="shared" si="30"/>
        <v>0</v>
      </c>
      <c r="Z136" s="13">
        <f t="shared" si="31"/>
        <v>0</v>
      </c>
      <c r="AA136" s="13">
        <f t="shared" si="32"/>
        <v>0</v>
      </c>
      <c r="AB136" s="13">
        <f t="shared" si="33"/>
        <v>0</v>
      </c>
      <c r="AC136" s="13">
        <f t="shared" si="34"/>
        <v>0</v>
      </c>
      <c r="AD136" s="13">
        <f t="shared" si="35"/>
        <v>0</v>
      </c>
      <c r="AE136" s="13">
        <f t="shared" si="36"/>
        <v>0</v>
      </c>
      <c r="AF136" s="13">
        <f t="shared" si="37"/>
        <v>0</v>
      </c>
      <c r="AG136" s="13">
        <f t="shared" si="38"/>
        <v>0</v>
      </c>
      <c r="AH136" s="13" t="e">
        <f t="shared" si="13"/>
        <v>#DIV/0!</v>
      </c>
      <c r="AI136" s="13" t="e">
        <f t="shared" si="14"/>
        <v>#DIV/0!</v>
      </c>
      <c r="AJ136" s="13" t="e">
        <f t="shared" si="15"/>
        <v>#DIV/0!</v>
      </c>
      <c r="AK136" s="13" t="e">
        <f t="shared" si="16"/>
        <v>#DIV/0!</v>
      </c>
      <c r="AL136" s="13" t="e">
        <f t="shared" si="17"/>
        <v>#DIV/0!</v>
      </c>
      <c r="AM136" s="13" t="e">
        <f t="shared" si="18"/>
        <v>#DIV/0!</v>
      </c>
      <c r="AN136" s="13" t="e">
        <f t="shared" si="19"/>
        <v>#DIV/0!</v>
      </c>
      <c r="AO136" s="2" t="e">
        <f t="shared" si="39"/>
        <v>#DIV/0!</v>
      </c>
      <c r="AP136" s="2" t="e">
        <f t="shared" si="40"/>
        <v>#DIV/0!</v>
      </c>
      <c r="AQ136" s="2" t="e">
        <f t="shared" si="41"/>
        <v>#DIV/0!</v>
      </c>
      <c r="AR136" s="2" t="e">
        <f t="shared" si="42"/>
        <v>#DIV/0!</v>
      </c>
      <c r="AS136" s="2" t="e">
        <f t="shared" si="43"/>
        <v>#DIV/0!</v>
      </c>
    </row>
    <row r="137" spans="1:45" ht="19.2" hidden="1" customHeight="1">
      <c r="A137" s="12">
        <v>0</v>
      </c>
      <c r="B137" s="13">
        <f>'INTERNAL TEST-1  '!B137</f>
        <v>0</v>
      </c>
      <c r="C137" s="64">
        <f>'INTERNAL TEST-1  '!C137</f>
        <v>0</v>
      </c>
      <c r="D137" s="12"/>
      <c r="E137" s="12"/>
      <c r="F137" s="12"/>
      <c r="G137" s="12"/>
      <c r="H137" s="12"/>
      <c r="I137" s="12"/>
      <c r="J137" s="12"/>
      <c r="K137" s="12"/>
      <c r="L137" s="12"/>
      <c r="M137" s="12"/>
      <c r="N137" s="12"/>
      <c r="O137" s="12"/>
      <c r="P137" s="12"/>
      <c r="Q137" s="12"/>
      <c r="R137" s="12"/>
      <c r="S137" s="12"/>
      <c r="T137" s="12"/>
      <c r="U137" s="13">
        <f t="shared" si="26"/>
        <v>0</v>
      </c>
      <c r="V137" s="13">
        <f t="shared" si="27"/>
        <v>0</v>
      </c>
      <c r="W137" s="13">
        <f t="shared" si="28"/>
        <v>0</v>
      </c>
      <c r="X137" s="13">
        <f t="shared" si="29"/>
        <v>0</v>
      </c>
      <c r="Y137" s="13">
        <f t="shared" si="30"/>
        <v>0</v>
      </c>
      <c r="Z137" s="13">
        <f t="shared" si="31"/>
        <v>0</v>
      </c>
      <c r="AA137" s="13">
        <f t="shared" si="32"/>
        <v>0</v>
      </c>
      <c r="AB137" s="13">
        <f t="shared" si="33"/>
        <v>0</v>
      </c>
      <c r="AC137" s="13">
        <f t="shared" si="34"/>
        <v>0</v>
      </c>
      <c r="AD137" s="13">
        <f t="shared" si="35"/>
        <v>0</v>
      </c>
      <c r="AE137" s="13">
        <f t="shared" si="36"/>
        <v>0</v>
      </c>
      <c r="AF137" s="13">
        <f t="shared" si="37"/>
        <v>0</v>
      </c>
      <c r="AG137" s="13">
        <f t="shared" si="38"/>
        <v>0</v>
      </c>
      <c r="AH137" s="13" t="e">
        <f t="shared" si="13"/>
        <v>#DIV/0!</v>
      </c>
      <c r="AI137" s="13" t="e">
        <f t="shared" si="14"/>
        <v>#DIV/0!</v>
      </c>
      <c r="AJ137" s="13" t="e">
        <f t="shared" si="15"/>
        <v>#DIV/0!</v>
      </c>
      <c r="AK137" s="13" t="e">
        <f t="shared" si="16"/>
        <v>#DIV/0!</v>
      </c>
      <c r="AL137" s="13" t="e">
        <f t="shared" si="17"/>
        <v>#DIV/0!</v>
      </c>
      <c r="AM137" s="13" t="e">
        <f t="shared" si="18"/>
        <v>#DIV/0!</v>
      </c>
      <c r="AN137" s="13" t="e">
        <f t="shared" si="19"/>
        <v>#DIV/0!</v>
      </c>
      <c r="AO137" s="2" t="e">
        <f t="shared" si="39"/>
        <v>#DIV/0!</v>
      </c>
      <c r="AP137" s="2" t="e">
        <f t="shared" si="40"/>
        <v>#DIV/0!</v>
      </c>
      <c r="AQ137" s="2" t="e">
        <f t="shared" si="41"/>
        <v>#DIV/0!</v>
      </c>
      <c r="AR137" s="2" t="e">
        <f t="shared" si="42"/>
        <v>#DIV/0!</v>
      </c>
      <c r="AS137" s="2" t="e">
        <f t="shared" si="43"/>
        <v>#DIV/0!</v>
      </c>
    </row>
    <row r="138" spans="1:45" ht="19.2" hidden="1" customHeight="1">
      <c r="A138" s="12">
        <v>0</v>
      </c>
      <c r="B138" s="13">
        <f>'INTERNAL TEST-1  '!B138</f>
        <v>0</v>
      </c>
      <c r="C138" s="64">
        <f>'INTERNAL TEST-1  '!C138</f>
        <v>0</v>
      </c>
      <c r="D138" s="12"/>
      <c r="E138" s="12"/>
      <c r="F138" s="12"/>
      <c r="G138" s="12"/>
      <c r="H138" s="12"/>
      <c r="I138" s="12"/>
      <c r="J138" s="12"/>
      <c r="K138" s="12"/>
      <c r="L138" s="12"/>
      <c r="M138" s="12"/>
      <c r="N138" s="12"/>
      <c r="O138" s="12"/>
      <c r="P138" s="12"/>
      <c r="Q138" s="12"/>
      <c r="R138" s="12"/>
      <c r="S138" s="12"/>
      <c r="T138" s="12"/>
      <c r="U138" s="13">
        <f t="shared" si="26"/>
        <v>0</v>
      </c>
      <c r="V138" s="13">
        <f t="shared" si="27"/>
        <v>0</v>
      </c>
      <c r="W138" s="13">
        <f t="shared" si="28"/>
        <v>0</v>
      </c>
      <c r="X138" s="13">
        <f t="shared" si="29"/>
        <v>0</v>
      </c>
      <c r="Y138" s="13">
        <f t="shared" si="30"/>
        <v>0</v>
      </c>
      <c r="Z138" s="13">
        <f t="shared" si="31"/>
        <v>0</v>
      </c>
      <c r="AA138" s="13">
        <f t="shared" si="32"/>
        <v>0</v>
      </c>
      <c r="AB138" s="13">
        <f t="shared" si="33"/>
        <v>0</v>
      </c>
      <c r="AC138" s="13">
        <f t="shared" si="34"/>
        <v>0</v>
      </c>
      <c r="AD138" s="13">
        <f t="shared" si="35"/>
        <v>0</v>
      </c>
      <c r="AE138" s="13">
        <f t="shared" si="36"/>
        <v>0</v>
      </c>
      <c r="AF138" s="13">
        <f t="shared" si="37"/>
        <v>0</v>
      </c>
      <c r="AG138" s="13">
        <f t="shared" si="38"/>
        <v>0</v>
      </c>
      <c r="AH138" s="13" t="e">
        <f t="shared" si="13"/>
        <v>#DIV/0!</v>
      </c>
      <c r="AI138" s="13" t="e">
        <f t="shared" si="14"/>
        <v>#DIV/0!</v>
      </c>
      <c r="AJ138" s="13" t="e">
        <f t="shared" si="15"/>
        <v>#DIV/0!</v>
      </c>
      <c r="AK138" s="13" t="e">
        <f t="shared" si="16"/>
        <v>#DIV/0!</v>
      </c>
      <c r="AL138" s="13" t="e">
        <f t="shared" si="17"/>
        <v>#DIV/0!</v>
      </c>
      <c r="AM138" s="13" t="e">
        <f t="shared" si="18"/>
        <v>#DIV/0!</v>
      </c>
      <c r="AN138" s="13" t="e">
        <f t="shared" si="19"/>
        <v>#DIV/0!</v>
      </c>
      <c r="AO138" s="2" t="e">
        <f t="shared" si="39"/>
        <v>#DIV/0!</v>
      </c>
      <c r="AP138" s="2" t="e">
        <f t="shared" si="40"/>
        <v>#DIV/0!</v>
      </c>
      <c r="AQ138" s="2" t="e">
        <f t="shared" si="41"/>
        <v>#DIV/0!</v>
      </c>
      <c r="AR138" s="2" t="e">
        <f t="shared" si="42"/>
        <v>#DIV/0!</v>
      </c>
      <c r="AS138" s="2" t="e">
        <f t="shared" si="43"/>
        <v>#DIV/0!</v>
      </c>
    </row>
    <row r="139" spans="1:45" ht="19.2" hidden="1" customHeight="1">
      <c r="A139" s="12">
        <v>0</v>
      </c>
      <c r="B139" s="13">
        <f>'INTERNAL TEST-1  '!B139</f>
        <v>0</v>
      </c>
      <c r="C139" s="64">
        <f>'INTERNAL TEST-1  '!C139</f>
        <v>0</v>
      </c>
      <c r="D139" s="12"/>
      <c r="E139" s="12"/>
      <c r="F139" s="12"/>
      <c r="G139" s="12"/>
      <c r="H139" s="12"/>
      <c r="I139" s="12"/>
      <c r="J139" s="12"/>
      <c r="K139" s="12"/>
      <c r="L139" s="12"/>
      <c r="M139" s="12"/>
      <c r="N139" s="12"/>
      <c r="O139" s="12"/>
      <c r="P139" s="12"/>
      <c r="Q139" s="12"/>
      <c r="R139" s="12"/>
      <c r="S139" s="12"/>
      <c r="T139" s="12"/>
      <c r="U139" s="13">
        <f>SUM(D139:T139)</f>
        <v>0</v>
      </c>
      <c r="V139" s="13">
        <f t="shared" si="27"/>
        <v>0</v>
      </c>
      <c r="W139" s="13">
        <f t="shared" si="28"/>
        <v>0</v>
      </c>
      <c r="X139" s="13">
        <f t="shared" si="29"/>
        <v>0</v>
      </c>
      <c r="Y139" s="13">
        <f t="shared" si="30"/>
        <v>0</v>
      </c>
      <c r="Z139" s="13">
        <f t="shared" si="31"/>
        <v>0</v>
      </c>
      <c r="AA139" s="13">
        <f t="shared" si="32"/>
        <v>0</v>
      </c>
      <c r="AB139" s="13">
        <f t="shared" si="33"/>
        <v>0</v>
      </c>
      <c r="AC139" s="13">
        <f t="shared" si="34"/>
        <v>0</v>
      </c>
      <c r="AD139" s="13">
        <f t="shared" si="35"/>
        <v>0</v>
      </c>
      <c r="AE139" s="13">
        <f t="shared" si="36"/>
        <v>0</v>
      </c>
      <c r="AF139" s="13">
        <f t="shared" si="37"/>
        <v>0</v>
      </c>
      <c r="AG139" s="13">
        <f t="shared" si="38"/>
        <v>0</v>
      </c>
      <c r="AH139" s="13" t="e">
        <f>ROUND(V139/(IF($D$12="CO1",$D$13,0)+IF($E$12="CO1",$E$13,0)+IF($F$12="CO1",$F$13,0)+IF($G$12="CO1",$G$13,0)+IF($H$12="CO1",$H$13,0)+IF($I$12="CO1",$I$13,0)+IF($J$12="CO1",$J$13,0)+IF($K$12="CO1",$K$13,0)+IF($L$12="CO1",$L$13,0)+IF($M$12="CO1",$M$13,0)+IF($N$12="CO1",$N$13,0)+IF($O$12="CO1",$O$13,0)+IF($P$12="CO1",$P$13,0)+IF($Q$12="CO1",$Q$13,0)+IF($R$12="CO1",$R$13,0)+IF($S$12="CO1",$S$13,0)+IF($T$12="CO1",$T$13,0))*100,2)</f>
        <v>#DIV/0!</v>
      </c>
      <c r="AI139" s="13" t="e">
        <f>ROUND(W139/(IF($D$12="CO2",$D$13,0)+IF($E$12="CO2",$E$13,0)+IF($F$12="CO2",$F$13,0)+IF($G$12="CO2",$G$13,0)+IF($H$12="CO2",$H$13,0)+IF($I$12="CO2",$I$13,0)+IF($J$12="CO2",$J$13,0)+IF($K$12="CO2",$K$13,0)+IF($L$12="CO2",$L$13,0)+IF($M$12="CO2",$M$13,0)+IF($N$12="CO2",$N$13,0)+IF($O$12="CO2",$O$13,0)+IF($P$12="CO2",$P$13,0)+IF($Q$12="CO2",$Q$13,0)+IF($R$12="CO2",$R$13,0)+IF($S$12="CO2",$S$13,0)+IF($T$12="CO2",$T$13,0))*100,2)</f>
        <v>#DIV/0!</v>
      </c>
      <c r="AJ139" s="13" t="e">
        <f>ROUND(X139/(IF($D$12="CO3",$D$13,0)+IF($E$12="CO3",$E$13,0)+IF($F$12="CO3",$F$13,0)+IF($G$12="CO3",$G$13,0)+IF($H$12="CO3",$H$13,0)+IF($I$12="CO3",$I$13,0)+IF($J$12="CO3",$J$13,0)+IF($K$12="CO3",$K$13,0)+IF($L$12="CO3",$L$13,0)+IF($M$12="CO3",$M$13,0)+IF($N$12="CO3",$N$13,0)+IF($O$12="CO3",$O$13,0)+IF($P$12="CO3",$P$13,0)+IF($Q$12="CO3",$Q$13,0)+IF($R$12="CO3",$R$13,0)+IF($S$12="CO3",$S$13,0)+IF($T$12="CO3",$T$13,0))*100,2)</f>
        <v>#DIV/0!</v>
      </c>
      <c r="AK139" s="13" t="e">
        <f>ROUND(Y139/(IF($D$12="CO4",$D$13,0)+IF($E$12="CO4",$E$13,0)+IF($F$12="CO4",$F$13,0)+IF($G$12="CO4",$G$13,0)+IF($H$12="CO4",$H$13,0)+IF($I$12="CO4",$I$13,0)+IF($J$12="CO4",$J$13,0)+IF($K$12="CO4",$K$13,0)+IF($L$12="CO4",$L$13,0)+IF($M$12="CO4",$M$13,0)+IF($N$12="CO4",$N$13,0)+IF($O$12="CO4",$O$13,0)+IF($P$12="CO4",$P$13,0)+IF($Q$12="CO4",$Q$13,0)+IF($R$12="CO4",$R$13,0)+IF($S$12="CO4",$S$13,0)+IF($T$12="CO4",$T$13,0))*100,2)</f>
        <v>#DIV/0!</v>
      </c>
      <c r="AL139" s="13" t="e">
        <f>ROUND(Z139/(IF($D$12="CO5",$D$13,0)+IF($E$12="CO5",$E$13,0)+IF($F$12="CO5",$F$13,0)+IF($G$12="CO5",$G$13,0)+IF($H$12="CO5",$H$13,0)+IF($I$12="CO5",$I$13,0)+IF($J$12="CO5",$J$13,0)+IF($K$12="CO5",$K$13,0)+IF($L$12="CO5",$L$13,0)+IF($M$12="CO5",$M$13,0)+IF($N$12="CO5",$N$13,0)+IF($O$12="CO5",$O$13,0)+IF($P$12="CO5",$P$13,0)+IF($Q$12="CO5",$Q$13,0)+IF($R$12="CO5",$R$13,0)+IF($S$12="CO5",$S$13,0)+IF($T$12="CO5",$T$13,0))*100,2)</f>
        <v>#DIV/0!</v>
      </c>
      <c r="AM139" s="13" t="e">
        <f>ROUND(AA139/(IF($D$12="CO6",$D$13,0)+IF($E$12="CO6",$E$13,0)+IF($F$12="CO6",$F$13,0)+IF($G$12="CO6",$G$13,0)+IF($H$12="CO6",$H$13,0)+IF($I$12="CO6",$I$13,0)+IF($J$12="CO6",$J$13,0)+IF($K$12="CO6",$K$13,0)+IF($L$12="CO6",$L$13,0)+IF($M$12="CO6",$M$13,0)+IF($N$12="CO6",$N$13,0)+IF($O$12="CO6",$O$13,0)+IF($P$12="CO6",$P$13,0)+IF($Q$12="CO6",$Q$13,0)+IF($R$12="CO6",$R$13,0)+IF($S$12="CO6",$S$13,0)+IF($T$12="CO6",$T$13,0))*100,2)</f>
        <v>#DIV/0!</v>
      </c>
      <c r="AN139" s="13" t="e">
        <f>ROUND(AB139/(IF($D$12="CO7",$D$13,0)+IF($E$12="CO7",$E$13,0)+IF($F$12="CO7",$F$13,0)+IF($G$12="CO7",$G$13,0)+IF($H$12="CO7",$H$13,0)+IF($I$12="CO7",$I$13,0)+IF($J$12="CO7",$J$13,0)+IF($K$12="CO7",$K$13,0)+IF($L$12="CO7",$L$13,0)+IF($M$12="CO7",$M$13,0)+IF($N$12="CO7",$N$13,0)+IF($O$12="CO7",$O$13,0)+IF($P$12="CO7",$P$13,0)+IF($Q$12="CO7",$Q$13,0)+IF($R$12="CO7",$R$13,0)+IF($S$12="CO7",$S$13,0)+IF($T$12="CO7",$T$13,0))*100,2)</f>
        <v>#DIV/0!</v>
      </c>
      <c r="AO139" s="2" t="e">
        <f t="shared" si="39"/>
        <v>#DIV/0!</v>
      </c>
      <c r="AP139" s="2" t="e">
        <f t="shared" si="40"/>
        <v>#DIV/0!</v>
      </c>
      <c r="AQ139" s="2" t="e">
        <f t="shared" si="41"/>
        <v>#DIV/0!</v>
      </c>
      <c r="AR139" s="2" t="e">
        <f t="shared" si="42"/>
        <v>#DIV/0!</v>
      </c>
      <c r="AS139" s="2" t="e">
        <f t="shared" si="43"/>
        <v>#DIV/0!</v>
      </c>
    </row>
    <row r="140" spans="1:45" ht="19.2" customHeight="1">
      <c r="A140" s="156" t="s">
        <v>50</v>
      </c>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c r="AF140" s="157"/>
      <c r="AG140" s="158"/>
      <c r="AH140" s="14" t="e">
        <f>ROUND(SUM(AH14:AH139)/INPUT!$B$8,2)</f>
        <v>#DIV/0!</v>
      </c>
      <c r="AI140" s="87" t="e">
        <f>ROUND(SUM(AI14:AI139)/INPUT!$B$8,2)</f>
        <v>#DIV/0!</v>
      </c>
      <c r="AJ140" s="87" t="e">
        <f>ROUND(SUM(AJ14:AJ139)/INPUT!$B$8,2)</f>
        <v>#DIV/0!</v>
      </c>
      <c r="AK140" s="87" t="e">
        <f>ROUND(SUM(AK14:AK139)/INPUT!$B$8,2)</f>
        <v>#DIV/0!</v>
      </c>
      <c r="AL140" s="87" t="e">
        <f>ROUND(SUM(AL14:AL139)/INPUT!$B$8,2)</f>
        <v>#DIV/0!</v>
      </c>
      <c r="AM140" s="87" t="e">
        <f>ROUND(SUM(AM14:AM139)/INPUT!$B$8,2)</f>
        <v>#DIV/0!</v>
      </c>
      <c r="AN140" s="87" t="e">
        <f>ROUND(SUM(AN14:AN139)/INPUT!$B$8,2)</f>
        <v>#DIV/0!</v>
      </c>
      <c r="AO140" s="87" t="e">
        <f>ROUND(SUM(AO14:AO139)/INPUT!$B$8,2)</f>
        <v>#DIV/0!</v>
      </c>
      <c r="AP140" s="87" t="e">
        <f>ROUND(SUM(AP14:AP139)/INPUT!$B$8,2)</f>
        <v>#DIV/0!</v>
      </c>
      <c r="AQ140" s="87" t="e">
        <f>ROUND(SUM(AQ14:AQ139)/INPUT!$B$8,2)</f>
        <v>#DIV/0!</v>
      </c>
      <c r="AR140" s="87" t="e">
        <f>ROUND(SUM(AR14:AR139)/INPUT!$B$8,2)</f>
        <v>#DIV/0!</v>
      </c>
      <c r="AS140" s="87" t="e">
        <f>ROUND(SUM(AS14:AS139)/INPUT!$B$8,2)</f>
        <v>#DIV/0!</v>
      </c>
    </row>
    <row r="141" spans="1:45" ht="21.9" customHeight="1">
      <c r="A141" s="156" t="s">
        <v>105</v>
      </c>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c r="AF141" s="157"/>
      <c r="AG141" s="158"/>
      <c r="AH141" s="87">
        <f>INPUT!E12</f>
        <v>50</v>
      </c>
      <c r="AI141" s="87">
        <f>INPUT!E13</f>
        <v>50</v>
      </c>
      <c r="AJ141" s="87">
        <f>INPUT!E14</f>
        <v>50</v>
      </c>
      <c r="AK141" s="87">
        <f>INPUT!E15</f>
        <v>50</v>
      </c>
      <c r="AL141" s="87" t="str">
        <f>INPUT!E16</f>
        <v>_</v>
      </c>
      <c r="AM141" s="87" t="str">
        <f>INPUT!E17</f>
        <v>_</v>
      </c>
      <c r="AN141" s="87" t="str">
        <f>INPUT!E18</f>
        <v>_</v>
      </c>
      <c r="AO141" s="57" t="str">
        <f>INPUT!E19</f>
        <v>_</v>
      </c>
      <c r="AP141" s="57" t="str">
        <f>INPUT!E20</f>
        <v>_</v>
      </c>
      <c r="AQ141" s="57" t="str">
        <f>INPUT!E21</f>
        <v>_</v>
      </c>
      <c r="AR141" s="57" t="str">
        <f>INPUT!E22</f>
        <v>_</v>
      </c>
      <c r="AS141" s="57" t="str">
        <f>INPUT!E23</f>
        <v>_</v>
      </c>
    </row>
    <row r="142" spans="1:45" ht="21.9" customHeight="1">
      <c r="A142" s="156" t="s">
        <v>106</v>
      </c>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c r="AF142" s="157"/>
      <c r="AG142" s="158"/>
      <c r="AH142" s="8">
        <f t="shared" ref="AH142:AS142" si="44">COUNTIF(AH14:AH139,"&gt;="&amp;AH141)</f>
        <v>0</v>
      </c>
      <c r="AI142" s="8">
        <f t="shared" si="44"/>
        <v>0</v>
      </c>
      <c r="AJ142" s="8">
        <f t="shared" si="44"/>
        <v>0</v>
      </c>
      <c r="AK142" s="8">
        <f t="shared" si="44"/>
        <v>0</v>
      </c>
      <c r="AL142" s="8">
        <f t="shared" si="44"/>
        <v>0</v>
      </c>
      <c r="AM142" s="8">
        <f t="shared" si="44"/>
        <v>0</v>
      </c>
      <c r="AN142" s="8">
        <f t="shared" si="44"/>
        <v>0</v>
      </c>
      <c r="AO142" s="8">
        <f t="shared" si="44"/>
        <v>0</v>
      </c>
      <c r="AP142" s="8">
        <f t="shared" si="44"/>
        <v>0</v>
      </c>
      <c r="AQ142" s="8">
        <f t="shared" si="44"/>
        <v>0</v>
      </c>
      <c r="AR142" s="8">
        <f t="shared" si="44"/>
        <v>0</v>
      </c>
      <c r="AS142" s="8">
        <f t="shared" si="44"/>
        <v>0</v>
      </c>
    </row>
    <row r="143" spans="1:45" ht="21.9" customHeight="1">
      <c r="A143" s="156" t="s">
        <v>107</v>
      </c>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c r="AF143" s="157"/>
      <c r="AG143" s="158"/>
      <c r="AH143" s="15" t="e">
        <f>ROUND((AH142/INPUT!$B$8)*100,2)</f>
        <v>#DIV/0!</v>
      </c>
      <c r="AI143" s="15" t="e">
        <f>ROUND((AI142/INPUT!$B$8)*100,2)</f>
        <v>#DIV/0!</v>
      </c>
      <c r="AJ143" s="15" t="e">
        <f>ROUND((AJ142/INPUT!$B$8)*100,2)</f>
        <v>#DIV/0!</v>
      </c>
      <c r="AK143" s="15" t="e">
        <f>ROUND((AK142/INPUT!$B$8)*100,2)</f>
        <v>#DIV/0!</v>
      </c>
      <c r="AL143" s="15" t="e">
        <f>ROUND((AL142/INPUT!$B$8)*100,2)</f>
        <v>#DIV/0!</v>
      </c>
      <c r="AM143" s="15" t="e">
        <f>ROUND((AM142/INPUT!$B$8)*100,2)</f>
        <v>#DIV/0!</v>
      </c>
      <c r="AN143" s="15" t="e">
        <f>ROUND((AN142/INPUT!$B$8)*100,2)</f>
        <v>#DIV/0!</v>
      </c>
      <c r="AO143" s="15" t="e">
        <f>ROUND((AO142/INPUT!$B$8)*100,2)</f>
        <v>#DIV/0!</v>
      </c>
      <c r="AP143" s="15" t="e">
        <f>ROUND((AP142/INPUT!$B$8)*100,2)</f>
        <v>#DIV/0!</v>
      </c>
      <c r="AQ143" s="15" t="e">
        <f>ROUND((AQ142/INPUT!$B$8)*100,2)</f>
        <v>#DIV/0!</v>
      </c>
      <c r="AR143" s="15" t="e">
        <f>ROUND((AR142/INPUT!$B$8)*100,2)</f>
        <v>#DIV/0!</v>
      </c>
      <c r="AS143" s="15" t="e">
        <f>ROUND((AS142/INPUT!$B$8)*100,2)</f>
        <v>#DIV/0!</v>
      </c>
    </row>
    <row r="144" spans="1:45" ht="14.4" customHeight="1">
      <c r="A144" s="156" t="s">
        <v>47</v>
      </c>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c r="AF144" s="157"/>
      <c r="AG144" s="158"/>
      <c r="AH144" s="15" t="str">
        <f>IF((IF(D12="CO1",D13,0)+IF(E12="CO1",E13,0)+IF(F12="CO1",F13,0)+IF(G12="CO1",G13,0)+IF(H12="CO1",H13,0)+IF(I12="CO1",I13,0)+IF(J12="CO1",J13,0)+IF(K12="CO1",K13,0)+IF(L12="CO1",L13,0)+IF(M12="CO1",M13,0)+IF(N12="CO1",N13,0)+IF(O12="CO1",O13,0)+IF(P12="CO1",P13,0)+IF(Q12="CO1",Q13,0)+IF(R12="CO1",R13,0)+IF(S12="CO1",S13,0)+IF(T12="CO1",T13,0))=0,"-",IF(AH143&gt;=INPUT!A27,3,IF(AND(AH143&gt;=INPUT!A28,AH143&lt;INPUT!A27),2,IF(AND(AH143&gt;=INPUT!A29,AH143&lt;INPUT!A28),1,0))))</f>
        <v>-</v>
      </c>
      <c r="AI144" s="15" t="str">
        <f>IF((IF(D12="CO2",D13,0)+IF(E12="CO2",E13,0)+IF(F12="CO2",F13,0)+IF(G12="CO2",G13,0)+IF(H12="CO2",H13,0)+IF(I12="CO2",I13,0)+IF(J12="CO2",J13,0)+IF(K12="CO2",K13,0)+IF(L12="CO2",L13,0)+IF(M12="CO2",M13,0)+IF(N12="CO2",N13,0)+IF(O12="CO2",O13,0)+IF(P12="CO2",P13,0)+IF(Q12="CO2",Q13,0)+IF(R12="CO2",R13,0)+IF(S12="CO2",S13,0)+IF(T12="CO2",T13,0))=0,"-",IF(AI143&gt;=INPUT!A27,3,IF(AND(AI143&gt;=INPUT!A28,AI143&lt;INPUT!A27),2,IF(AND(AI143&gt;=INPUT!A29,AI143&lt;INPUT!A28),1,0))))</f>
        <v>-</v>
      </c>
      <c r="AJ144" s="15" t="str">
        <f>IF((IF(D12="CO3",D13,0)+IF(E12="CO3",E13,0)+IF(F12="CO3",F13,0)+IF(G12="CO3",G13,0)+IF(H12="CO3",H13,0)+IF(I12="CO3",I13,0)+IF(J12="CO3",J13,0)+IF(K12="CO3",K13,0)+IF(L12="CO3",L13,0)+IF(M12="CO3",M13,0)+IF(N12="CO3",N13,0)+IF(O12="CO3",O13,0)+IF(P12="CO3",P13,0)+IF(Q12="CO3",Q13,0)+IF(R12="CO3",R13,0)+IF(S12="CO3",S13,0)+IF(T12="CO3",T13,0))=0,"-",IF(AJ143&gt;=INPUT!A27,3,IF(AND(AJ143&gt;=INPUT!A28,AJ143&lt;INPUT!A27),2,IF(AND(AJ143&gt;=INPUT!A29,AJ143&lt;INPUT!A28),1,0))))</f>
        <v>-</v>
      </c>
      <c r="AK144" s="15" t="str">
        <f>IF((IF(D12="CO4",D13,0)+IF(E12="CO4",E13,0)+IF(F12="CO4",F13,0)+IF(G12="CO4",G13,0)+IF(H12="CO4",H13,0)+IF(I12="CO4",I13,0)+IF(J12="CO4",J13,0)+IF(K12="CO4",K13,0)+IF(L12="CO4",L13,0)+IF(M12="CO4",M13,0)+IF(N12="CO4",N13,0)+IF(O12="CO4",O13,0)+IF(P12="CO4",P13,0)+IF(Q12="CO4",Q13,0)+IF(R12="CO4",R13,0)+IF(S12="CO4",S13,0)+IF(T12="CO4",T13,0))=0,"-",IF(AK143&gt;=INPUT!A27,3,IF(AND(AK143&gt;=INPUT!A28,AK143&lt;INPUT!A27),2,IF(AND(AK143&gt;=INPUT!A29,AK143&lt;INPUT!A28),1,0))))</f>
        <v>-</v>
      </c>
      <c r="AL144" s="15" t="str">
        <f>IF((IF(D12="CO5",D13,0)+IF(E12="CO5",E13,0)+IF(F12="CO5",F13,0)+IF(G12="CO5",G13,0)+IF(H12="CO5",H13,0)+IF(I12="CO5",I13,0)+IF(J12="CO5",J13,0)+IF(K12="CO5",K13,0)+IF(L12="CO5",L13,0)+IF(M12="CO5",M13,0)+IF(N12="CO5",N13,0)+IF(O12="CO5",O13,0)+IF(P12="CO5",P13,0)+IF(Q12="CO5",Q13,0)+IF(R12="CO5",R13,0)+IF(S12="CO5",S13,0)+IF(T12="CO5",T13,0))=0,"-",IF(AL143&gt;=INPUT!A27,3,IF(AND(AL143&gt;=INPUT!A28,AL143&lt;INPUT!A27),2,IF(AND(AL143&gt;=INPUT!A29,AL143&lt;INPUT!A28),1,0))))</f>
        <v>-</v>
      </c>
      <c r="AM144" s="15" t="str">
        <f>IF((IF(D12="CO6",D13,0)+IF(E12="CO6",E13,0)+IF(F12="CO6",F13,0)+IF(G12="CO6",G13,0)+IF(H12="CO6",H13,0)+IF(I12="CO6",I13,0)+IF(J12="CO6",J13,0)+IF(K12="CO6",K13,0)+IF(L12="CO6",L13,0)+IF(M12="CO6",M13,0)+IF(N12="CO6",N13,0)+IF(O12="CO6",O13,0)+IF(P12="CO6",P13,0)+IF(Q12="CO6",Q13,0)+IF(R12="CO6",R13,0)+IF(S12="CO6",S13,0)+IF(T12="CO6",T13,0))=0,"-",IF(AM143&gt;=INPUT!A27,3,IF(AND(AM143&gt;=INPUT!A28,AM143&lt;INPUT!A27),2,IF(AND(AM143&gt;=INPUT!A29,AM143&lt;INPUT!A28),1,0))))</f>
        <v>-</v>
      </c>
      <c r="AN144" s="15" t="str">
        <f>IF((IF(D12="CO7",D13,0)+IF(E12="CO7",E13,0)+IF(F12="CO7",F13,0)+IF(G12="CO7",G13,0)+IF(H12="CO7",H13,0)+IF(I12="CO7",I13,0)+IF(J12="CO7",J13,0)+IF(K12="CO7",K13,0)+IF(L12="CO7",L13,0)+IF(M12="CO7",M13,0)+IF(N12="CO7",N13,0)+IF(O12="CO7",O13,0)+IF(P12="CO7",P13,0)+IF(Q12="CO7",Q13,0)+IF(R12="CO7",R13,0)+IF(S12="CO7",S13,0)+IF(T12="CO7",T13,0))=0,"-",IF(AN143&gt;=INPUT!A27,3,IF(AND(AN143&gt;=INPUT!A28,AN143&lt;INPUT!A27),2,IF(AND(AN143&gt;=INPUT!A29,AN143&lt;INPUT!A28),1,0))))</f>
        <v>-</v>
      </c>
      <c r="AO144" s="57" t="str">
        <f>IF((IF(D12="CO8",D13,0)+IF(E12="CO8",E13,0)+IF(F12="CO8",F13,0)+IF(G12="CO8",G13,0)+IF(H12="CO8",H13,0)+IF(I12="CO8",I13,0)+IF(J12="CO8",J13,0)+IF(K12="CO8",K13,0)+IF(L12="CO8",L13,0)+IF(M12="CO8",M13,0)+IF(N12="CO8",N13,0)+IF(O12="CO8",O13,0)+IF(P12="CO8",P13,0)+IF(Q12="CO8",Q13,0)+IF(R12="CO8",R13,0)+IF(S12="CO8",S13,0)+IF(T12="CO8",T13,0))=0,"-",IF(AO143&gt;=INPUT!A27,3,IF(AND(AO143&gt;=INPUT!A28,AO143&lt;INPUT!A27),2,IF(AND(AO143&gt;=INPUT!A29,AO143&lt;INPUT!A28),1,0))))</f>
        <v>-</v>
      </c>
      <c r="AP144" s="57" t="str">
        <f>IF((IF(D12="CO9",D13,0)+IF(E12="CO9",E13,0)+IF(F12="CO9",F13,0)+IF(G12="CO9",G13,0)+IF(H12="CO9",H13,0)+IF(I12="CO9",I13,0)+IF(J12="CO9",J13,0)+IF(K12="CO9",K13,0)+IF(L12="CO9",L13,0)+IF(M12="CO9",M13,0)+IF(N12="CO9",N13,0)+IF(O12="CO9",O13,0)+IF(P12="CO9",P13,0)+IF(Q12="CO9",Q13,0)+IF(R12="CO9",R13,0)+IF(S12="CO9",S13,0)+IF(T12="CO9",T13,0))=0,"-",IF(AP143&gt;=INPUT!A27,3,IF(AND(AP143&gt;=INPUT!A28,AP143&lt;INPUT!A27),2,IF(AND(AP143&gt;=INPUT!A29,AP143&lt;INPUT!A28),1,0))))</f>
        <v>-</v>
      </c>
      <c r="AQ144" s="57" t="str">
        <f>IF((IF(D12="CO10",D13,0)+IF(E12="CO10",E13,0)+IF(F12="CO10",F13,0)+IF(G12="CO10",G13,0)+IF(H12="CO10",H13,0)+IF(I12="CO10",I13,0)+IF(J12="CO10",J13,0)+IF(K12="CO10",K13,0)+IF(L12="CO10",L13,0)+IF(M12="CO10",M13,0)+IF(N12="CO10",N13,0)+IF(O12="CO10",O13,0)+IF(P12="CO10",P13,0)+IF(Q12="CO10",Q13,0)+IF(R12="CO10",R13,0)+IF(S12="CO10",S13,0)+IF(T12="CO10",T13,0))=0,"-",IF(AQ143&gt;=INPUT!A27,3,IF(AND(AQ143&gt;=INPUT!A28,AQ143&lt;INPUT!A27),2,IF(AND(AQ143&gt;=INPUT!A29,AQ143&lt;INPUT!A28),1,0))))</f>
        <v>-</v>
      </c>
      <c r="AR144" s="57" t="str">
        <f>IF((IF(D12="CO11",D13,0)+IF(E12="CO11",E13,0)+IF(F12="CO11",F13,0)+IF(G12="CO11",G13,0)+IF(H12="CO11",H13,0)+IF(I12="CO11",I13,0)+IF(J12="CO11",J13,0)+IF(K12="CO11",K13,0)+IF(L12="CO11",L13,0)+IF(M12="CO11",M13,0)+IF(N12="CO11",N13,0)+IF(O12="CO11",O13,0)+IF(P12="CO11",P13,0)+IF(Q12="CO11",Q13,0)+IF(R12="CO11",R13,0)+IF(S12="CO11",S13,0)+IF(T12="CO11",T13,0))=0,"-",IF(AR143&gt;=INPUT!A27,3,IF(AND(AR143&gt;=INPUT!A28,AR143&lt;INPUT!A27),2,IF(AND(AR143&gt;=INPUT!A29,AR143&lt;INPUT!A28),1,0))))</f>
        <v>-</v>
      </c>
      <c r="AS144" s="57" t="str">
        <f>IF((IF(D12="CO12",D13,0)+IF(E12="CO12",E13,0)+IF(F12="CO12",F13,0)+IF(G12="CO12",G13,0)+IF(H12="CO12",H13,0)+IF(I12="CO12",I13,0)+IF(J12="CO12",J13,0)+IF(K12="CO12",K13,0)+IF(L12="CO12",L13,0)+IF(M12="CO12",M13,0)+IF(N12="CO12",N13,0)+IF(O12="CO12",O13,0)+IF(P12="CO12",P13,0)+IF(Q12="CO12",Q13,0)+IF(R12="CO12",R13,0)+IF(S12="CO12",S13,0)+IF(T12="CO12",T13,0))=0,"-",IF(AS143&gt;=INPUT!A27,3,IF(AND(AS143&gt;=INPUT!A28,AS143&lt;INPUT!A27),2,IF(AND(AS143&gt;=INPUT!A29,AS143&lt;INPUT!A28),1,0))))</f>
        <v>-</v>
      </c>
    </row>
  </sheetData>
  <mergeCells count="45">
    <mergeCell ref="A140:AG140"/>
    <mergeCell ref="A141:AG141"/>
    <mergeCell ref="A142:AG142"/>
    <mergeCell ref="A143:AG143"/>
    <mergeCell ref="A144:AG144"/>
    <mergeCell ref="AO10:AO13"/>
    <mergeCell ref="AP10:AP13"/>
    <mergeCell ref="AQ10:AQ13"/>
    <mergeCell ref="AR10:AR13"/>
    <mergeCell ref="AS10:AS13"/>
    <mergeCell ref="A1:AN1"/>
    <mergeCell ref="A2:AN2"/>
    <mergeCell ref="A3:AN3"/>
    <mergeCell ref="A4:AN4"/>
    <mergeCell ref="A6:B6"/>
    <mergeCell ref="D6:F6"/>
    <mergeCell ref="L6:P6"/>
    <mergeCell ref="R6:U6"/>
    <mergeCell ref="A7:B7"/>
    <mergeCell ref="C7:H7"/>
    <mergeCell ref="L7:P7"/>
    <mergeCell ref="R7:AI7"/>
    <mergeCell ref="A10:A13"/>
    <mergeCell ref="B10:B13"/>
    <mergeCell ref="C10:C13"/>
    <mergeCell ref="V10:V13"/>
    <mergeCell ref="W10:W13"/>
    <mergeCell ref="X10:X13"/>
    <mergeCell ref="U11:U13"/>
    <mergeCell ref="Y10:Y13"/>
    <mergeCell ref="Z10:Z13"/>
    <mergeCell ref="AA10:AA13"/>
    <mergeCell ref="AC10:AC13"/>
    <mergeCell ref="AD10:AD13"/>
    <mergeCell ref="AN10:AN13"/>
    <mergeCell ref="AB10:AB13"/>
    <mergeCell ref="AJ10:AJ13"/>
    <mergeCell ref="AK10:AK13"/>
    <mergeCell ref="AL10:AL13"/>
    <mergeCell ref="AM10:AM13"/>
    <mergeCell ref="AH10:AH13"/>
    <mergeCell ref="AI10:AI13"/>
    <mergeCell ref="AE10:AE13"/>
    <mergeCell ref="AF10:AF13"/>
    <mergeCell ref="AG10:AG13"/>
  </mergeCells>
  <pageMargins left="0.19685039370078741" right="0.11811023622047245" top="0.35433070866141736" bottom="0.22" header="0.31496062992125984" footer="0.14000000000000001"/>
  <pageSetup paperSize="9"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C140"/>
  <sheetViews>
    <sheetView workbookViewId="0">
      <selection activeCell="C5" sqref="C1:AB1048576"/>
    </sheetView>
  </sheetViews>
  <sheetFormatPr defaultRowHeight="14.4"/>
  <cols>
    <col min="1" max="1" width="8" style="2" customWidth="1"/>
    <col min="2" max="2" width="14" style="2" customWidth="1"/>
    <col min="3" max="3" width="22.77734375" style="2" customWidth="1"/>
    <col min="4" max="15" width="8.77734375" style="2" customWidth="1"/>
    <col min="16" max="27" width="8.88671875" style="2" customWidth="1"/>
    <col min="28" max="28" width="13.109375" style="2" customWidth="1"/>
    <col min="29" max="16384" width="8.88671875" style="2"/>
  </cols>
  <sheetData>
    <row r="1" spans="1:29" ht="20.399999999999999">
      <c r="A1" s="144" t="s">
        <v>0</v>
      </c>
      <c r="B1" s="144"/>
      <c r="C1" s="144"/>
      <c r="D1" s="144"/>
      <c r="E1" s="144"/>
      <c r="F1" s="144"/>
      <c r="G1" s="144"/>
      <c r="H1" s="144"/>
      <c r="I1" s="144"/>
      <c r="J1" s="144"/>
      <c r="K1" s="144"/>
      <c r="L1" s="144"/>
      <c r="M1" s="144"/>
      <c r="N1" s="144"/>
      <c r="O1" s="144"/>
      <c r="P1" s="144"/>
      <c r="Q1" s="144"/>
      <c r="R1" s="144"/>
      <c r="S1" s="144"/>
      <c r="T1" s="144"/>
      <c r="U1" s="144"/>
      <c r="V1" s="144"/>
      <c r="W1" s="144"/>
      <c r="X1" s="144"/>
      <c r="Y1" s="144"/>
      <c r="Z1" s="144"/>
      <c r="AA1" s="144"/>
    </row>
    <row r="2" spans="1:29" ht="21">
      <c r="A2" s="155">
        <f>INPUT!B2</f>
        <v>0</v>
      </c>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row>
    <row r="3" spans="1:29" ht="21">
      <c r="A3" s="145" t="s">
        <v>48</v>
      </c>
      <c r="B3" s="145"/>
      <c r="C3" s="145"/>
      <c r="D3" s="145"/>
      <c r="E3" s="145"/>
      <c r="F3" s="145"/>
      <c r="G3" s="145"/>
      <c r="H3" s="145"/>
      <c r="I3" s="145"/>
      <c r="J3" s="145"/>
      <c r="K3" s="145"/>
      <c r="L3" s="145"/>
      <c r="M3" s="145"/>
      <c r="N3" s="145"/>
      <c r="O3" s="145"/>
      <c r="P3" s="145"/>
      <c r="Q3" s="145"/>
      <c r="R3" s="145"/>
      <c r="S3" s="145"/>
      <c r="T3" s="145"/>
      <c r="U3" s="145"/>
      <c r="V3" s="145"/>
      <c r="W3" s="145"/>
      <c r="X3" s="145"/>
      <c r="Y3" s="145"/>
      <c r="Z3" s="145"/>
      <c r="AA3" s="145"/>
    </row>
    <row r="4" spans="1:29" ht="21">
      <c r="A4" s="145"/>
      <c r="B4" s="145"/>
      <c r="C4" s="145"/>
      <c r="D4" s="145"/>
      <c r="E4" s="145"/>
      <c r="F4" s="145"/>
      <c r="G4" s="145"/>
      <c r="H4" s="145"/>
      <c r="I4" s="145"/>
      <c r="J4" s="145"/>
      <c r="K4" s="145"/>
      <c r="L4" s="145"/>
      <c r="M4" s="145"/>
      <c r="N4" s="145"/>
      <c r="O4" s="145"/>
      <c r="P4" s="145"/>
      <c r="Q4" s="145"/>
      <c r="R4" s="145"/>
      <c r="S4" s="145"/>
      <c r="T4" s="145"/>
      <c r="U4" s="145"/>
      <c r="V4" s="145"/>
      <c r="W4" s="145"/>
      <c r="X4" s="145"/>
      <c r="Y4" s="145"/>
      <c r="Z4" s="145"/>
      <c r="AA4" s="145"/>
      <c r="AB4" s="206" t="s">
        <v>165</v>
      </c>
      <c r="AC4" s="9">
        <v>5</v>
      </c>
    </row>
    <row r="5" spans="1:29" ht="15.6">
      <c r="A5" s="207" t="s">
        <v>62</v>
      </c>
      <c r="B5" s="207"/>
      <c r="C5" s="108">
        <f>INPUT!B3</f>
        <v>0</v>
      </c>
      <c r="D5" s="207" t="s">
        <v>64</v>
      </c>
      <c r="E5" s="207"/>
      <c r="F5" s="211">
        <f>INPUT!B4</f>
        <v>0</v>
      </c>
      <c r="G5" s="207" t="s">
        <v>68</v>
      </c>
      <c r="H5" s="207"/>
      <c r="I5" s="154">
        <f>INPUT!B5</f>
        <v>0</v>
      </c>
      <c r="J5" s="154"/>
      <c r="K5" s="107"/>
      <c r="L5" s="107"/>
      <c r="M5" s="107"/>
      <c r="N5" s="107"/>
      <c r="O5" s="107"/>
    </row>
    <row r="6" spans="1:29" ht="21">
      <c r="A6" s="207" t="s">
        <v>63</v>
      </c>
      <c r="B6" s="207"/>
      <c r="C6" s="154">
        <f>INPUT!B7</f>
        <v>0</v>
      </c>
      <c r="D6" s="154"/>
      <c r="E6" s="154"/>
      <c r="F6" s="106"/>
      <c r="G6" s="207" t="s">
        <v>67</v>
      </c>
      <c r="H6" s="207"/>
      <c r="I6" s="154">
        <f>INPUT!B6</f>
        <v>0</v>
      </c>
      <c r="J6" s="154"/>
      <c r="K6" s="107"/>
      <c r="L6" s="107"/>
      <c r="M6" s="107"/>
      <c r="N6" s="107"/>
      <c r="O6" s="107"/>
    </row>
    <row r="7" spans="1:29" ht="21">
      <c r="A7" s="208"/>
      <c r="B7" s="208"/>
      <c r="C7" s="107"/>
      <c r="D7" s="106"/>
      <c r="E7" s="106"/>
      <c r="F7" s="106"/>
      <c r="G7" s="208"/>
      <c r="H7" s="208"/>
      <c r="I7" s="107"/>
      <c r="J7" s="107"/>
      <c r="K7" s="107"/>
      <c r="L7" s="107"/>
      <c r="M7" s="107"/>
      <c r="N7" s="107"/>
      <c r="O7" s="107"/>
    </row>
    <row r="8" spans="1:29" ht="15.75" customHeight="1">
      <c r="A8" s="159" t="s">
        <v>73</v>
      </c>
      <c r="B8" s="165" t="s">
        <v>55</v>
      </c>
      <c r="C8" s="159" t="s">
        <v>1</v>
      </c>
      <c r="D8" s="159" t="s">
        <v>65</v>
      </c>
      <c r="E8" s="159"/>
      <c r="F8" s="159"/>
      <c r="G8" s="159"/>
      <c r="H8" s="159"/>
      <c r="I8" s="159"/>
      <c r="J8" s="159"/>
      <c r="K8" s="159"/>
      <c r="L8" s="159"/>
      <c r="M8" s="159"/>
      <c r="N8" s="159"/>
      <c r="O8" s="159"/>
      <c r="P8" s="159" t="s">
        <v>164</v>
      </c>
      <c r="Q8" s="159"/>
      <c r="R8" s="159"/>
      <c r="S8" s="159"/>
      <c r="T8" s="159"/>
      <c r="U8" s="159"/>
      <c r="V8" s="159"/>
      <c r="W8" s="159"/>
      <c r="X8" s="159"/>
      <c r="Y8" s="159"/>
      <c r="Z8" s="159"/>
      <c r="AA8" s="159"/>
    </row>
    <row r="9" spans="1:29" ht="96" customHeight="1">
      <c r="A9" s="159"/>
      <c r="B9" s="165"/>
      <c r="C9" s="159"/>
      <c r="D9" s="109" t="s">
        <v>4</v>
      </c>
      <c r="E9" s="109" t="s">
        <v>5</v>
      </c>
      <c r="F9" s="109" t="s">
        <v>6</v>
      </c>
      <c r="G9" s="109" t="s">
        <v>7</v>
      </c>
      <c r="H9" s="109" t="s">
        <v>8</v>
      </c>
      <c r="I9" s="109" t="s">
        <v>9</v>
      </c>
      <c r="J9" s="109" t="s">
        <v>10</v>
      </c>
      <c r="K9" s="109" t="s">
        <v>155</v>
      </c>
      <c r="L9" s="109" t="s">
        <v>160</v>
      </c>
      <c r="M9" s="109" t="s">
        <v>161</v>
      </c>
      <c r="N9" s="109" t="s">
        <v>162</v>
      </c>
      <c r="O9" s="109" t="s">
        <v>163</v>
      </c>
      <c r="P9" s="65" t="s">
        <v>98</v>
      </c>
      <c r="Q9" s="65" t="s">
        <v>99</v>
      </c>
      <c r="R9" s="65" t="s">
        <v>100</v>
      </c>
      <c r="S9" s="65" t="s">
        <v>101</v>
      </c>
      <c r="T9" s="65" t="s">
        <v>102</v>
      </c>
      <c r="U9" s="65" t="s">
        <v>103</v>
      </c>
      <c r="V9" s="65" t="s">
        <v>104</v>
      </c>
      <c r="W9" s="65" t="s">
        <v>154</v>
      </c>
      <c r="X9" s="65" t="s">
        <v>156</v>
      </c>
      <c r="Y9" s="65" t="s">
        <v>157</v>
      </c>
      <c r="Z9" s="65" t="s">
        <v>158</v>
      </c>
      <c r="AA9" s="65" t="s">
        <v>159</v>
      </c>
    </row>
    <row r="10" spans="1:29" ht="20.100000000000001" hidden="1" customHeight="1">
      <c r="A10" s="68">
        <f>'INTERNAL TEST-1  '!A14</f>
        <v>0</v>
      </c>
      <c r="B10" s="68">
        <f>'INTERNAL TEST-1  '!B14</f>
        <v>0</v>
      </c>
      <c r="C10" s="69">
        <f>'INTERNAL TEST-1  '!C14</f>
        <v>0</v>
      </c>
      <c r="D10" s="66"/>
      <c r="E10" s="66"/>
      <c r="F10" s="66"/>
      <c r="G10" s="66"/>
      <c r="H10" s="66"/>
      <c r="I10" s="66"/>
      <c r="J10" s="66"/>
      <c r="K10" s="66"/>
      <c r="L10" s="66"/>
      <c r="M10" s="66"/>
      <c r="N10" s="66"/>
      <c r="O10" s="66"/>
      <c r="P10" s="57" t="e">
        <f>(D10/#REF!)*100</f>
        <v>#REF!</v>
      </c>
      <c r="Q10" s="57" t="e">
        <f>(E10/#REF!)*100</f>
        <v>#REF!</v>
      </c>
      <c r="R10" s="57" t="e">
        <f>(F10/#REF!)*100</f>
        <v>#REF!</v>
      </c>
      <c r="S10" s="57" t="e">
        <f>(G10/#REF!)*100</f>
        <v>#REF!</v>
      </c>
      <c r="T10" s="57" t="e">
        <f>(H10/#REF!)*100</f>
        <v>#REF!</v>
      </c>
      <c r="U10" s="57" t="e">
        <f>(I10/#REF!)*100</f>
        <v>#REF!</v>
      </c>
      <c r="V10" s="57" t="e">
        <f>(J10/#REF!)*100</f>
        <v>#REF!</v>
      </c>
      <c r="W10" s="57" t="e">
        <f>(K10/#REF!)*100</f>
        <v>#REF!</v>
      </c>
      <c r="X10" s="57" t="e">
        <f>(L10/#REF!)*100</f>
        <v>#REF!</v>
      </c>
      <c r="Y10" s="57" t="e">
        <f>(M10/#REF!)*100</f>
        <v>#REF!</v>
      </c>
      <c r="Z10" s="57" t="e">
        <f>(N10/#REF!)*100</f>
        <v>#REF!</v>
      </c>
      <c r="AA10" s="57" t="e">
        <f>(O10/#REF!)*100</f>
        <v>#REF!</v>
      </c>
    </row>
    <row r="11" spans="1:29" ht="20.100000000000001" hidden="1" customHeight="1">
      <c r="A11" s="68">
        <f>'INTERNAL TEST-1  '!A15</f>
        <v>0</v>
      </c>
      <c r="B11" s="68">
        <f>'INTERNAL TEST-1  '!B15</f>
        <v>0</v>
      </c>
      <c r="C11" s="69">
        <f>'INTERNAL TEST-1  '!C15</f>
        <v>0</v>
      </c>
      <c r="D11" s="66"/>
      <c r="E11" s="66"/>
      <c r="F11" s="66"/>
      <c r="G11" s="66"/>
      <c r="H11" s="66"/>
      <c r="I11" s="66"/>
      <c r="J11" s="66"/>
      <c r="K11" s="66"/>
      <c r="L11" s="66"/>
      <c r="M11" s="66"/>
      <c r="N11" s="66"/>
      <c r="O11" s="66"/>
      <c r="P11" s="57" t="e">
        <f>(D11/#REF!)*100</f>
        <v>#REF!</v>
      </c>
      <c r="Q11" s="57" t="e">
        <f>(E11/#REF!)*100</f>
        <v>#REF!</v>
      </c>
      <c r="R11" s="57" t="e">
        <f>(F11/#REF!)*100</f>
        <v>#REF!</v>
      </c>
      <c r="S11" s="57" t="e">
        <f>(G11/#REF!)*100</f>
        <v>#REF!</v>
      </c>
      <c r="T11" s="57" t="e">
        <f>(H11/#REF!)*100</f>
        <v>#REF!</v>
      </c>
      <c r="U11" s="57" t="e">
        <f>(I11/#REF!)*100</f>
        <v>#REF!</v>
      </c>
      <c r="V11" s="57" t="e">
        <f>(J11/#REF!)*100</f>
        <v>#REF!</v>
      </c>
      <c r="W11" s="57" t="e">
        <f>(K11/#REF!)*100</f>
        <v>#REF!</v>
      </c>
      <c r="X11" s="57" t="e">
        <f>(L11/#REF!)*100</f>
        <v>#REF!</v>
      </c>
      <c r="Y11" s="57" t="e">
        <f>(M11/#REF!)*100</f>
        <v>#REF!</v>
      </c>
      <c r="Z11" s="57" t="e">
        <f>(N11/#REF!)*100</f>
        <v>#REF!</v>
      </c>
      <c r="AA11" s="57" t="e">
        <f>(O11/#REF!)*100</f>
        <v>#REF!</v>
      </c>
    </row>
    <row r="12" spans="1:29" ht="20.100000000000001" hidden="1" customHeight="1">
      <c r="A12" s="68">
        <f>'INTERNAL TEST-1  '!A16</f>
        <v>0</v>
      </c>
      <c r="B12" s="68">
        <f>'INTERNAL TEST-1  '!B16</f>
        <v>0</v>
      </c>
      <c r="C12" s="69">
        <f>'INTERNAL TEST-1  '!C16</f>
        <v>0</v>
      </c>
      <c r="D12" s="66"/>
      <c r="E12" s="66"/>
      <c r="F12" s="66"/>
      <c r="G12" s="66"/>
      <c r="H12" s="66"/>
      <c r="I12" s="66"/>
      <c r="J12" s="66"/>
      <c r="K12" s="66"/>
      <c r="L12" s="66"/>
      <c r="M12" s="66"/>
      <c r="N12" s="66"/>
      <c r="O12" s="66"/>
      <c r="P12" s="57" t="e">
        <f>(D12/#REF!)*100</f>
        <v>#REF!</v>
      </c>
      <c r="Q12" s="57" t="e">
        <f>(E12/#REF!)*100</f>
        <v>#REF!</v>
      </c>
      <c r="R12" s="57" t="e">
        <f>(F12/#REF!)*100</f>
        <v>#REF!</v>
      </c>
      <c r="S12" s="57" t="e">
        <f>(G12/#REF!)*100</f>
        <v>#REF!</v>
      </c>
      <c r="T12" s="57" t="e">
        <f>(H12/#REF!)*100</f>
        <v>#REF!</v>
      </c>
      <c r="U12" s="57" t="e">
        <f>(I12/#REF!)*100</f>
        <v>#REF!</v>
      </c>
      <c r="V12" s="57" t="e">
        <f>(J12/#REF!)*100</f>
        <v>#REF!</v>
      </c>
      <c r="W12" s="57" t="e">
        <f>(K12/#REF!)*100</f>
        <v>#REF!</v>
      </c>
      <c r="X12" s="57" t="e">
        <f>(L12/#REF!)*100</f>
        <v>#REF!</v>
      </c>
      <c r="Y12" s="57" t="e">
        <f>(M12/#REF!)*100</f>
        <v>#REF!</v>
      </c>
      <c r="Z12" s="57" t="e">
        <f>(N12/#REF!)*100</f>
        <v>#REF!</v>
      </c>
      <c r="AA12" s="57" t="e">
        <f>(O12/#REF!)*100</f>
        <v>#REF!</v>
      </c>
    </row>
    <row r="13" spans="1:29" ht="20.100000000000001" hidden="1" customHeight="1">
      <c r="A13" s="68">
        <f>'INTERNAL TEST-1  '!A17</f>
        <v>0</v>
      </c>
      <c r="B13" s="68">
        <f>'INTERNAL TEST-1  '!B17</f>
        <v>0</v>
      </c>
      <c r="C13" s="69">
        <f>'INTERNAL TEST-1  '!C17</f>
        <v>0</v>
      </c>
      <c r="D13" s="66"/>
      <c r="E13" s="66"/>
      <c r="F13" s="66"/>
      <c r="G13" s="66"/>
      <c r="H13" s="66"/>
      <c r="I13" s="66"/>
      <c r="J13" s="66"/>
      <c r="K13" s="66"/>
      <c r="L13" s="66"/>
      <c r="M13" s="66"/>
      <c r="N13" s="66"/>
      <c r="O13" s="66"/>
      <c r="P13" s="57" t="e">
        <f>(D13/#REF!)*100</f>
        <v>#REF!</v>
      </c>
      <c r="Q13" s="57" t="e">
        <f>(E13/#REF!)*100</f>
        <v>#REF!</v>
      </c>
      <c r="R13" s="57" t="e">
        <f>(F13/#REF!)*100</f>
        <v>#REF!</v>
      </c>
      <c r="S13" s="57" t="e">
        <f>(G13/#REF!)*100</f>
        <v>#REF!</v>
      </c>
      <c r="T13" s="57" t="e">
        <f>(H13/#REF!)*100</f>
        <v>#REF!</v>
      </c>
      <c r="U13" s="57" t="e">
        <f>(I13/#REF!)*100</f>
        <v>#REF!</v>
      </c>
      <c r="V13" s="57" t="e">
        <f>(J13/#REF!)*100</f>
        <v>#REF!</v>
      </c>
      <c r="W13" s="57" t="e">
        <f>(K13/#REF!)*100</f>
        <v>#REF!</v>
      </c>
      <c r="X13" s="57" t="e">
        <f>(L13/#REF!)*100</f>
        <v>#REF!</v>
      </c>
      <c r="Y13" s="57" t="e">
        <f>(M13/#REF!)*100</f>
        <v>#REF!</v>
      </c>
      <c r="Z13" s="57" t="e">
        <f>(N13/#REF!)*100</f>
        <v>#REF!</v>
      </c>
      <c r="AA13" s="57" t="e">
        <f>(O13/#REF!)*100</f>
        <v>#REF!</v>
      </c>
    </row>
    <row r="14" spans="1:29" ht="20.100000000000001" hidden="1" customHeight="1">
      <c r="A14" s="68">
        <f>'INTERNAL TEST-1  '!A18</f>
        <v>0</v>
      </c>
      <c r="B14" s="68">
        <f>'INTERNAL TEST-1  '!B18</f>
        <v>0</v>
      </c>
      <c r="C14" s="69">
        <f>'INTERNAL TEST-1  '!C18</f>
        <v>0</v>
      </c>
      <c r="D14" s="66"/>
      <c r="E14" s="66"/>
      <c r="F14" s="66"/>
      <c r="G14" s="66"/>
      <c r="H14" s="66"/>
      <c r="I14" s="66"/>
      <c r="J14" s="66"/>
      <c r="K14" s="66"/>
      <c r="L14" s="66"/>
      <c r="M14" s="66"/>
      <c r="N14" s="66"/>
      <c r="O14" s="66"/>
      <c r="P14" s="57" t="e">
        <f>(D14/#REF!)*100</f>
        <v>#REF!</v>
      </c>
      <c r="Q14" s="57" t="e">
        <f>(E14/#REF!)*100</f>
        <v>#REF!</v>
      </c>
      <c r="R14" s="57" t="e">
        <f>(F14/#REF!)*100</f>
        <v>#REF!</v>
      </c>
      <c r="S14" s="57" t="e">
        <f>(G14/#REF!)*100</f>
        <v>#REF!</v>
      </c>
      <c r="T14" s="57" t="e">
        <f>(H14/#REF!)*100</f>
        <v>#REF!</v>
      </c>
      <c r="U14" s="57" t="e">
        <f>(I14/#REF!)*100</f>
        <v>#REF!</v>
      </c>
      <c r="V14" s="57" t="e">
        <f>(J14/#REF!)*100</f>
        <v>#REF!</v>
      </c>
      <c r="W14" s="57" t="e">
        <f>(K14/#REF!)*100</f>
        <v>#REF!</v>
      </c>
      <c r="X14" s="57" t="e">
        <f>(L14/#REF!)*100</f>
        <v>#REF!</v>
      </c>
      <c r="Y14" s="57" t="e">
        <f>(M14/#REF!)*100</f>
        <v>#REF!</v>
      </c>
      <c r="Z14" s="57" t="e">
        <f>(N14/#REF!)*100</f>
        <v>#REF!</v>
      </c>
      <c r="AA14" s="57" t="e">
        <f>(O14/#REF!)*100</f>
        <v>#REF!</v>
      </c>
    </row>
    <row r="15" spans="1:29" ht="20.100000000000001" hidden="1" customHeight="1">
      <c r="A15" s="68">
        <f>'INTERNAL TEST-1  '!A19</f>
        <v>0</v>
      </c>
      <c r="B15" s="68">
        <f>'INTERNAL TEST-1  '!B19</f>
        <v>0</v>
      </c>
      <c r="C15" s="69">
        <f>'INTERNAL TEST-1  '!C19</f>
        <v>0</v>
      </c>
      <c r="D15" s="66"/>
      <c r="E15" s="66"/>
      <c r="F15" s="66"/>
      <c r="G15" s="66"/>
      <c r="H15" s="66"/>
      <c r="I15" s="66"/>
      <c r="J15" s="66"/>
      <c r="K15" s="66"/>
      <c r="L15" s="66"/>
      <c r="M15" s="66"/>
      <c r="N15" s="66"/>
      <c r="O15" s="66"/>
      <c r="P15" s="57" t="e">
        <f>(D15/#REF!)*100</f>
        <v>#REF!</v>
      </c>
      <c r="Q15" s="57" t="e">
        <f>(E15/#REF!)*100</f>
        <v>#REF!</v>
      </c>
      <c r="R15" s="57" t="e">
        <f>(F15/#REF!)*100</f>
        <v>#REF!</v>
      </c>
      <c r="S15" s="57" t="e">
        <f>(G15/#REF!)*100</f>
        <v>#REF!</v>
      </c>
      <c r="T15" s="57" t="e">
        <f>(H15/#REF!)*100</f>
        <v>#REF!</v>
      </c>
      <c r="U15" s="57" t="e">
        <f>(I15/#REF!)*100</f>
        <v>#REF!</v>
      </c>
      <c r="V15" s="57" t="e">
        <f>(J15/#REF!)*100</f>
        <v>#REF!</v>
      </c>
      <c r="W15" s="57" t="e">
        <f>(K15/#REF!)*100</f>
        <v>#REF!</v>
      </c>
      <c r="X15" s="57" t="e">
        <f>(L15/#REF!)*100</f>
        <v>#REF!</v>
      </c>
      <c r="Y15" s="57" t="e">
        <f>(M15/#REF!)*100</f>
        <v>#REF!</v>
      </c>
      <c r="Z15" s="57" t="e">
        <f>(N15/#REF!)*100</f>
        <v>#REF!</v>
      </c>
      <c r="AA15" s="57" t="e">
        <f>(O15/#REF!)*100</f>
        <v>#REF!</v>
      </c>
    </row>
    <row r="16" spans="1:29" ht="20.100000000000001" hidden="1" customHeight="1">
      <c r="A16" s="68">
        <f>'INTERNAL TEST-1  '!A20</f>
        <v>0</v>
      </c>
      <c r="B16" s="68">
        <f>'INTERNAL TEST-1  '!B20</f>
        <v>0</v>
      </c>
      <c r="C16" s="69">
        <f>'INTERNAL TEST-1  '!C20</f>
        <v>0</v>
      </c>
      <c r="D16" s="66"/>
      <c r="E16" s="66"/>
      <c r="F16" s="66"/>
      <c r="G16" s="66"/>
      <c r="H16" s="66"/>
      <c r="I16" s="66"/>
      <c r="J16" s="66"/>
      <c r="K16" s="66"/>
      <c r="L16" s="66"/>
      <c r="M16" s="66"/>
      <c r="N16" s="66"/>
      <c r="O16" s="66"/>
      <c r="P16" s="57" t="e">
        <f>(D16/#REF!)*100</f>
        <v>#REF!</v>
      </c>
      <c r="Q16" s="57" t="e">
        <f>(E16/#REF!)*100</f>
        <v>#REF!</v>
      </c>
      <c r="R16" s="57" t="e">
        <f>(F16/#REF!)*100</f>
        <v>#REF!</v>
      </c>
      <c r="S16" s="57" t="e">
        <f>(G16/#REF!)*100</f>
        <v>#REF!</v>
      </c>
      <c r="T16" s="57" t="e">
        <f>(H16/#REF!)*100</f>
        <v>#REF!</v>
      </c>
      <c r="U16" s="57" t="e">
        <f>(I16/#REF!)*100</f>
        <v>#REF!</v>
      </c>
      <c r="V16" s="57" t="e">
        <f>(J16/#REF!)*100</f>
        <v>#REF!</v>
      </c>
      <c r="W16" s="57" t="e">
        <f>(K16/#REF!)*100</f>
        <v>#REF!</v>
      </c>
      <c r="X16" s="57" t="e">
        <f>(L16/#REF!)*100</f>
        <v>#REF!</v>
      </c>
      <c r="Y16" s="57" t="e">
        <f>(M16/#REF!)*100</f>
        <v>#REF!</v>
      </c>
      <c r="Z16" s="57" t="e">
        <f>(N16/#REF!)*100</f>
        <v>#REF!</v>
      </c>
      <c r="AA16" s="57" t="e">
        <f>(O16/#REF!)*100</f>
        <v>#REF!</v>
      </c>
    </row>
    <row r="17" spans="1:27" ht="20.100000000000001" hidden="1" customHeight="1">
      <c r="A17" s="68">
        <f>'INTERNAL TEST-1  '!A21</f>
        <v>0</v>
      </c>
      <c r="B17" s="68">
        <f>'INTERNAL TEST-1  '!B21</f>
        <v>0</v>
      </c>
      <c r="C17" s="69">
        <f>'INTERNAL TEST-1  '!C21</f>
        <v>0</v>
      </c>
      <c r="D17" s="66"/>
      <c r="E17" s="66"/>
      <c r="F17" s="66"/>
      <c r="G17" s="66"/>
      <c r="H17" s="66"/>
      <c r="I17" s="66"/>
      <c r="J17" s="66"/>
      <c r="K17" s="66"/>
      <c r="L17" s="66"/>
      <c r="M17" s="66"/>
      <c r="N17" s="66"/>
      <c r="O17" s="66"/>
      <c r="P17" s="57" t="e">
        <f>(D17/#REF!)*100</f>
        <v>#REF!</v>
      </c>
      <c r="Q17" s="57" t="e">
        <f>(E17/#REF!)*100</f>
        <v>#REF!</v>
      </c>
      <c r="R17" s="57" t="e">
        <f>(F17/#REF!)*100</f>
        <v>#REF!</v>
      </c>
      <c r="S17" s="57" t="e">
        <f>(G17/#REF!)*100</f>
        <v>#REF!</v>
      </c>
      <c r="T17" s="57" t="e">
        <f>(H17/#REF!)*100</f>
        <v>#REF!</v>
      </c>
      <c r="U17" s="57" t="e">
        <f>(I17/#REF!)*100</f>
        <v>#REF!</v>
      </c>
      <c r="V17" s="57" t="e">
        <f>(J17/#REF!)*100</f>
        <v>#REF!</v>
      </c>
      <c r="W17" s="57" t="e">
        <f>(K17/#REF!)*100</f>
        <v>#REF!</v>
      </c>
      <c r="X17" s="57" t="e">
        <f>(L17/#REF!)*100</f>
        <v>#REF!</v>
      </c>
      <c r="Y17" s="57" t="e">
        <f>(M17/#REF!)*100</f>
        <v>#REF!</v>
      </c>
      <c r="Z17" s="57" t="e">
        <f>(N17/#REF!)*100</f>
        <v>#REF!</v>
      </c>
      <c r="AA17" s="57" t="e">
        <f>(O17/#REF!)*100</f>
        <v>#REF!</v>
      </c>
    </row>
    <row r="18" spans="1:27" ht="20.100000000000001" hidden="1" customHeight="1">
      <c r="A18" s="68">
        <f>'INTERNAL TEST-1  '!A22</f>
        <v>0</v>
      </c>
      <c r="B18" s="68">
        <f>'INTERNAL TEST-1  '!B22</f>
        <v>0</v>
      </c>
      <c r="C18" s="69">
        <f>'INTERNAL TEST-1  '!C22</f>
        <v>0</v>
      </c>
      <c r="D18" s="66"/>
      <c r="E18" s="66"/>
      <c r="F18" s="66"/>
      <c r="G18" s="66"/>
      <c r="H18" s="66"/>
      <c r="I18" s="66"/>
      <c r="J18" s="66"/>
      <c r="K18" s="66"/>
      <c r="L18" s="66"/>
      <c r="M18" s="66"/>
      <c r="N18" s="66"/>
      <c r="O18" s="66"/>
      <c r="P18" s="57" t="e">
        <f>(D18/#REF!)*100</f>
        <v>#REF!</v>
      </c>
      <c r="Q18" s="57" t="e">
        <f>(E18/#REF!)*100</f>
        <v>#REF!</v>
      </c>
      <c r="R18" s="57" t="e">
        <f>(F18/#REF!)*100</f>
        <v>#REF!</v>
      </c>
      <c r="S18" s="57" t="e">
        <f>(G18/#REF!)*100</f>
        <v>#REF!</v>
      </c>
      <c r="T18" s="57" t="e">
        <f>(H18/#REF!)*100</f>
        <v>#REF!</v>
      </c>
      <c r="U18" s="57" t="e">
        <f>(I18/#REF!)*100</f>
        <v>#REF!</v>
      </c>
      <c r="V18" s="57" t="e">
        <f>(J18/#REF!)*100</f>
        <v>#REF!</v>
      </c>
      <c r="W18" s="57" t="e">
        <f>(K18/#REF!)*100</f>
        <v>#REF!</v>
      </c>
      <c r="X18" s="57" t="e">
        <f>(L18/#REF!)*100</f>
        <v>#REF!</v>
      </c>
      <c r="Y18" s="57" t="e">
        <f>(M18/#REF!)*100</f>
        <v>#REF!</v>
      </c>
      <c r="Z18" s="57" t="e">
        <f>(N18/#REF!)*100</f>
        <v>#REF!</v>
      </c>
      <c r="AA18" s="57" t="e">
        <f>(O18/#REF!)*100</f>
        <v>#REF!</v>
      </c>
    </row>
    <row r="19" spans="1:27" ht="20.100000000000001" hidden="1" customHeight="1">
      <c r="A19" s="68">
        <f>'INTERNAL TEST-1  '!A23</f>
        <v>0</v>
      </c>
      <c r="B19" s="68">
        <f>'INTERNAL TEST-1  '!B23</f>
        <v>0</v>
      </c>
      <c r="C19" s="69">
        <f>'INTERNAL TEST-1  '!C23</f>
        <v>0</v>
      </c>
      <c r="D19" s="66"/>
      <c r="E19" s="66"/>
      <c r="F19" s="66"/>
      <c r="G19" s="66"/>
      <c r="H19" s="66"/>
      <c r="I19" s="66"/>
      <c r="J19" s="66"/>
      <c r="K19" s="66"/>
      <c r="L19" s="66"/>
      <c r="M19" s="66"/>
      <c r="N19" s="66"/>
      <c r="O19" s="66"/>
      <c r="P19" s="57" t="e">
        <f>(D19/#REF!)*100</f>
        <v>#REF!</v>
      </c>
      <c r="Q19" s="57" t="e">
        <f>(E19/#REF!)*100</f>
        <v>#REF!</v>
      </c>
      <c r="R19" s="57" t="e">
        <f>(F19/#REF!)*100</f>
        <v>#REF!</v>
      </c>
      <c r="S19" s="57" t="e">
        <f>(G19/#REF!)*100</f>
        <v>#REF!</v>
      </c>
      <c r="T19" s="57" t="e">
        <f>(H19/#REF!)*100</f>
        <v>#REF!</v>
      </c>
      <c r="U19" s="57" t="e">
        <f>(I19/#REF!)*100</f>
        <v>#REF!</v>
      </c>
      <c r="V19" s="57" t="e">
        <f>(J19/#REF!)*100</f>
        <v>#REF!</v>
      </c>
      <c r="W19" s="57" t="e">
        <f>(K19/#REF!)*100</f>
        <v>#REF!</v>
      </c>
      <c r="X19" s="57" t="e">
        <f>(L19/#REF!)*100</f>
        <v>#REF!</v>
      </c>
      <c r="Y19" s="57" t="e">
        <f>(M19/#REF!)*100</f>
        <v>#REF!</v>
      </c>
      <c r="Z19" s="57" t="e">
        <f>(N19/#REF!)*100</f>
        <v>#REF!</v>
      </c>
      <c r="AA19" s="57" t="e">
        <f>(O19/#REF!)*100</f>
        <v>#REF!</v>
      </c>
    </row>
    <row r="20" spans="1:27" ht="20.100000000000001" hidden="1" customHeight="1">
      <c r="A20" s="68">
        <f>'INTERNAL TEST-1  '!A24</f>
        <v>0</v>
      </c>
      <c r="B20" s="68">
        <f>'INTERNAL TEST-1  '!B24</f>
        <v>0</v>
      </c>
      <c r="C20" s="69">
        <f>'INTERNAL TEST-1  '!C24</f>
        <v>0</v>
      </c>
      <c r="D20" s="66"/>
      <c r="E20" s="66"/>
      <c r="F20" s="66"/>
      <c r="G20" s="66"/>
      <c r="H20" s="66"/>
      <c r="I20" s="66"/>
      <c r="J20" s="66"/>
      <c r="K20" s="66"/>
      <c r="L20" s="66"/>
      <c r="M20" s="66"/>
      <c r="N20" s="66"/>
      <c r="O20" s="66"/>
      <c r="P20" s="57" t="e">
        <f>(D20/#REF!)*100</f>
        <v>#REF!</v>
      </c>
      <c r="Q20" s="57" t="e">
        <f>(E20/#REF!)*100</f>
        <v>#REF!</v>
      </c>
      <c r="R20" s="57" t="e">
        <f>(F20/#REF!)*100</f>
        <v>#REF!</v>
      </c>
      <c r="S20" s="57" t="e">
        <f>(G20/#REF!)*100</f>
        <v>#REF!</v>
      </c>
      <c r="T20" s="57" t="e">
        <f>(H20/#REF!)*100</f>
        <v>#REF!</v>
      </c>
      <c r="U20" s="57" t="e">
        <f>(I20/#REF!)*100</f>
        <v>#REF!</v>
      </c>
      <c r="V20" s="57" t="e">
        <f>(J20/#REF!)*100</f>
        <v>#REF!</v>
      </c>
      <c r="W20" s="57" t="e">
        <f>(K20/#REF!)*100</f>
        <v>#REF!</v>
      </c>
      <c r="X20" s="57" t="e">
        <f>(L20/#REF!)*100</f>
        <v>#REF!</v>
      </c>
      <c r="Y20" s="57" t="e">
        <f>(M20/#REF!)*100</f>
        <v>#REF!</v>
      </c>
      <c r="Z20" s="57" t="e">
        <f>(N20/#REF!)*100</f>
        <v>#REF!</v>
      </c>
      <c r="AA20" s="57" t="e">
        <f>(O20/#REF!)*100</f>
        <v>#REF!</v>
      </c>
    </row>
    <row r="21" spans="1:27" ht="20.100000000000001" hidden="1" customHeight="1">
      <c r="A21" s="68">
        <f>'INTERNAL TEST-1  '!A25</f>
        <v>0</v>
      </c>
      <c r="B21" s="68">
        <f>'INTERNAL TEST-1  '!B25</f>
        <v>0</v>
      </c>
      <c r="C21" s="69">
        <f>'INTERNAL TEST-1  '!C25</f>
        <v>0</v>
      </c>
      <c r="D21" s="66"/>
      <c r="E21" s="66"/>
      <c r="F21" s="66"/>
      <c r="G21" s="66"/>
      <c r="H21" s="66"/>
      <c r="I21" s="66"/>
      <c r="J21" s="66"/>
      <c r="K21" s="66"/>
      <c r="L21" s="66"/>
      <c r="M21" s="66"/>
      <c r="N21" s="66"/>
      <c r="O21" s="66"/>
      <c r="P21" s="57" t="e">
        <f>(D21/#REF!)*100</f>
        <v>#REF!</v>
      </c>
      <c r="Q21" s="57" t="e">
        <f>(E21/#REF!)*100</f>
        <v>#REF!</v>
      </c>
      <c r="R21" s="57" t="e">
        <f>(F21/#REF!)*100</f>
        <v>#REF!</v>
      </c>
      <c r="S21" s="57" t="e">
        <f>(G21/#REF!)*100</f>
        <v>#REF!</v>
      </c>
      <c r="T21" s="57" t="e">
        <f>(H21/#REF!)*100</f>
        <v>#REF!</v>
      </c>
      <c r="U21" s="57" t="e">
        <f>(I21/#REF!)*100</f>
        <v>#REF!</v>
      </c>
      <c r="V21" s="57" t="e">
        <f>(J21/#REF!)*100</f>
        <v>#REF!</v>
      </c>
      <c r="W21" s="57" t="e">
        <f>(K21/#REF!)*100</f>
        <v>#REF!</v>
      </c>
      <c r="X21" s="57" t="e">
        <f>(L21/#REF!)*100</f>
        <v>#REF!</v>
      </c>
      <c r="Y21" s="57" t="e">
        <f>(M21/#REF!)*100</f>
        <v>#REF!</v>
      </c>
      <c r="Z21" s="57" t="e">
        <f>(N21/#REF!)*100</f>
        <v>#REF!</v>
      </c>
      <c r="AA21" s="57" t="e">
        <f>(O21/#REF!)*100</f>
        <v>#REF!</v>
      </c>
    </row>
    <row r="22" spans="1:27" ht="20.100000000000001" hidden="1" customHeight="1">
      <c r="A22" s="68">
        <f>'INTERNAL TEST-1  '!A26</f>
        <v>0</v>
      </c>
      <c r="B22" s="68">
        <f>'INTERNAL TEST-1  '!B26</f>
        <v>0</v>
      </c>
      <c r="C22" s="69">
        <f>'INTERNAL TEST-1  '!C26</f>
        <v>0</v>
      </c>
      <c r="D22" s="66"/>
      <c r="E22" s="66"/>
      <c r="F22" s="66"/>
      <c r="G22" s="66"/>
      <c r="H22" s="66"/>
      <c r="I22" s="66"/>
      <c r="J22" s="66"/>
      <c r="K22" s="66"/>
      <c r="L22" s="66"/>
      <c r="M22" s="66"/>
      <c r="N22" s="66"/>
      <c r="O22" s="66"/>
      <c r="P22" s="57" t="e">
        <f>(D22/#REF!)*100</f>
        <v>#REF!</v>
      </c>
      <c r="Q22" s="57" t="e">
        <f>(E22/#REF!)*100</f>
        <v>#REF!</v>
      </c>
      <c r="R22" s="57" t="e">
        <f>(F22/#REF!)*100</f>
        <v>#REF!</v>
      </c>
      <c r="S22" s="57" t="e">
        <f>(G22/#REF!)*100</f>
        <v>#REF!</v>
      </c>
      <c r="T22" s="57" t="e">
        <f>(H22/#REF!)*100</f>
        <v>#REF!</v>
      </c>
      <c r="U22" s="57" t="e">
        <f>(I22/#REF!)*100</f>
        <v>#REF!</v>
      </c>
      <c r="V22" s="57" t="e">
        <f>(J22/#REF!)*100</f>
        <v>#REF!</v>
      </c>
      <c r="W22" s="57" t="e">
        <f>(K22/#REF!)*100</f>
        <v>#REF!</v>
      </c>
      <c r="X22" s="57" t="e">
        <f>(L22/#REF!)*100</f>
        <v>#REF!</v>
      </c>
      <c r="Y22" s="57" t="e">
        <f>(M22/#REF!)*100</f>
        <v>#REF!</v>
      </c>
      <c r="Z22" s="57" t="e">
        <f>(N22/#REF!)*100</f>
        <v>#REF!</v>
      </c>
      <c r="AA22" s="57" t="e">
        <f>(O22/#REF!)*100</f>
        <v>#REF!</v>
      </c>
    </row>
    <row r="23" spans="1:27" ht="20.100000000000001" hidden="1" customHeight="1">
      <c r="A23" s="68">
        <f>'INTERNAL TEST-1  '!A27</f>
        <v>0</v>
      </c>
      <c r="B23" s="68">
        <f>'INTERNAL TEST-1  '!B27</f>
        <v>0</v>
      </c>
      <c r="C23" s="69">
        <f>'INTERNAL TEST-1  '!C27</f>
        <v>0</v>
      </c>
      <c r="D23" s="66"/>
      <c r="E23" s="66"/>
      <c r="F23" s="66"/>
      <c r="G23" s="66"/>
      <c r="H23" s="66"/>
      <c r="I23" s="66"/>
      <c r="J23" s="66"/>
      <c r="K23" s="66"/>
      <c r="L23" s="66"/>
      <c r="M23" s="66"/>
      <c r="N23" s="66"/>
      <c r="O23" s="66"/>
      <c r="P23" s="57" t="e">
        <f>(D23/#REF!)*100</f>
        <v>#REF!</v>
      </c>
      <c r="Q23" s="57" t="e">
        <f>(E23/#REF!)*100</f>
        <v>#REF!</v>
      </c>
      <c r="R23" s="57" t="e">
        <f>(F23/#REF!)*100</f>
        <v>#REF!</v>
      </c>
      <c r="S23" s="57" t="e">
        <f>(G23/#REF!)*100</f>
        <v>#REF!</v>
      </c>
      <c r="T23" s="57" t="e">
        <f>(H23/#REF!)*100</f>
        <v>#REF!</v>
      </c>
      <c r="U23" s="57" t="e">
        <f>(I23/#REF!)*100</f>
        <v>#REF!</v>
      </c>
      <c r="V23" s="57" t="e">
        <f>(J23/#REF!)*100</f>
        <v>#REF!</v>
      </c>
      <c r="W23" s="57" t="e">
        <f>(K23/#REF!)*100</f>
        <v>#REF!</v>
      </c>
      <c r="X23" s="57" t="e">
        <f>(L23/#REF!)*100</f>
        <v>#REF!</v>
      </c>
      <c r="Y23" s="57" t="e">
        <f>(M23/#REF!)*100</f>
        <v>#REF!</v>
      </c>
      <c r="Z23" s="57" t="e">
        <f>(N23/#REF!)*100</f>
        <v>#REF!</v>
      </c>
      <c r="AA23" s="57" t="e">
        <f>(O23/#REF!)*100</f>
        <v>#REF!</v>
      </c>
    </row>
    <row r="24" spans="1:27" ht="20.100000000000001" hidden="1" customHeight="1">
      <c r="A24" s="68">
        <f>'INTERNAL TEST-1  '!A28</f>
        <v>0</v>
      </c>
      <c r="B24" s="68">
        <f>'INTERNAL TEST-1  '!B28</f>
        <v>0</v>
      </c>
      <c r="C24" s="69">
        <f>'INTERNAL TEST-1  '!C28</f>
        <v>0</v>
      </c>
      <c r="D24" s="66"/>
      <c r="E24" s="66"/>
      <c r="F24" s="66"/>
      <c r="G24" s="66"/>
      <c r="H24" s="66"/>
      <c r="I24" s="66"/>
      <c r="J24" s="66"/>
      <c r="K24" s="66"/>
      <c r="L24" s="66"/>
      <c r="M24" s="66"/>
      <c r="N24" s="66"/>
      <c r="O24" s="66"/>
      <c r="P24" s="57" t="e">
        <f>(D24/#REF!)*100</f>
        <v>#REF!</v>
      </c>
      <c r="Q24" s="57" t="e">
        <f>(E24/#REF!)*100</f>
        <v>#REF!</v>
      </c>
      <c r="R24" s="57" t="e">
        <f>(F24/#REF!)*100</f>
        <v>#REF!</v>
      </c>
      <c r="S24" s="57" t="e">
        <f>(G24/#REF!)*100</f>
        <v>#REF!</v>
      </c>
      <c r="T24" s="57" t="e">
        <f>(H24/#REF!)*100</f>
        <v>#REF!</v>
      </c>
      <c r="U24" s="57" t="e">
        <f>(I24/#REF!)*100</f>
        <v>#REF!</v>
      </c>
      <c r="V24" s="57" t="e">
        <f>(J24/#REF!)*100</f>
        <v>#REF!</v>
      </c>
      <c r="W24" s="57" t="e">
        <f>(K24/#REF!)*100</f>
        <v>#REF!</v>
      </c>
      <c r="X24" s="57" t="e">
        <f>(L24/#REF!)*100</f>
        <v>#REF!</v>
      </c>
      <c r="Y24" s="57" t="e">
        <f>(M24/#REF!)*100</f>
        <v>#REF!</v>
      </c>
      <c r="Z24" s="57" t="e">
        <f>(N24/#REF!)*100</f>
        <v>#REF!</v>
      </c>
      <c r="AA24" s="57" t="e">
        <f>(O24/#REF!)*100</f>
        <v>#REF!</v>
      </c>
    </row>
    <row r="25" spans="1:27" ht="20.100000000000001" hidden="1" customHeight="1">
      <c r="A25" s="68">
        <f>'INTERNAL TEST-1  '!A29</f>
        <v>0</v>
      </c>
      <c r="B25" s="68">
        <f>'INTERNAL TEST-1  '!B29</f>
        <v>0</v>
      </c>
      <c r="C25" s="69">
        <f>'INTERNAL TEST-1  '!C29</f>
        <v>0</v>
      </c>
      <c r="D25" s="66"/>
      <c r="E25" s="66"/>
      <c r="F25" s="66"/>
      <c r="G25" s="66"/>
      <c r="H25" s="66"/>
      <c r="I25" s="66"/>
      <c r="J25" s="66"/>
      <c r="K25" s="66"/>
      <c r="L25" s="66"/>
      <c r="M25" s="66"/>
      <c r="N25" s="66"/>
      <c r="O25" s="66"/>
      <c r="P25" s="57" t="e">
        <f>(D25/#REF!)*100</f>
        <v>#REF!</v>
      </c>
      <c r="Q25" s="57" t="e">
        <f>(E25/#REF!)*100</f>
        <v>#REF!</v>
      </c>
      <c r="R25" s="57" t="e">
        <f>(F25/#REF!)*100</f>
        <v>#REF!</v>
      </c>
      <c r="S25" s="57" t="e">
        <f>(G25/#REF!)*100</f>
        <v>#REF!</v>
      </c>
      <c r="T25" s="57" t="e">
        <f>(H25/#REF!)*100</f>
        <v>#REF!</v>
      </c>
      <c r="U25" s="57" t="e">
        <f>(I25/#REF!)*100</f>
        <v>#REF!</v>
      </c>
      <c r="V25" s="57" t="e">
        <f>(J25/#REF!)*100</f>
        <v>#REF!</v>
      </c>
      <c r="W25" s="57" t="e">
        <f>(K25/#REF!)*100</f>
        <v>#REF!</v>
      </c>
      <c r="X25" s="57" t="e">
        <f>(L25/#REF!)*100</f>
        <v>#REF!</v>
      </c>
      <c r="Y25" s="57" t="e">
        <f>(M25/#REF!)*100</f>
        <v>#REF!</v>
      </c>
      <c r="Z25" s="57" t="e">
        <f>(N25/#REF!)*100</f>
        <v>#REF!</v>
      </c>
      <c r="AA25" s="57" t="e">
        <f>(O25/#REF!)*100</f>
        <v>#REF!</v>
      </c>
    </row>
    <row r="26" spans="1:27" ht="20.100000000000001" hidden="1" customHeight="1">
      <c r="A26" s="68">
        <f>'INTERNAL TEST-1  '!A30</f>
        <v>0</v>
      </c>
      <c r="B26" s="68">
        <f>'INTERNAL TEST-1  '!B30</f>
        <v>0</v>
      </c>
      <c r="C26" s="69">
        <f>'INTERNAL TEST-1  '!C30</f>
        <v>0</v>
      </c>
      <c r="D26" s="66"/>
      <c r="E26" s="66"/>
      <c r="F26" s="66"/>
      <c r="G26" s="66"/>
      <c r="H26" s="66"/>
      <c r="I26" s="66"/>
      <c r="J26" s="66"/>
      <c r="K26" s="66"/>
      <c r="L26" s="66"/>
      <c r="M26" s="66"/>
      <c r="N26" s="66"/>
      <c r="O26" s="66"/>
      <c r="P26" s="57" t="e">
        <f>(D26/#REF!)*100</f>
        <v>#REF!</v>
      </c>
      <c r="Q26" s="57" t="e">
        <f>(E26/#REF!)*100</f>
        <v>#REF!</v>
      </c>
      <c r="R26" s="57" t="e">
        <f>(F26/#REF!)*100</f>
        <v>#REF!</v>
      </c>
      <c r="S26" s="57" t="e">
        <f>(G26/#REF!)*100</f>
        <v>#REF!</v>
      </c>
      <c r="T26" s="57" t="e">
        <f>(H26/#REF!)*100</f>
        <v>#REF!</v>
      </c>
      <c r="U26" s="57" t="e">
        <f>(I26/#REF!)*100</f>
        <v>#REF!</v>
      </c>
      <c r="V26" s="57" t="e">
        <f>(J26/#REF!)*100</f>
        <v>#REF!</v>
      </c>
      <c r="W26" s="57" t="e">
        <f>(K26/#REF!)*100</f>
        <v>#REF!</v>
      </c>
      <c r="X26" s="57" t="e">
        <f>(L26/#REF!)*100</f>
        <v>#REF!</v>
      </c>
      <c r="Y26" s="57" t="e">
        <f>(M26/#REF!)*100</f>
        <v>#REF!</v>
      </c>
      <c r="Z26" s="57" t="e">
        <f>(N26/#REF!)*100</f>
        <v>#REF!</v>
      </c>
      <c r="AA26" s="57" t="e">
        <f>(O26/#REF!)*100</f>
        <v>#REF!</v>
      </c>
    </row>
    <row r="27" spans="1:27" ht="20.100000000000001" hidden="1" customHeight="1">
      <c r="A27" s="68">
        <f>'INTERNAL TEST-1  '!A31</f>
        <v>0</v>
      </c>
      <c r="B27" s="68">
        <f>'INTERNAL TEST-1  '!B31</f>
        <v>0</v>
      </c>
      <c r="C27" s="69">
        <f>'INTERNAL TEST-1  '!C31</f>
        <v>0</v>
      </c>
      <c r="D27" s="66"/>
      <c r="E27" s="66"/>
      <c r="F27" s="66"/>
      <c r="G27" s="66"/>
      <c r="H27" s="66"/>
      <c r="I27" s="66"/>
      <c r="J27" s="66"/>
      <c r="K27" s="66"/>
      <c r="L27" s="66"/>
      <c r="M27" s="66"/>
      <c r="N27" s="66"/>
      <c r="O27" s="66"/>
      <c r="P27" s="57" t="e">
        <f>(D27/#REF!)*100</f>
        <v>#REF!</v>
      </c>
      <c r="Q27" s="57" t="e">
        <f>(E27/#REF!)*100</f>
        <v>#REF!</v>
      </c>
      <c r="R27" s="57" t="e">
        <f>(F27/#REF!)*100</f>
        <v>#REF!</v>
      </c>
      <c r="S27" s="57" t="e">
        <f>(G27/#REF!)*100</f>
        <v>#REF!</v>
      </c>
      <c r="T27" s="57" t="e">
        <f>(H27/#REF!)*100</f>
        <v>#REF!</v>
      </c>
      <c r="U27" s="57" t="e">
        <f>(I27/#REF!)*100</f>
        <v>#REF!</v>
      </c>
      <c r="V27" s="57" t="e">
        <f>(J27/#REF!)*100</f>
        <v>#REF!</v>
      </c>
      <c r="W27" s="57" t="e">
        <f>(K27/#REF!)*100</f>
        <v>#REF!</v>
      </c>
      <c r="X27" s="57" t="e">
        <f>(L27/#REF!)*100</f>
        <v>#REF!</v>
      </c>
      <c r="Y27" s="57" t="e">
        <f>(M27/#REF!)*100</f>
        <v>#REF!</v>
      </c>
      <c r="Z27" s="57" t="e">
        <f>(N27/#REF!)*100</f>
        <v>#REF!</v>
      </c>
      <c r="AA27" s="57" t="e">
        <f>(O27/#REF!)*100</f>
        <v>#REF!</v>
      </c>
    </row>
    <row r="28" spans="1:27" ht="20.100000000000001" hidden="1" customHeight="1">
      <c r="A28" s="68">
        <f>'INTERNAL TEST-1  '!A32</f>
        <v>0</v>
      </c>
      <c r="B28" s="68">
        <f>'INTERNAL TEST-1  '!B32</f>
        <v>0</v>
      </c>
      <c r="C28" s="69">
        <f>'INTERNAL TEST-1  '!C32</f>
        <v>0</v>
      </c>
      <c r="D28" s="66"/>
      <c r="E28" s="66"/>
      <c r="F28" s="66"/>
      <c r="G28" s="66"/>
      <c r="H28" s="66"/>
      <c r="I28" s="66"/>
      <c r="J28" s="66"/>
      <c r="K28" s="66"/>
      <c r="L28" s="66"/>
      <c r="M28" s="66"/>
      <c r="N28" s="66"/>
      <c r="O28" s="66"/>
      <c r="P28" s="57" t="e">
        <f>(D28/#REF!)*100</f>
        <v>#REF!</v>
      </c>
      <c r="Q28" s="57" t="e">
        <f>(E28/#REF!)*100</f>
        <v>#REF!</v>
      </c>
      <c r="R28" s="57" t="e">
        <f>(F28/#REF!)*100</f>
        <v>#REF!</v>
      </c>
      <c r="S28" s="57" t="e">
        <f>(G28/#REF!)*100</f>
        <v>#REF!</v>
      </c>
      <c r="T28" s="57" t="e">
        <f>(H28/#REF!)*100</f>
        <v>#REF!</v>
      </c>
      <c r="U28" s="57" t="e">
        <f>(I28/#REF!)*100</f>
        <v>#REF!</v>
      </c>
      <c r="V28" s="57" t="e">
        <f>(J28/#REF!)*100</f>
        <v>#REF!</v>
      </c>
      <c r="W28" s="57" t="e">
        <f>(K28/#REF!)*100</f>
        <v>#REF!</v>
      </c>
      <c r="X28" s="57" t="e">
        <f>(L28/#REF!)*100</f>
        <v>#REF!</v>
      </c>
      <c r="Y28" s="57" t="e">
        <f>(M28/#REF!)*100</f>
        <v>#REF!</v>
      </c>
      <c r="Z28" s="57" t="e">
        <f>(N28/#REF!)*100</f>
        <v>#REF!</v>
      </c>
      <c r="AA28" s="57" t="e">
        <f>(O28/#REF!)*100</f>
        <v>#REF!</v>
      </c>
    </row>
    <row r="29" spans="1:27" ht="20.100000000000001" hidden="1" customHeight="1">
      <c r="A29" s="68">
        <f>'INTERNAL TEST-1  '!A33</f>
        <v>0</v>
      </c>
      <c r="B29" s="68">
        <f>'INTERNAL TEST-1  '!B33</f>
        <v>0</v>
      </c>
      <c r="C29" s="69">
        <f>'INTERNAL TEST-1  '!C33</f>
        <v>0</v>
      </c>
      <c r="D29" s="66"/>
      <c r="E29" s="66"/>
      <c r="F29" s="66"/>
      <c r="G29" s="66"/>
      <c r="H29" s="66"/>
      <c r="I29" s="66"/>
      <c r="J29" s="66"/>
      <c r="K29" s="66"/>
      <c r="L29" s="66"/>
      <c r="M29" s="66"/>
      <c r="N29" s="66"/>
      <c r="O29" s="66"/>
      <c r="P29" s="57" t="e">
        <f>(D29/#REF!)*100</f>
        <v>#REF!</v>
      </c>
      <c r="Q29" s="57" t="e">
        <f>(E29/#REF!)*100</f>
        <v>#REF!</v>
      </c>
      <c r="R29" s="57" t="e">
        <f>(F29/#REF!)*100</f>
        <v>#REF!</v>
      </c>
      <c r="S29" s="57" t="e">
        <f>(G29/#REF!)*100</f>
        <v>#REF!</v>
      </c>
      <c r="T29" s="57" t="e">
        <f>(H29/#REF!)*100</f>
        <v>#REF!</v>
      </c>
      <c r="U29" s="57" t="e">
        <f>(I29/#REF!)*100</f>
        <v>#REF!</v>
      </c>
      <c r="V29" s="57" t="e">
        <f>(J29/#REF!)*100</f>
        <v>#REF!</v>
      </c>
      <c r="W29" s="57" t="e">
        <f>(K29/#REF!)*100</f>
        <v>#REF!</v>
      </c>
      <c r="X29" s="57" t="e">
        <f>(L29/#REF!)*100</f>
        <v>#REF!</v>
      </c>
      <c r="Y29" s="57" t="e">
        <f>(M29/#REF!)*100</f>
        <v>#REF!</v>
      </c>
      <c r="Z29" s="57" t="e">
        <f>(N29/#REF!)*100</f>
        <v>#REF!</v>
      </c>
      <c r="AA29" s="57" t="e">
        <f>(O29/#REF!)*100</f>
        <v>#REF!</v>
      </c>
    </row>
    <row r="30" spans="1:27" ht="20.100000000000001" hidden="1" customHeight="1">
      <c r="A30" s="68">
        <f>'INTERNAL TEST-1  '!A34</f>
        <v>0</v>
      </c>
      <c r="B30" s="68">
        <f>'INTERNAL TEST-1  '!B34</f>
        <v>0</v>
      </c>
      <c r="C30" s="69">
        <f>'INTERNAL TEST-1  '!C34</f>
        <v>0</v>
      </c>
      <c r="D30" s="66"/>
      <c r="E30" s="66"/>
      <c r="F30" s="66"/>
      <c r="G30" s="66"/>
      <c r="H30" s="66"/>
      <c r="I30" s="66"/>
      <c r="J30" s="66"/>
      <c r="K30" s="66"/>
      <c r="L30" s="66"/>
      <c r="M30" s="66"/>
      <c r="N30" s="66"/>
      <c r="O30" s="66"/>
      <c r="P30" s="57" t="e">
        <f>(D30/#REF!)*100</f>
        <v>#REF!</v>
      </c>
      <c r="Q30" s="57" t="e">
        <f>(E30/#REF!)*100</f>
        <v>#REF!</v>
      </c>
      <c r="R30" s="57" t="e">
        <f>(F30/#REF!)*100</f>
        <v>#REF!</v>
      </c>
      <c r="S30" s="57" t="e">
        <f>(G30/#REF!)*100</f>
        <v>#REF!</v>
      </c>
      <c r="T30" s="57" t="e">
        <f>(H30/#REF!)*100</f>
        <v>#REF!</v>
      </c>
      <c r="U30" s="57" t="e">
        <f>(I30/#REF!)*100</f>
        <v>#REF!</v>
      </c>
      <c r="V30" s="57" t="e">
        <f>(J30/#REF!)*100</f>
        <v>#REF!</v>
      </c>
      <c r="W30" s="57" t="e">
        <f>(K30/#REF!)*100</f>
        <v>#REF!</v>
      </c>
      <c r="X30" s="57" t="e">
        <f>(L30/#REF!)*100</f>
        <v>#REF!</v>
      </c>
      <c r="Y30" s="57" t="e">
        <f>(M30/#REF!)*100</f>
        <v>#REF!</v>
      </c>
      <c r="Z30" s="57" t="e">
        <f>(N30/#REF!)*100</f>
        <v>#REF!</v>
      </c>
      <c r="AA30" s="57" t="e">
        <f>(O30/#REF!)*100</f>
        <v>#REF!</v>
      </c>
    </row>
    <row r="31" spans="1:27" ht="20.100000000000001" hidden="1" customHeight="1">
      <c r="A31" s="68">
        <f>'INTERNAL TEST-1  '!A35</f>
        <v>0</v>
      </c>
      <c r="B31" s="68">
        <f>'INTERNAL TEST-1  '!B35</f>
        <v>0</v>
      </c>
      <c r="C31" s="69">
        <f>'INTERNAL TEST-1  '!C35</f>
        <v>0</v>
      </c>
      <c r="D31" s="66"/>
      <c r="E31" s="66"/>
      <c r="F31" s="66"/>
      <c r="G31" s="66"/>
      <c r="H31" s="66"/>
      <c r="I31" s="66"/>
      <c r="J31" s="66"/>
      <c r="K31" s="66"/>
      <c r="L31" s="66"/>
      <c r="M31" s="66"/>
      <c r="N31" s="66"/>
      <c r="O31" s="66"/>
      <c r="P31" s="57" t="e">
        <f>(D31/#REF!)*100</f>
        <v>#REF!</v>
      </c>
      <c r="Q31" s="57" t="e">
        <f>(E31/#REF!)*100</f>
        <v>#REF!</v>
      </c>
      <c r="R31" s="57" t="e">
        <f>(F31/#REF!)*100</f>
        <v>#REF!</v>
      </c>
      <c r="S31" s="57" t="e">
        <f>(G31/#REF!)*100</f>
        <v>#REF!</v>
      </c>
      <c r="T31" s="57" t="e">
        <f>(H31/#REF!)*100</f>
        <v>#REF!</v>
      </c>
      <c r="U31" s="57" t="e">
        <f>(I31/#REF!)*100</f>
        <v>#REF!</v>
      </c>
      <c r="V31" s="57" t="e">
        <f>(J31/#REF!)*100</f>
        <v>#REF!</v>
      </c>
      <c r="W31" s="57" t="e">
        <f>(K31/#REF!)*100</f>
        <v>#REF!</v>
      </c>
      <c r="X31" s="57" t="e">
        <f>(L31/#REF!)*100</f>
        <v>#REF!</v>
      </c>
      <c r="Y31" s="57" t="e">
        <f>(M31/#REF!)*100</f>
        <v>#REF!</v>
      </c>
      <c r="Z31" s="57" t="e">
        <f>(N31/#REF!)*100</f>
        <v>#REF!</v>
      </c>
      <c r="AA31" s="57" t="e">
        <f>(O31/#REF!)*100</f>
        <v>#REF!</v>
      </c>
    </row>
    <row r="32" spans="1:27" ht="20.100000000000001" hidden="1" customHeight="1">
      <c r="A32" s="68">
        <f>'INTERNAL TEST-1  '!A36</f>
        <v>0</v>
      </c>
      <c r="B32" s="68">
        <f>'INTERNAL TEST-1  '!B36</f>
        <v>0</v>
      </c>
      <c r="C32" s="69">
        <f>'INTERNAL TEST-1  '!C36</f>
        <v>0</v>
      </c>
      <c r="D32" s="66"/>
      <c r="E32" s="66"/>
      <c r="F32" s="66"/>
      <c r="G32" s="66"/>
      <c r="H32" s="66"/>
      <c r="I32" s="66"/>
      <c r="J32" s="66"/>
      <c r="K32" s="66"/>
      <c r="L32" s="66"/>
      <c r="M32" s="66"/>
      <c r="N32" s="66"/>
      <c r="O32" s="66"/>
      <c r="P32" s="57" t="e">
        <f>(D32/#REF!)*100</f>
        <v>#REF!</v>
      </c>
      <c r="Q32" s="57" t="e">
        <f>(E32/#REF!)*100</f>
        <v>#REF!</v>
      </c>
      <c r="R32" s="57" t="e">
        <f>(F32/#REF!)*100</f>
        <v>#REF!</v>
      </c>
      <c r="S32" s="57" t="e">
        <f>(G32/#REF!)*100</f>
        <v>#REF!</v>
      </c>
      <c r="T32" s="57" t="e">
        <f>(H32/#REF!)*100</f>
        <v>#REF!</v>
      </c>
      <c r="U32" s="57" t="e">
        <f>(I32/#REF!)*100</f>
        <v>#REF!</v>
      </c>
      <c r="V32" s="57" t="e">
        <f>(J32/#REF!)*100</f>
        <v>#REF!</v>
      </c>
      <c r="W32" s="57" t="e">
        <f>(K32/#REF!)*100</f>
        <v>#REF!</v>
      </c>
      <c r="X32" s="57" t="e">
        <f>(L32/#REF!)*100</f>
        <v>#REF!</v>
      </c>
      <c r="Y32" s="57" t="e">
        <f>(M32/#REF!)*100</f>
        <v>#REF!</v>
      </c>
      <c r="Z32" s="57" t="e">
        <f>(N32/#REF!)*100</f>
        <v>#REF!</v>
      </c>
      <c r="AA32" s="57" t="e">
        <f>(O32/#REF!)*100</f>
        <v>#REF!</v>
      </c>
    </row>
    <row r="33" spans="1:27" ht="20.100000000000001" hidden="1" customHeight="1">
      <c r="A33" s="68">
        <f>'INTERNAL TEST-1  '!A37</f>
        <v>0</v>
      </c>
      <c r="B33" s="68">
        <f>'INTERNAL TEST-1  '!B37</f>
        <v>0</v>
      </c>
      <c r="C33" s="69">
        <f>'INTERNAL TEST-1  '!C37</f>
        <v>0</v>
      </c>
      <c r="D33" s="66"/>
      <c r="E33" s="66"/>
      <c r="F33" s="66"/>
      <c r="G33" s="66"/>
      <c r="H33" s="66"/>
      <c r="I33" s="66"/>
      <c r="J33" s="66"/>
      <c r="K33" s="66"/>
      <c r="L33" s="66"/>
      <c r="M33" s="66"/>
      <c r="N33" s="66"/>
      <c r="O33" s="66"/>
      <c r="P33" s="57" t="e">
        <f>(D33/#REF!)*100</f>
        <v>#REF!</v>
      </c>
      <c r="Q33" s="57" t="e">
        <f>(E33/#REF!)*100</f>
        <v>#REF!</v>
      </c>
      <c r="R33" s="57" t="e">
        <f>(F33/#REF!)*100</f>
        <v>#REF!</v>
      </c>
      <c r="S33" s="57" t="e">
        <f>(G33/#REF!)*100</f>
        <v>#REF!</v>
      </c>
      <c r="T33" s="57" t="e">
        <f>(H33/#REF!)*100</f>
        <v>#REF!</v>
      </c>
      <c r="U33" s="57" t="e">
        <f>(I33/#REF!)*100</f>
        <v>#REF!</v>
      </c>
      <c r="V33" s="57" t="e">
        <f>(J33/#REF!)*100</f>
        <v>#REF!</v>
      </c>
      <c r="W33" s="57" t="e">
        <f>(K33/#REF!)*100</f>
        <v>#REF!</v>
      </c>
      <c r="X33" s="57" t="e">
        <f>(L33/#REF!)*100</f>
        <v>#REF!</v>
      </c>
      <c r="Y33" s="57" t="e">
        <f>(M33/#REF!)*100</f>
        <v>#REF!</v>
      </c>
      <c r="Z33" s="57" t="e">
        <f>(N33/#REF!)*100</f>
        <v>#REF!</v>
      </c>
      <c r="AA33" s="57" t="e">
        <f>(O33/#REF!)*100</f>
        <v>#REF!</v>
      </c>
    </row>
    <row r="34" spans="1:27" ht="20.100000000000001" hidden="1" customHeight="1">
      <c r="A34" s="68">
        <f>'INTERNAL TEST-1  '!A38</f>
        <v>0</v>
      </c>
      <c r="B34" s="68">
        <f>'INTERNAL TEST-1  '!B38</f>
        <v>0</v>
      </c>
      <c r="C34" s="69">
        <f>'INTERNAL TEST-1  '!C38</f>
        <v>0</v>
      </c>
      <c r="D34" s="66"/>
      <c r="E34" s="66"/>
      <c r="F34" s="66"/>
      <c r="G34" s="66"/>
      <c r="H34" s="66"/>
      <c r="I34" s="66"/>
      <c r="J34" s="66"/>
      <c r="K34" s="66"/>
      <c r="L34" s="66"/>
      <c r="M34" s="66"/>
      <c r="N34" s="66"/>
      <c r="O34" s="66"/>
      <c r="P34" s="57" t="e">
        <f>(D34/#REF!)*100</f>
        <v>#REF!</v>
      </c>
      <c r="Q34" s="57" t="e">
        <f>(E34/#REF!)*100</f>
        <v>#REF!</v>
      </c>
      <c r="R34" s="57" t="e">
        <f>(F34/#REF!)*100</f>
        <v>#REF!</v>
      </c>
      <c r="S34" s="57" t="e">
        <f>(G34/#REF!)*100</f>
        <v>#REF!</v>
      </c>
      <c r="T34" s="57" t="e">
        <f>(H34/#REF!)*100</f>
        <v>#REF!</v>
      </c>
      <c r="U34" s="57" t="e">
        <f>(I34/#REF!)*100</f>
        <v>#REF!</v>
      </c>
      <c r="V34" s="57" t="e">
        <f>(J34/#REF!)*100</f>
        <v>#REF!</v>
      </c>
      <c r="W34" s="57" t="e">
        <f>(K34/#REF!)*100</f>
        <v>#REF!</v>
      </c>
      <c r="X34" s="57" t="e">
        <f>(L34/#REF!)*100</f>
        <v>#REF!</v>
      </c>
      <c r="Y34" s="57" t="e">
        <f>(M34/#REF!)*100</f>
        <v>#REF!</v>
      </c>
      <c r="Z34" s="57" t="e">
        <f>(N34/#REF!)*100</f>
        <v>#REF!</v>
      </c>
      <c r="AA34" s="57" t="e">
        <f>(O34/#REF!)*100</f>
        <v>#REF!</v>
      </c>
    </row>
    <row r="35" spans="1:27" ht="20.100000000000001" hidden="1" customHeight="1">
      <c r="A35" s="68">
        <f>'INTERNAL TEST-1  '!A39</f>
        <v>0</v>
      </c>
      <c r="B35" s="68">
        <f>'INTERNAL TEST-1  '!B39</f>
        <v>0</v>
      </c>
      <c r="C35" s="69">
        <f>'INTERNAL TEST-1  '!C39</f>
        <v>0</v>
      </c>
      <c r="D35" s="66"/>
      <c r="E35" s="66"/>
      <c r="F35" s="66"/>
      <c r="G35" s="66"/>
      <c r="H35" s="66"/>
      <c r="I35" s="66"/>
      <c r="J35" s="66"/>
      <c r="K35" s="66"/>
      <c r="L35" s="66"/>
      <c r="M35" s="66"/>
      <c r="N35" s="66"/>
      <c r="O35" s="66"/>
      <c r="P35" s="57" t="e">
        <f>(D35/#REF!)*100</f>
        <v>#REF!</v>
      </c>
      <c r="Q35" s="57" t="e">
        <f>(E35/#REF!)*100</f>
        <v>#REF!</v>
      </c>
      <c r="R35" s="57" t="e">
        <f>(F35/#REF!)*100</f>
        <v>#REF!</v>
      </c>
      <c r="S35" s="57" t="e">
        <f>(G35/#REF!)*100</f>
        <v>#REF!</v>
      </c>
      <c r="T35" s="57" t="e">
        <f>(H35/#REF!)*100</f>
        <v>#REF!</v>
      </c>
      <c r="U35" s="57" t="e">
        <f>(I35/#REF!)*100</f>
        <v>#REF!</v>
      </c>
      <c r="V35" s="57" t="e">
        <f>(J35/#REF!)*100</f>
        <v>#REF!</v>
      </c>
      <c r="W35" s="57" t="e">
        <f>(K35/#REF!)*100</f>
        <v>#REF!</v>
      </c>
      <c r="X35" s="57" t="e">
        <f>(L35/#REF!)*100</f>
        <v>#REF!</v>
      </c>
      <c r="Y35" s="57" t="e">
        <f>(M35/#REF!)*100</f>
        <v>#REF!</v>
      </c>
      <c r="Z35" s="57" t="e">
        <f>(N35/#REF!)*100</f>
        <v>#REF!</v>
      </c>
      <c r="AA35" s="57" t="e">
        <f>(O35/#REF!)*100</f>
        <v>#REF!</v>
      </c>
    </row>
    <row r="36" spans="1:27" ht="20.100000000000001" hidden="1" customHeight="1">
      <c r="A36" s="68">
        <f>'INTERNAL TEST-1  '!A40</f>
        <v>0</v>
      </c>
      <c r="B36" s="68">
        <f>'INTERNAL TEST-1  '!B40</f>
        <v>0</v>
      </c>
      <c r="C36" s="69">
        <f>'INTERNAL TEST-1  '!C40</f>
        <v>0</v>
      </c>
      <c r="D36" s="66"/>
      <c r="E36" s="66"/>
      <c r="F36" s="66"/>
      <c r="G36" s="66"/>
      <c r="H36" s="66"/>
      <c r="I36" s="66"/>
      <c r="J36" s="66"/>
      <c r="K36" s="66"/>
      <c r="L36" s="66"/>
      <c r="M36" s="66"/>
      <c r="N36" s="66"/>
      <c r="O36" s="66"/>
      <c r="P36" s="57" t="e">
        <f>(D36/#REF!)*100</f>
        <v>#REF!</v>
      </c>
      <c r="Q36" s="57" t="e">
        <f>(E36/#REF!)*100</f>
        <v>#REF!</v>
      </c>
      <c r="R36" s="57" t="e">
        <f>(F36/#REF!)*100</f>
        <v>#REF!</v>
      </c>
      <c r="S36" s="57" t="e">
        <f>(G36/#REF!)*100</f>
        <v>#REF!</v>
      </c>
      <c r="T36" s="57" t="e">
        <f>(H36/#REF!)*100</f>
        <v>#REF!</v>
      </c>
      <c r="U36" s="57" t="e">
        <f>(I36/#REF!)*100</f>
        <v>#REF!</v>
      </c>
      <c r="V36" s="57" t="e">
        <f>(J36/#REF!)*100</f>
        <v>#REF!</v>
      </c>
      <c r="W36" s="57" t="e">
        <f>(K36/#REF!)*100</f>
        <v>#REF!</v>
      </c>
      <c r="X36" s="57" t="e">
        <f>(L36/#REF!)*100</f>
        <v>#REF!</v>
      </c>
      <c r="Y36" s="57" t="e">
        <f>(M36/#REF!)*100</f>
        <v>#REF!</v>
      </c>
      <c r="Z36" s="57" t="e">
        <f>(N36/#REF!)*100</f>
        <v>#REF!</v>
      </c>
      <c r="AA36" s="57" t="e">
        <f>(O36/#REF!)*100</f>
        <v>#REF!</v>
      </c>
    </row>
    <row r="37" spans="1:27" ht="20.100000000000001" hidden="1" customHeight="1">
      <c r="A37" s="68">
        <f>'INTERNAL TEST-1  '!A41</f>
        <v>0</v>
      </c>
      <c r="B37" s="68">
        <f>'INTERNAL TEST-1  '!B41</f>
        <v>0</v>
      </c>
      <c r="C37" s="69">
        <f>'INTERNAL TEST-1  '!C41</f>
        <v>0</v>
      </c>
      <c r="D37" s="66"/>
      <c r="E37" s="66"/>
      <c r="F37" s="66"/>
      <c r="G37" s="66"/>
      <c r="H37" s="66"/>
      <c r="I37" s="66"/>
      <c r="J37" s="66"/>
      <c r="K37" s="66"/>
      <c r="L37" s="66"/>
      <c r="M37" s="66"/>
      <c r="N37" s="66"/>
      <c r="O37" s="66"/>
      <c r="P37" s="57" t="e">
        <f>(D37/#REF!)*100</f>
        <v>#REF!</v>
      </c>
      <c r="Q37" s="57" t="e">
        <f>(E37/#REF!)*100</f>
        <v>#REF!</v>
      </c>
      <c r="R37" s="57" t="e">
        <f>(F37/#REF!)*100</f>
        <v>#REF!</v>
      </c>
      <c r="S37" s="57" t="e">
        <f>(G37/#REF!)*100</f>
        <v>#REF!</v>
      </c>
      <c r="T37" s="57" t="e">
        <f>(H37/#REF!)*100</f>
        <v>#REF!</v>
      </c>
      <c r="U37" s="57" t="e">
        <f>(I37/#REF!)*100</f>
        <v>#REF!</v>
      </c>
      <c r="V37" s="57" t="e">
        <f>(J37/#REF!)*100</f>
        <v>#REF!</v>
      </c>
      <c r="W37" s="57" t="e">
        <f>(K37/#REF!)*100</f>
        <v>#REF!</v>
      </c>
      <c r="X37" s="57" t="e">
        <f>(L37/#REF!)*100</f>
        <v>#REF!</v>
      </c>
      <c r="Y37" s="57" t="e">
        <f>(M37/#REF!)*100</f>
        <v>#REF!</v>
      </c>
      <c r="Z37" s="57" t="e">
        <f>(N37/#REF!)*100</f>
        <v>#REF!</v>
      </c>
      <c r="AA37" s="57" t="e">
        <f>(O37/#REF!)*100</f>
        <v>#REF!</v>
      </c>
    </row>
    <row r="38" spans="1:27" ht="20.100000000000001" hidden="1" customHeight="1">
      <c r="A38" s="68">
        <f>'INTERNAL TEST-1  '!A42</f>
        <v>0</v>
      </c>
      <c r="B38" s="68">
        <f>'INTERNAL TEST-1  '!B42</f>
        <v>0</v>
      </c>
      <c r="C38" s="69">
        <f>'INTERNAL TEST-1  '!C42</f>
        <v>0</v>
      </c>
      <c r="D38" s="66"/>
      <c r="E38" s="66"/>
      <c r="F38" s="66"/>
      <c r="G38" s="66"/>
      <c r="H38" s="66"/>
      <c r="I38" s="66"/>
      <c r="J38" s="66"/>
      <c r="K38" s="66"/>
      <c r="L38" s="66"/>
      <c r="M38" s="66"/>
      <c r="N38" s="66"/>
      <c r="O38" s="66"/>
      <c r="P38" s="57" t="e">
        <f>(D38/#REF!)*100</f>
        <v>#REF!</v>
      </c>
      <c r="Q38" s="57" t="e">
        <f>(E38/#REF!)*100</f>
        <v>#REF!</v>
      </c>
      <c r="R38" s="57" t="e">
        <f>(F38/#REF!)*100</f>
        <v>#REF!</v>
      </c>
      <c r="S38" s="57" t="e">
        <f>(G38/#REF!)*100</f>
        <v>#REF!</v>
      </c>
      <c r="T38" s="57" t="e">
        <f>(H38/#REF!)*100</f>
        <v>#REF!</v>
      </c>
      <c r="U38" s="57" t="e">
        <f>(I38/#REF!)*100</f>
        <v>#REF!</v>
      </c>
      <c r="V38" s="57" t="e">
        <f>(J38/#REF!)*100</f>
        <v>#REF!</v>
      </c>
      <c r="W38" s="57" t="e">
        <f>(K38/#REF!)*100</f>
        <v>#REF!</v>
      </c>
      <c r="X38" s="57" t="e">
        <f>(L38/#REF!)*100</f>
        <v>#REF!</v>
      </c>
      <c r="Y38" s="57" t="e">
        <f>(M38/#REF!)*100</f>
        <v>#REF!</v>
      </c>
      <c r="Z38" s="57" t="e">
        <f>(N38/#REF!)*100</f>
        <v>#REF!</v>
      </c>
      <c r="AA38" s="57" t="e">
        <f>(O38/#REF!)*100</f>
        <v>#REF!</v>
      </c>
    </row>
    <row r="39" spans="1:27" ht="20.100000000000001" hidden="1" customHeight="1">
      <c r="A39" s="68">
        <f>'INTERNAL TEST-1  '!A43</f>
        <v>0</v>
      </c>
      <c r="B39" s="68">
        <f>'INTERNAL TEST-1  '!B43</f>
        <v>0</v>
      </c>
      <c r="C39" s="69">
        <f>'INTERNAL TEST-1  '!C43</f>
        <v>0</v>
      </c>
      <c r="D39" s="66"/>
      <c r="E39" s="66"/>
      <c r="F39" s="66"/>
      <c r="G39" s="66"/>
      <c r="H39" s="66"/>
      <c r="I39" s="66"/>
      <c r="J39" s="66"/>
      <c r="K39" s="66"/>
      <c r="L39" s="66"/>
      <c r="M39" s="66"/>
      <c r="N39" s="66"/>
      <c r="O39" s="66"/>
      <c r="P39" s="57" t="e">
        <f>(D39/#REF!)*100</f>
        <v>#REF!</v>
      </c>
      <c r="Q39" s="57" t="e">
        <f>(E39/#REF!)*100</f>
        <v>#REF!</v>
      </c>
      <c r="R39" s="57" t="e">
        <f>(F39/#REF!)*100</f>
        <v>#REF!</v>
      </c>
      <c r="S39" s="57" t="e">
        <f>(G39/#REF!)*100</f>
        <v>#REF!</v>
      </c>
      <c r="T39" s="57" t="e">
        <f>(H39/#REF!)*100</f>
        <v>#REF!</v>
      </c>
      <c r="U39" s="57" t="e">
        <f>(I39/#REF!)*100</f>
        <v>#REF!</v>
      </c>
      <c r="V39" s="57" t="e">
        <f>(J39/#REF!)*100</f>
        <v>#REF!</v>
      </c>
      <c r="W39" s="57" t="e">
        <f>(K39/#REF!)*100</f>
        <v>#REF!</v>
      </c>
      <c r="X39" s="57" t="e">
        <f>(L39/#REF!)*100</f>
        <v>#REF!</v>
      </c>
      <c r="Y39" s="57" t="e">
        <f>(M39/#REF!)*100</f>
        <v>#REF!</v>
      </c>
      <c r="Z39" s="57" t="e">
        <f>(N39/#REF!)*100</f>
        <v>#REF!</v>
      </c>
      <c r="AA39" s="57" t="e">
        <f>(O39/#REF!)*100</f>
        <v>#REF!</v>
      </c>
    </row>
    <row r="40" spans="1:27" ht="20.100000000000001" hidden="1" customHeight="1">
      <c r="A40" s="68">
        <f>'INTERNAL TEST-1  '!A44</f>
        <v>0</v>
      </c>
      <c r="B40" s="68">
        <f>'INTERNAL TEST-1  '!B44</f>
        <v>0</v>
      </c>
      <c r="C40" s="69">
        <f>'INTERNAL TEST-1  '!C44</f>
        <v>0</v>
      </c>
      <c r="D40" s="66"/>
      <c r="E40" s="66"/>
      <c r="F40" s="66"/>
      <c r="G40" s="66"/>
      <c r="H40" s="66"/>
      <c r="I40" s="66"/>
      <c r="J40" s="66"/>
      <c r="K40" s="66"/>
      <c r="L40" s="66"/>
      <c r="M40" s="66"/>
      <c r="N40" s="66"/>
      <c r="O40" s="66"/>
      <c r="P40" s="57" t="e">
        <f>(D40/#REF!)*100</f>
        <v>#REF!</v>
      </c>
      <c r="Q40" s="57" t="e">
        <f>(E40/#REF!)*100</f>
        <v>#REF!</v>
      </c>
      <c r="R40" s="57" t="e">
        <f>(F40/#REF!)*100</f>
        <v>#REF!</v>
      </c>
      <c r="S40" s="57" t="e">
        <f>(G40/#REF!)*100</f>
        <v>#REF!</v>
      </c>
      <c r="T40" s="57" t="e">
        <f>(H40/#REF!)*100</f>
        <v>#REF!</v>
      </c>
      <c r="U40" s="57" t="e">
        <f>(I40/#REF!)*100</f>
        <v>#REF!</v>
      </c>
      <c r="V40" s="57" t="e">
        <f>(J40/#REF!)*100</f>
        <v>#REF!</v>
      </c>
      <c r="W40" s="57" t="e">
        <f>(K40/#REF!)*100</f>
        <v>#REF!</v>
      </c>
      <c r="X40" s="57" t="e">
        <f>(L40/#REF!)*100</f>
        <v>#REF!</v>
      </c>
      <c r="Y40" s="57" t="e">
        <f>(M40/#REF!)*100</f>
        <v>#REF!</v>
      </c>
      <c r="Z40" s="57" t="e">
        <f>(N40/#REF!)*100</f>
        <v>#REF!</v>
      </c>
      <c r="AA40" s="57" t="e">
        <f>(O40/#REF!)*100</f>
        <v>#REF!</v>
      </c>
    </row>
    <row r="41" spans="1:27" ht="20.100000000000001" hidden="1" customHeight="1">
      <c r="A41" s="68">
        <f>'INTERNAL TEST-1  '!A45</f>
        <v>0</v>
      </c>
      <c r="B41" s="68">
        <f>'INTERNAL TEST-1  '!B45</f>
        <v>0</v>
      </c>
      <c r="C41" s="69">
        <f>'INTERNAL TEST-1  '!C45</f>
        <v>0</v>
      </c>
      <c r="D41" s="66"/>
      <c r="E41" s="66"/>
      <c r="F41" s="66"/>
      <c r="G41" s="66"/>
      <c r="H41" s="66"/>
      <c r="I41" s="66"/>
      <c r="J41" s="66"/>
      <c r="K41" s="66"/>
      <c r="L41" s="66"/>
      <c r="M41" s="66"/>
      <c r="N41" s="66"/>
      <c r="O41" s="66"/>
      <c r="P41" s="57" t="e">
        <f>(D41/#REF!)*100</f>
        <v>#REF!</v>
      </c>
      <c r="Q41" s="57" t="e">
        <f>(E41/#REF!)*100</f>
        <v>#REF!</v>
      </c>
      <c r="R41" s="57" t="e">
        <f>(F41/#REF!)*100</f>
        <v>#REF!</v>
      </c>
      <c r="S41" s="57" t="e">
        <f>(G41/#REF!)*100</f>
        <v>#REF!</v>
      </c>
      <c r="T41" s="57" t="e">
        <f>(H41/#REF!)*100</f>
        <v>#REF!</v>
      </c>
      <c r="U41" s="57" t="e">
        <f>(I41/#REF!)*100</f>
        <v>#REF!</v>
      </c>
      <c r="V41" s="57" t="e">
        <f>(J41/#REF!)*100</f>
        <v>#REF!</v>
      </c>
      <c r="W41" s="57" t="e">
        <f>(K41/#REF!)*100</f>
        <v>#REF!</v>
      </c>
      <c r="X41" s="57" t="e">
        <f>(L41/#REF!)*100</f>
        <v>#REF!</v>
      </c>
      <c r="Y41" s="57" t="e">
        <f>(M41/#REF!)*100</f>
        <v>#REF!</v>
      </c>
      <c r="Z41" s="57" t="e">
        <f>(N41/#REF!)*100</f>
        <v>#REF!</v>
      </c>
      <c r="AA41" s="57" t="e">
        <f>(O41/#REF!)*100</f>
        <v>#REF!</v>
      </c>
    </row>
    <row r="42" spans="1:27" ht="20.100000000000001" hidden="1" customHeight="1">
      <c r="A42" s="68">
        <f>'INTERNAL TEST-1  '!A46</f>
        <v>0</v>
      </c>
      <c r="B42" s="68">
        <f>'INTERNAL TEST-1  '!B46</f>
        <v>0</v>
      </c>
      <c r="C42" s="69">
        <f>'INTERNAL TEST-1  '!C46</f>
        <v>0</v>
      </c>
      <c r="D42" s="66"/>
      <c r="E42" s="66"/>
      <c r="F42" s="66"/>
      <c r="G42" s="66"/>
      <c r="H42" s="66"/>
      <c r="I42" s="66"/>
      <c r="J42" s="66"/>
      <c r="K42" s="66"/>
      <c r="L42" s="66"/>
      <c r="M42" s="66"/>
      <c r="N42" s="66"/>
      <c r="O42" s="66"/>
      <c r="P42" s="57" t="e">
        <f>(D42/#REF!)*100</f>
        <v>#REF!</v>
      </c>
      <c r="Q42" s="57" t="e">
        <f>(E42/#REF!)*100</f>
        <v>#REF!</v>
      </c>
      <c r="R42" s="57" t="e">
        <f>(F42/#REF!)*100</f>
        <v>#REF!</v>
      </c>
      <c r="S42" s="57" t="e">
        <f>(G42/#REF!)*100</f>
        <v>#REF!</v>
      </c>
      <c r="T42" s="57" t="e">
        <f>(H42/#REF!)*100</f>
        <v>#REF!</v>
      </c>
      <c r="U42" s="57" t="e">
        <f>(I42/#REF!)*100</f>
        <v>#REF!</v>
      </c>
      <c r="V42" s="57" t="e">
        <f>(J42/#REF!)*100</f>
        <v>#REF!</v>
      </c>
      <c r="W42" s="57" t="e">
        <f>(K42/#REF!)*100</f>
        <v>#REF!</v>
      </c>
      <c r="X42" s="57" t="e">
        <f>(L42/#REF!)*100</f>
        <v>#REF!</v>
      </c>
      <c r="Y42" s="57" t="e">
        <f>(M42/#REF!)*100</f>
        <v>#REF!</v>
      </c>
      <c r="Z42" s="57" t="e">
        <f>(N42/#REF!)*100</f>
        <v>#REF!</v>
      </c>
      <c r="AA42" s="57" t="e">
        <f>(O42/#REF!)*100</f>
        <v>#REF!</v>
      </c>
    </row>
    <row r="43" spans="1:27" hidden="1">
      <c r="A43" s="68">
        <f>'INTERNAL TEST-1  '!A47</f>
        <v>0</v>
      </c>
      <c r="B43" s="68">
        <f>'INTERNAL TEST-1  '!B47</f>
        <v>0</v>
      </c>
      <c r="C43" s="69">
        <f>'INTERNAL TEST-1  '!C47</f>
        <v>0</v>
      </c>
      <c r="D43" s="66"/>
      <c r="E43" s="66"/>
      <c r="F43" s="66"/>
      <c r="G43" s="66"/>
      <c r="H43" s="66"/>
      <c r="I43" s="66"/>
      <c r="J43" s="66"/>
      <c r="K43" s="66"/>
      <c r="L43" s="66"/>
      <c r="M43" s="66"/>
      <c r="N43" s="66"/>
      <c r="O43" s="66"/>
      <c r="P43" s="57" t="e">
        <f>(D43/#REF!)*100</f>
        <v>#REF!</v>
      </c>
      <c r="Q43" s="57" t="e">
        <f>(E43/#REF!)*100</f>
        <v>#REF!</v>
      </c>
      <c r="R43" s="57" t="e">
        <f>(F43/#REF!)*100</f>
        <v>#REF!</v>
      </c>
      <c r="S43" s="57" t="e">
        <f>(G43/#REF!)*100</f>
        <v>#REF!</v>
      </c>
      <c r="T43" s="57" t="e">
        <f>(H43/#REF!)*100</f>
        <v>#REF!</v>
      </c>
      <c r="U43" s="57" t="e">
        <f>(I43/#REF!)*100</f>
        <v>#REF!</v>
      </c>
      <c r="V43" s="57" t="e">
        <f>(J43/#REF!)*100</f>
        <v>#REF!</v>
      </c>
      <c r="W43" s="57" t="e">
        <f>(K43/#REF!)*100</f>
        <v>#REF!</v>
      </c>
      <c r="X43" s="57" t="e">
        <f>(L43/#REF!)*100</f>
        <v>#REF!</v>
      </c>
      <c r="Y43" s="57" t="e">
        <f>(M43/#REF!)*100</f>
        <v>#REF!</v>
      </c>
      <c r="Z43" s="57" t="e">
        <f>(N43/#REF!)*100</f>
        <v>#REF!</v>
      </c>
      <c r="AA43" s="57" t="e">
        <f>(O43/#REF!)*100</f>
        <v>#REF!</v>
      </c>
    </row>
    <row r="44" spans="1:27" ht="20.100000000000001" hidden="1" customHeight="1">
      <c r="A44" s="68">
        <f>'INTERNAL TEST-1  '!A48</f>
        <v>0</v>
      </c>
      <c r="B44" s="68">
        <f>'INTERNAL TEST-1  '!B48</f>
        <v>0</v>
      </c>
      <c r="C44" s="69">
        <f>'INTERNAL TEST-1  '!C48</f>
        <v>0</v>
      </c>
      <c r="D44" s="66"/>
      <c r="E44" s="66"/>
      <c r="F44" s="66"/>
      <c r="G44" s="66"/>
      <c r="H44" s="66"/>
      <c r="I44" s="66"/>
      <c r="J44" s="66"/>
      <c r="K44" s="66"/>
      <c r="L44" s="66"/>
      <c r="M44" s="66"/>
      <c r="N44" s="66"/>
      <c r="O44" s="66"/>
      <c r="P44" s="57" t="e">
        <f>(D44/#REF!)*100</f>
        <v>#REF!</v>
      </c>
      <c r="Q44" s="57" t="e">
        <f>(E44/#REF!)*100</f>
        <v>#REF!</v>
      </c>
      <c r="R44" s="57" t="e">
        <f>(F44/#REF!)*100</f>
        <v>#REF!</v>
      </c>
      <c r="S44" s="57" t="e">
        <f>(G44/#REF!)*100</f>
        <v>#REF!</v>
      </c>
      <c r="T44" s="57" t="e">
        <f>(H44/#REF!)*100</f>
        <v>#REF!</v>
      </c>
      <c r="U44" s="57" t="e">
        <f>(I44/#REF!)*100</f>
        <v>#REF!</v>
      </c>
      <c r="V44" s="57" t="e">
        <f>(J44/#REF!)*100</f>
        <v>#REF!</v>
      </c>
      <c r="W44" s="57" t="e">
        <f>(K44/#REF!)*100</f>
        <v>#REF!</v>
      </c>
      <c r="X44" s="57" t="e">
        <f>(L44/#REF!)*100</f>
        <v>#REF!</v>
      </c>
      <c r="Y44" s="57" t="e">
        <f>(M44/#REF!)*100</f>
        <v>#REF!</v>
      </c>
      <c r="Z44" s="57" t="e">
        <f>(N44/#REF!)*100</f>
        <v>#REF!</v>
      </c>
      <c r="AA44" s="57" t="e">
        <f>(O44/#REF!)*100</f>
        <v>#REF!</v>
      </c>
    </row>
    <row r="45" spans="1:27" ht="20.100000000000001" hidden="1" customHeight="1">
      <c r="A45" s="68">
        <f>'INTERNAL TEST-1  '!A49</f>
        <v>0</v>
      </c>
      <c r="B45" s="68">
        <f>'INTERNAL TEST-1  '!B49</f>
        <v>0</v>
      </c>
      <c r="C45" s="69">
        <f>'INTERNAL TEST-1  '!C49</f>
        <v>0</v>
      </c>
      <c r="D45" s="66"/>
      <c r="E45" s="66"/>
      <c r="F45" s="66"/>
      <c r="G45" s="66"/>
      <c r="H45" s="66"/>
      <c r="I45" s="66"/>
      <c r="J45" s="66"/>
      <c r="K45" s="66"/>
      <c r="L45" s="66"/>
      <c r="M45" s="66"/>
      <c r="N45" s="66"/>
      <c r="O45" s="66"/>
      <c r="P45" s="57" t="e">
        <f>(D45/#REF!)*100</f>
        <v>#REF!</v>
      </c>
      <c r="Q45" s="57" t="e">
        <f>(E45/#REF!)*100</f>
        <v>#REF!</v>
      </c>
      <c r="R45" s="57" t="e">
        <f>(F45/#REF!)*100</f>
        <v>#REF!</v>
      </c>
      <c r="S45" s="57" t="e">
        <f>(G45/#REF!)*100</f>
        <v>#REF!</v>
      </c>
      <c r="T45" s="57" t="e">
        <f>(H45/#REF!)*100</f>
        <v>#REF!</v>
      </c>
      <c r="U45" s="57" t="e">
        <f>(I45/#REF!)*100</f>
        <v>#REF!</v>
      </c>
      <c r="V45" s="57" t="e">
        <f>(J45/#REF!)*100</f>
        <v>#REF!</v>
      </c>
      <c r="W45" s="57" t="e">
        <f>(K45/#REF!)*100</f>
        <v>#REF!</v>
      </c>
      <c r="X45" s="57" t="e">
        <f>(L45/#REF!)*100</f>
        <v>#REF!</v>
      </c>
      <c r="Y45" s="57" t="e">
        <f>(M45/#REF!)*100</f>
        <v>#REF!</v>
      </c>
      <c r="Z45" s="57" t="e">
        <f>(N45/#REF!)*100</f>
        <v>#REF!</v>
      </c>
      <c r="AA45" s="57" t="e">
        <f>(O45/#REF!)*100</f>
        <v>#REF!</v>
      </c>
    </row>
    <row r="46" spans="1:27" ht="20.100000000000001" hidden="1" customHeight="1">
      <c r="A46" s="68">
        <f>'INTERNAL TEST-1  '!A50</f>
        <v>0</v>
      </c>
      <c r="B46" s="68">
        <f>'INTERNAL TEST-1  '!B50</f>
        <v>0</v>
      </c>
      <c r="C46" s="69">
        <f>'INTERNAL TEST-1  '!C50</f>
        <v>0</v>
      </c>
      <c r="D46" s="66"/>
      <c r="E46" s="66"/>
      <c r="F46" s="66"/>
      <c r="G46" s="66"/>
      <c r="H46" s="66"/>
      <c r="I46" s="66"/>
      <c r="J46" s="66"/>
      <c r="K46" s="66"/>
      <c r="L46" s="66"/>
      <c r="M46" s="66"/>
      <c r="N46" s="66"/>
      <c r="O46" s="66"/>
      <c r="P46" s="57" t="e">
        <f>(D46/#REF!)*100</f>
        <v>#REF!</v>
      </c>
      <c r="Q46" s="57" t="e">
        <f>(E46/#REF!)*100</f>
        <v>#REF!</v>
      </c>
      <c r="R46" s="57" t="e">
        <f>(F46/#REF!)*100</f>
        <v>#REF!</v>
      </c>
      <c r="S46" s="57" t="e">
        <f>(G46/#REF!)*100</f>
        <v>#REF!</v>
      </c>
      <c r="T46" s="57" t="e">
        <f>(H46/#REF!)*100</f>
        <v>#REF!</v>
      </c>
      <c r="U46" s="57" t="e">
        <f>(I46/#REF!)*100</f>
        <v>#REF!</v>
      </c>
      <c r="V46" s="57" t="e">
        <f>(J46/#REF!)*100</f>
        <v>#REF!</v>
      </c>
      <c r="W46" s="57" t="e">
        <f>(K46/#REF!)*100</f>
        <v>#REF!</v>
      </c>
      <c r="X46" s="57" t="e">
        <f>(L46/#REF!)*100</f>
        <v>#REF!</v>
      </c>
      <c r="Y46" s="57" t="e">
        <f>(M46/#REF!)*100</f>
        <v>#REF!</v>
      </c>
      <c r="Z46" s="57" t="e">
        <f>(N46/#REF!)*100</f>
        <v>#REF!</v>
      </c>
      <c r="AA46" s="57" t="e">
        <f>(O46/#REF!)*100</f>
        <v>#REF!</v>
      </c>
    </row>
    <row r="47" spans="1:27" ht="20.100000000000001" hidden="1" customHeight="1">
      <c r="A47" s="68">
        <f>'INTERNAL TEST-1  '!A51</f>
        <v>0</v>
      </c>
      <c r="B47" s="68">
        <f>'INTERNAL TEST-1  '!B51</f>
        <v>0</v>
      </c>
      <c r="C47" s="69">
        <f>'INTERNAL TEST-1  '!C51</f>
        <v>0</v>
      </c>
      <c r="D47" s="66"/>
      <c r="E47" s="66"/>
      <c r="F47" s="66"/>
      <c r="G47" s="66"/>
      <c r="H47" s="66"/>
      <c r="I47" s="66"/>
      <c r="J47" s="66"/>
      <c r="K47" s="66"/>
      <c r="L47" s="66"/>
      <c r="M47" s="66"/>
      <c r="N47" s="66"/>
      <c r="O47" s="66"/>
      <c r="P47" s="57" t="e">
        <f>(D47/#REF!)*100</f>
        <v>#REF!</v>
      </c>
      <c r="Q47" s="57" t="e">
        <f>(E47/#REF!)*100</f>
        <v>#REF!</v>
      </c>
      <c r="R47" s="57" t="e">
        <f>(F47/#REF!)*100</f>
        <v>#REF!</v>
      </c>
      <c r="S47" s="57" t="e">
        <f>(G47/#REF!)*100</f>
        <v>#REF!</v>
      </c>
      <c r="T47" s="57" t="e">
        <f>(H47/#REF!)*100</f>
        <v>#REF!</v>
      </c>
      <c r="U47" s="57" t="e">
        <f>(I47/#REF!)*100</f>
        <v>#REF!</v>
      </c>
      <c r="V47" s="57" t="e">
        <f>(J47/#REF!)*100</f>
        <v>#REF!</v>
      </c>
      <c r="W47" s="57" t="e">
        <f>(K47/#REF!)*100</f>
        <v>#REF!</v>
      </c>
      <c r="X47" s="57" t="e">
        <f>(L47/#REF!)*100</f>
        <v>#REF!</v>
      </c>
      <c r="Y47" s="57" t="e">
        <f>(M47/#REF!)*100</f>
        <v>#REF!</v>
      </c>
      <c r="Z47" s="57" t="e">
        <f>(N47/#REF!)*100</f>
        <v>#REF!</v>
      </c>
      <c r="AA47" s="57" t="e">
        <f>(O47/#REF!)*100</f>
        <v>#REF!</v>
      </c>
    </row>
    <row r="48" spans="1:27" ht="20.100000000000001" hidden="1" customHeight="1">
      <c r="A48" s="68">
        <f>'INTERNAL TEST-1  '!A52</f>
        <v>0</v>
      </c>
      <c r="B48" s="68">
        <f>'INTERNAL TEST-1  '!B52</f>
        <v>0</v>
      </c>
      <c r="C48" s="69">
        <f>'INTERNAL TEST-1  '!C52</f>
        <v>0</v>
      </c>
      <c r="D48" s="66"/>
      <c r="E48" s="66"/>
      <c r="F48" s="66"/>
      <c r="G48" s="66"/>
      <c r="H48" s="66"/>
      <c r="I48" s="66"/>
      <c r="J48" s="66"/>
      <c r="K48" s="66"/>
      <c r="L48" s="66"/>
      <c r="M48" s="66"/>
      <c r="N48" s="66"/>
      <c r="O48" s="66"/>
      <c r="P48" s="57" t="e">
        <f>(D48/#REF!)*100</f>
        <v>#REF!</v>
      </c>
      <c r="Q48" s="57" t="e">
        <f>(E48/#REF!)*100</f>
        <v>#REF!</v>
      </c>
      <c r="R48" s="57" t="e">
        <f>(F48/#REF!)*100</f>
        <v>#REF!</v>
      </c>
      <c r="S48" s="57" t="e">
        <f>(G48/#REF!)*100</f>
        <v>#REF!</v>
      </c>
      <c r="T48" s="57" t="e">
        <f>(H48/#REF!)*100</f>
        <v>#REF!</v>
      </c>
      <c r="U48" s="57" t="e">
        <f>(I48/#REF!)*100</f>
        <v>#REF!</v>
      </c>
      <c r="V48" s="57" t="e">
        <f>(J48/#REF!)*100</f>
        <v>#REF!</v>
      </c>
      <c r="W48" s="57" t="e">
        <f>(K48/#REF!)*100</f>
        <v>#REF!</v>
      </c>
      <c r="X48" s="57" t="e">
        <f>(L48/#REF!)*100</f>
        <v>#REF!</v>
      </c>
      <c r="Y48" s="57" t="e">
        <f>(M48/#REF!)*100</f>
        <v>#REF!</v>
      </c>
      <c r="Z48" s="57" t="e">
        <f>(N48/#REF!)*100</f>
        <v>#REF!</v>
      </c>
      <c r="AA48" s="57" t="e">
        <f>(O48/#REF!)*100</f>
        <v>#REF!</v>
      </c>
    </row>
    <row r="49" spans="1:27" ht="20.100000000000001" hidden="1" customHeight="1">
      <c r="A49" s="68">
        <f>'INTERNAL TEST-1  '!A53</f>
        <v>0</v>
      </c>
      <c r="B49" s="68">
        <f>'INTERNAL TEST-1  '!B53</f>
        <v>0</v>
      </c>
      <c r="C49" s="69">
        <f>'INTERNAL TEST-1  '!C53</f>
        <v>0</v>
      </c>
      <c r="D49" s="66"/>
      <c r="E49" s="66"/>
      <c r="F49" s="66"/>
      <c r="G49" s="66"/>
      <c r="H49" s="66"/>
      <c r="I49" s="66"/>
      <c r="J49" s="66"/>
      <c r="K49" s="66"/>
      <c r="L49" s="66"/>
      <c r="M49" s="66"/>
      <c r="N49" s="66"/>
      <c r="O49" s="66"/>
      <c r="P49" s="57" t="e">
        <f>(D49/#REF!)*100</f>
        <v>#REF!</v>
      </c>
      <c r="Q49" s="57" t="e">
        <f>(E49/#REF!)*100</f>
        <v>#REF!</v>
      </c>
      <c r="R49" s="57" t="e">
        <f>(F49/#REF!)*100</f>
        <v>#REF!</v>
      </c>
      <c r="S49" s="57" t="e">
        <f>(G49/#REF!)*100</f>
        <v>#REF!</v>
      </c>
      <c r="T49" s="57" t="e">
        <f>(H49/#REF!)*100</f>
        <v>#REF!</v>
      </c>
      <c r="U49" s="57" t="e">
        <f>(I49/#REF!)*100</f>
        <v>#REF!</v>
      </c>
      <c r="V49" s="57" t="e">
        <f>(J49/#REF!)*100</f>
        <v>#REF!</v>
      </c>
      <c r="W49" s="57" t="e">
        <f>(K49/#REF!)*100</f>
        <v>#REF!</v>
      </c>
      <c r="X49" s="57" t="e">
        <f>(L49/#REF!)*100</f>
        <v>#REF!</v>
      </c>
      <c r="Y49" s="57" t="e">
        <f>(M49/#REF!)*100</f>
        <v>#REF!</v>
      </c>
      <c r="Z49" s="57" t="e">
        <f>(N49/#REF!)*100</f>
        <v>#REF!</v>
      </c>
      <c r="AA49" s="57" t="e">
        <f>(O49/#REF!)*100</f>
        <v>#REF!</v>
      </c>
    </row>
    <row r="50" spans="1:27" ht="20.100000000000001" hidden="1" customHeight="1">
      <c r="A50" s="68">
        <f>'INTERNAL TEST-1  '!A54</f>
        <v>0</v>
      </c>
      <c r="B50" s="68">
        <f>'INTERNAL TEST-1  '!B54</f>
        <v>0</v>
      </c>
      <c r="C50" s="69">
        <f>'INTERNAL TEST-1  '!C54</f>
        <v>0</v>
      </c>
      <c r="D50" s="66"/>
      <c r="E50" s="66"/>
      <c r="F50" s="66"/>
      <c r="G50" s="66"/>
      <c r="H50" s="66"/>
      <c r="I50" s="66"/>
      <c r="J50" s="66"/>
      <c r="K50" s="66"/>
      <c r="L50" s="66"/>
      <c r="M50" s="66"/>
      <c r="N50" s="66"/>
      <c r="O50" s="66"/>
      <c r="P50" s="57" t="e">
        <f>(D50/#REF!)*100</f>
        <v>#REF!</v>
      </c>
      <c r="Q50" s="57" t="e">
        <f>(E50/#REF!)*100</f>
        <v>#REF!</v>
      </c>
      <c r="R50" s="57" t="e">
        <f>(F50/#REF!)*100</f>
        <v>#REF!</v>
      </c>
      <c r="S50" s="57" t="e">
        <f>(G50/#REF!)*100</f>
        <v>#REF!</v>
      </c>
      <c r="T50" s="57" t="e">
        <f>(H50/#REF!)*100</f>
        <v>#REF!</v>
      </c>
      <c r="U50" s="57" t="e">
        <f>(I50/#REF!)*100</f>
        <v>#REF!</v>
      </c>
      <c r="V50" s="57" t="e">
        <f>(J50/#REF!)*100</f>
        <v>#REF!</v>
      </c>
      <c r="W50" s="57" t="e">
        <f>(K50/#REF!)*100</f>
        <v>#REF!</v>
      </c>
      <c r="X50" s="57" t="e">
        <f>(L50/#REF!)*100</f>
        <v>#REF!</v>
      </c>
      <c r="Y50" s="57" t="e">
        <f>(M50/#REF!)*100</f>
        <v>#REF!</v>
      </c>
      <c r="Z50" s="57" t="e">
        <f>(N50/#REF!)*100</f>
        <v>#REF!</v>
      </c>
      <c r="AA50" s="57" t="e">
        <f>(O50/#REF!)*100</f>
        <v>#REF!</v>
      </c>
    </row>
    <row r="51" spans="1:27" ht="20.100000000000001" hidden="1" customHeight="1">
      <c r="A51" s="68">
        <f>'INTERNAL TEST-1  '!A55</f>
        <v>0</v>
      </c>
      <c r="B51" s="68">
        <f>'INTERNAL TEST-1  '!B55</f>
        <v>0</v>
      </c>
      <c r="C51" s="69">
        <f>'INTERNAL TEST-1  '!C55</f>
        <v>0</v>
      </c>
      <c r="D51" s="66"/>
      <c r="E51" s="66"/>
      <c r="F51" s="66"/>
      <c r="G51" s="66"/>
      <c r="H51" s="66"/>
      <c r="I51" s="66"/>
      <c r="J51" s="66"/>
      <c r="K51" s="66"/>
      <c r="L51" s="66"/>
      <c r="M51" s="66"/>
      <c r="N51" s="66"/>
      <c r="O51" s="66"/>
      <c r="P51" s="57" t="e">
        <f>(D51/#REF!)*100</f>
        <v>#REF!</v>
      </c>
      <c r="Q51" s="57" t="e">
        <f>(E51/#REF!)*100</f>
        <v>#REF!</v>
      </c>
      <c r="R51" s="57" t="e">
        <f>(F51/#REF!)*100</f>
        <v>#REF!</v>
      </c>
      <c r="S51" s="57" t="e">
        <f>(G51/#REF!)*100</f>
        <v>#REF!</v>
      </c>
      <c r="T51" s="57" t="e">
        <f>(H51/#REF!)*100</f>
        <v>#REF!</v>
      </c>
      <c r="U51" s="57" t="e">
        <f>(I51/#REF!)*100</f>
        <v>#REF!</v>
      </c>
      <c r="V51" s="57" t="e">
        <f>(J51/#REF!)*100</f>
        <v>#REF!</v>
      </c>
      <c r="W51" s="57" t="e">
        <f>(K51/#REF!)*100</f>
        <v>#REF!</v>
      </c>
      <c r="X51" s="57" t="e">
        <f>(L51/#REF!)*100</f>
        <v>#REF!</v>
      </c>
      <c r="Y51" s="57" t="e">
        <f>(M51/#REF!)*100</f>
        <v>#REF!</v>
      </c>
      <c r="Z51" s="57" t="e">
        <f>(N51/#REF!)*100</f>
        <v>#REF!</v>
      </c>
      <c r="AA51" s="57" t="e">
        <f>(O51/#REF!)*100</f>
        <v>#REF!</v>
      </c>
    </row>
    <row r="52" spans="1:27" ht="20.100000000000001" hidden="1" customHeight="1">
      <c r="A52" s="68">
        <f>'INTERNAL TEST-1  '!A56</f>
        <v>0</v>
      </c>
      <c r="B52" s="68">
        <f>'INTERNAL TEST-1  '!B56</f>
        <v>0</v>
      </c>
      <c r="C52" s="69">
        <f>'INTERNAL TEST-1  '!C56</f>
        <v>0</v>
      </c>
      <c r="D52" s="66"/>
      <c r="E52" s="66"/>
      <c r="F52" s="66"/>
      <c r="G52" s="66"/>
      <c r="H52" s="66"/>
      <c r="I52" s="66"/>
      <c r="J52" s="66"/>
      <c r="K52" s="66"/>
      <c r="L52" s="66"/>
      <c r="M52" s="66"/>
      <c r="N52" s="66"/>
      <c r="O52" s="66"/>
      <c r="P52" s="57" t="e">
        <f>(D52/#REF!)*100</f>
        <v>#REF!</v>
      </c>
      <c r="Q52" s="57" t="e">
        <f>(E52/#REF!)*100</f>
        <v>#REF!</v>
      </c>
      <c r="R52" s="57" t="e">
        <f>(F52/#REF!)*100</f>
        <v>#REF!</v>
      </c>
      <c r="S52" s="57" t="e">
        <f>(G52/#REF!)*100</f>
        <v>#REF!</v>
      </c>
      <c r="T52" s="57" t="e">
        <f>(H52/#REF!)*100</f>
        <v>#REF!</v>
      </c>
      <c r="U52" s="57" t="e">
        <f>(I52/#REF!)*100</f>
        <v>#REF!</v>
      </c>
      <c r="V52" s="57" t="e">
        <f>(J52/#REF!)*100</f>
        <v>#REF!</v>
      </c>
      <c r="W52" s="57" t="e">
        <f>(K52/#REF!)*100</f>
        <v>#REF!</v>
      </c>
      <c r="X52" s="57" t="e">
        <f>(L52/#REF!)*100</f>
        <v>#REF!</v>
      </c>
      <c r="Y52" s="57" t="e">
        <f>(M52/#REF!)*100</f>
        <v>#REF!</v>
      </c>
      <c r="Z52" s="57" t="e">
        <f>(N52/#REF!)*100</f>
        <v>#REF!</v>
      </c>
      <c r="AA52" s="57" t="e">
        <f>(O52/#REF!)*100</f>
        <v>#REF!</v>
      </c>
    </row>
    <row r="53" spans="1:27" ht="20.100000000000001" hidden="1" customHeight="1">
      <c r="A53" s="68">
        <f>'INTERNAL TEST-1  '!A57</f>
        <v>0</v>
      </c>
      <c r="B53" s="68">
        <f>'INTERNAL TEST-1  '!B57</f>
        <v>0</v>
      </c>
      <c r="C53" s="69">
        <f>'INTERNAL TEST-1  '!C57</f>
        <v>0</v>
      </c>
      <c r="D53" s="66"/>
      <c r="E53" s="66"/>
      <c r="F53" s="66"/>
      <c r="G53" s="66"/>
      <c r="H53" s="66"/>
      <c r="I53" s="66"/>
      <c r="J53" s="66"/>
      <c r="K53" s="66"/>
      <c r="L53" s="66"/>
      <c r="M53" s="66"/>
      <c r="N53" s="66"/>
      <c r="O53" s="66"/>
      <c r="P53" s="57" t="e">
        <f>(D53/#REF!)*100</f>
        <v>#REF!</v>
      </c>
      <c r="Q53" s="57" t="e">
        <f>(E53/#REF!)*100</f>
        <v>#REF!</v>
      </c>
      <c r="R53" s="57" t="e">
        <f>(F53/#REF!)*100</f>
        <v>#REF!</v>
      </c>
      <c r="S53" s="57" t="e">
        <f>(G53/#REF!)*100</f>
        <v>#REF!</v>
      </c>
      <c r="T53" s="57" t="e">
        <f>(H53/#REF!)*100</f>
        <v>#REF!</v>
      </c>
      <c r="U53" s="57" t="e">
        <f>(I53/#REF!)*100</f>
        <v>#REF!</v>
      </c>
      <c r="V53" s="57" t="e">
        <f>(J53/#REF!)*100</f>
        <v>#REF!</v>
      </c>
      <c r="W53" s="57" t="e">
        <f>(K53/#REF!)*100</f>
        <v>#REF!</v>
      </c>
      <c r="X53" s="57" t="e">
        <f>(L53/#REF!)*100</f>
        <v>#REF!</v>
      </c>
      <c r="Y53" s="57" t="e">
        <f>(M53/#REF!)*100</f>
        <v>#REF!</v>
      </c>
      <c r="Z53" s="57" t="e">
        <f>(N53/#REF!)*100</f>
        <v>#REF!</v>
      </c>
      <c r="AA53" s="57" t="e">
        <f>(O53/#REF!)*100</f>
        <v>#REF!</v>
      </c>
    </row>
    <row r="54" spans="1:27" hidden="1">
      <c r="A54" s="68">
        <f>'INTERNAL TEST-1  '!A58</f>
        <v>0</v>
      </c>
      <c r="B54" s="68">
        <f>'INTERNAL TEST-1  '!B58</f>
        <v>0</v>
      </c>
      <c r="C54" s="69">
        <f>'INTERNAL TEST-1  '!C58</f>
        <v>0</v>
      </c>
      <c r="D54" s="66"/>
      <c r="E54" s="66"/>
      <c r="F54" s="66"/>
      <c r="G54" s="66"/>
      <c r="H54" s="66"/>
      <c r="I54" s="66"/>
      <c r="J54" s="66"/>
      <c r="K54" s="66"/>
      <c r="L54" s="66"/>
      <c r="M54" s="66"/>
      <c r="N54" s="66"/>
      <c r="O54" s="66"/>
      <c r="P54" s="57" t="e">
        <f>(D54/#REF!)*100</f>
        <v>#REF!</v>
      </c>
      <c r="Q54" s="57" t="e">
        <f>(E54/#REF!)*100</f>
        <v>#REF!</v>
      </c>
      <c r="R54" s="57" t="e">
        <f>(F54/#REF!)*100</f>
        <v>#REF!</v>
      </c>
      <c r="S54" s="57" t="e">
        <f>(G54/#REF!)*100</f>
        <v>#REF!</v>
      </c>
      <c r="T54" s="57" t="e">
        <f>(H54/#REF!)*100</f>
        <v>#REF!</v>
      </c>
      <c r="U54" s="57" t="e">
        <f>(I54/#REF!)*100</f>
        <v>#REF!</v>
      </c>
      <c r="V54" s="57" t="e">
        <f>(J54/#REF!)*100</f>
        <v>#REF!</v>
      </c>
      <c r="W54" s="57" t="e">
        <f>(K54/#REF!)*100</f>
        <v>#REF!</v>
      </c>
      <c r="X54" s="57" t="e">
        <f>(L54/#REF!)*100</f>
        <v>#REF!</v>
      </c>
      <c r="Y54" s="57" t="e">
        <f>(M54/#REF!)*100</f>
        <v>#REF!</v>
      </c>
      <c r="Z54" s="57" t="e">
        <f>(N54/#REF!)*100</f>
        <v>#REF!</v>
      </c>
      <c r="AA54" s="57" t="e">
        <f>(O54/#REF!)*100</f>
        <v>#REF!</v>
      </c>
    </row>
    <row r="55" spans="1:27" ht="20.100000000000001" hidden="1" customHeight="1">
      <c r="A55" s="68">
        <f>'INTERNAL TEST-1  '!A59</f>
        <v>0</v>
      </c>
      <c r="B55" s="68">
        <f>'INTERNAL TEST-1  '!B59</f>
        <v>0</v>
      </c>
      <c r="C55" s="69">
        <f>'INTERNAL TEST-1  '!C59</f>
        <v>0</v>
      </c>
      <c r="D55" s="66"/>
      <c r="E55" s="66"/>
      <c r="F55" s="66"/>
      <c r="G55" s="66"/>
      <c r="H55" s="66"/>
      <c r="I55" s="66"/>
      <c r="J55" s="66"/>
      <c r="K55" s="66"/>
      <c r="L55" s="66"/>
      <c r="M55" s="66"/>
      <c r="N55" s="66"/>
      <c r="O55" s="66"/>
      <c r="P55" s="57" t="e">
        <f>(D55/#REF!)*100</f>
        <v>#REF!</v>
      </c>
      <c r="Q55" s="57" t="e">
        <f>(E55/#REF!)*100</f>
        <v>#REF!</v>
      </c>
      <c r="R55" s="57" t="e">
        <f>(F55/#REF!)*100</f>
        <v>#REF!</v>
      </c>
      <c r="S55" s="57" t="e">
        <f>(G55/#REF!)*100</f>
        <v>#REF!</v>
      </c>
      <c r="T55" s="57" t="e">
        <f>(H55/#REF!)*100</f>
        <v>#REF!</v>
      </c>
      <c r="U55" s="57" t="e">
        <f>(I55/#REF!)*100</f>
        <v>#REF!</v>
      </c>
      <c r="V55" s="57" t="e">
        <f>(J55/#REF!)*100</f>
        <v>#REF!</v>
      </c>
      <c r="W55" s="57" t="e">
        <f>(K55/#REF!)*100</f>
        <v>#REF!</v>
      </c>
      <c r="X55" s="57" t="e">
        <f>(L55/#REF!)*100</f>
        <v>#REF!</v>
      </c>
      <c r="Y55" s="57" t="e">
        <f>(M55/#REF!)*100</f>
        <v>#REF!</v>
      </c>
      <c r="Z55" s="57" t="e">
        <f>(N55/#REF!)*100</f>
        <v>#REF!</v>
      </c>
      <c r="AA55" s="57" t="e">
        <f>(O55/#REF!)*100</f>
        <v>#REF!</v>
      </c>
    </row>
    <row r="56" spans="1:27" ht="20.100000000000001" hidden="1" customHeight="1">
      <c r="A56" s="68">
        <f>'INTERNAL TEST-1  '!A60</f>
        <v>0</v>
      </c>
      <c r="B56" s="68">
        <f>'INTERNAL TEST-1  '!B60</f>
        <v>0</v>
      </c>
      <c r="C56" s="69">
        <f>'INTERNAL TEST-1  '!C60</f>
        <v>0</v>
      </c>
      <c r="D56" s="66"/>
      <c r="E56" s="66"/>
      <c r="F56" s="66"/>
      <c r="G56" s="66"/>
      <c r="H56" s="66"/>
      <c r="I56" s="66"/>
      <c r="J56" s="66"/>
      <c r="K56" s="66"/>
      <c r="L56" s="66"/>
      <c r="M56" s="66"/>
      <c r="N56" s="66"/>
      <c r="O56" s="66"/>
      <c r="P56" s="57" t="e">
        <f>(D56/#REF!)*100</f>
        <v>#REF!</v>
      </c>
      <c r="Q56" s="57" t="e">
        <f>(E56/#REF!)*100</f>
        <v>#REF!</v>
      </c>
      <c r="R56" s="57" t="e">
        <f>(F56/#REF!)*100</f>
        <v>#REF!</v>
      </c>
      <c r="S56" s="57" t="e">
        <f>(G56/#REF!)*100</f>
        <v>#REF!</v>
      </c>
      <c r="T56" s="57" t="e">
        <f>(H56/#REF!)*100</f>
        <v>#REF!</v>
      </c>
      <c r="U56" s="57" t="e">
        <f>(I56/#REF!)*100</f>
        <v>#REF!</v>
      </c>
      <c r="V56" s="57" t="e">
        <f>(J56/#REF!)*100</f>
        <v>#REF!</v>
      </c>
      <c r="W56" s="57" t="e">
        <f>(K56/#REF!)*100</f>
        <v>#REF!</v>
      </c>
      <c r="X56" s="57" t="e">
        <f>(L56/#REF!)*100</f>
        <v>#REF!</v>
      </c>
      <c r="Y56" s="57" t="e">
        <f>(M56/#REF!)*100</f>
        <v>#REF!</v>
      </c>
      <c r="Z56" s="57" t="e">
        <f>(N56/#REF!)*100</f>
        <v>#REF!</v>
      </c>
      <c r="AA56" s="57" t="e">
        <f>(O56/#REF!)*100</f>
        <v>#REF!</v>
      </c>
    </row>
    <row r="57" spans="1:27" ht="20.100000000000001" hidden="1" customHeight="1">
      <c r="A57" s="68">
        <f>'INTERNAL TEST-1  '!A61</f>
        <v>0</v>
      </c>
      <c r="B57" s="68">
        <f>'INTERNAL TEST-1  '!B61</f>
        <v>0</v>
      </c>
      <c r="C57" s="69">
        <f>'INTERNAL TEST-1  '!C61</f>
        <v>0</v>
      </c>
      <c r="D57" s="66"/>
      <c r="E57" s="66"/>
      <c r="F57" s="66"/>
      <c r="G57" s="66"/>
      <c r="H57" s="66"/>
      <c r="I57" s="66"/>
      <c r="J57" s="66"/>
      <c r="K57" s="66"/>
      <c r="L57" s="66"/>
      <c r="M57" s="66"/>
      <c r="N57" s="66"/>
      <c r="O57" s="66"/>
      <c r="P57" s="57" t="e">
        <f>(D57/#REF!)*100</f>
        <v>#REF!</v>
      </c>
      <c r="Q57" s="57" t="e">
        <f>(E57/#REF!)*100</f>
        <v>#REF!</v>
      </c>
      <c r="R57" s="57" t="e">
        <f>(F57/#REF!)*100</f>
        <v>#REF!</v>
      </c>
      <c r="S57" s="57" t="e">
        <f>(G57/#REF!)*100</f>
        <v>#REF!</v>
      </c>
      <c r="T57" s="57" t="e">
        <f>(H57/#REF!)*100</f>
        <v>#REF!</v>
      </c>
      <c r="U57" s="57" t="e">
        <f>(I57/#REF!)*100</f>
        <v>#REF!</v>
      </c>
      <c r="V57" s="57" t="e">
        <f>(J57/#REF!)*100</f>
        <v>#REF!</v>
      </c>
      <c r="W57" s="57" t="e">
        <f>(K57/#REF!)*100</f>
        <v>#REF!</v>
      </c>
      <c r="X57" s="57" t="e">
        <f>(L57/#REF!)*100</f>
        <v>#REF!</v>
      </c>
      <c r="Y57" s="57" t="e">
        <f>(M57/#REF!)*100</f>
        <v>#REF!</v>
      </c>
      <c r="Z57" s="57" t="e">
        <f>(N57/#REF!)*100</f>
        <v>#REF!</v>
      </c>
      <c r="AA57" s="57" t="e">
        <f>(O57/#REF!)*100</f>
        <v>#REF!</v>
      </c>
    </row>
    <row r="58" spans="1:27" ht="20.100000000000001" hidden="1" customHeight="1">
      <c r="A58" s="68">
        <f>'INTERNAL TEST-1  '!A62</f>
        <v>0</v>
      </c>
      <c r="B58" s="68">
        <f>'INTERNAL TEST-1  '!B62</f>
        <v>0</v>
      </c>
      <c r="C58" s="69">
        <f>'INTERNAL TEST-1  '!C62</f>
        <v>0</v>
      </c>
      <c r="D58" s="66"/>
      <c r="E58" s="66"/>
      <c r="F58" s="66"/>
      <c r="G58" s="66"/>
      <c r="H58" s="66"/>
      <c r="I58" s="66"/>
      <c r="J58" s="66"/>
      <c r="K58" s="66"/>
      <c r="L58" s="66"/>
      <c r="M58" s="66"/>
      <c r="N58" s="66"/>
      <c r="O58" s="66"/>
      <c r="P58" s="57" t="e">
        <f>(D58/#REF!)*100</f>
        <v>#REF!</v>
      </c>
      <c r="Q58" s="57" t="e">
        <f>(E58/#REF!)*100</f>
        <v>#REF!</v>
      </c>
      <c r="R58" s="57" t="e">
        <f>(F58/#REF!)*100</f>
        <v>#REF!</v>
      </c>
      <c r="S58" s="57" t="e">
        <f>(G58/#REF!)*100</f>
        <v>#REF!</v>
      </c>
      <c r="T58" s="57" t="e">
        <f>(H58/#REF!)*100</f>
        <v>#REF!</v>
      </c>
      <c r="U58" s="57" t="e">
        <f>(I58/#REF!)*100</f>
        <v>#REF!</v>
      </c>
      <c r="V58" s="57" t="e">
        <f>(J58/#REF!)*100</f>
        <v>#REF!</v>
      </c>
      <c r="W58" s="57" t="e">
        <f>(K58/#REF!)*100</f>
        <v>#REF!</v>
      </c>
      <c r="X58" s="57" t="e">
        <f>(L58/#REF!)*100</f>
        <v>#REF!</v>
      </c>
      <c r="Y58" s="57" t="e">
        <f>(M58/#REF!)*100</f>
        <v>#REF!</v>
      </c>
      <c r="Z58" s="57" t="e">
        <f>(N58/#REF!)*100</f>
        <v>#REF!</v>
      </c>
      <c r="AA58" s="57" t="e">
        <f>(O58/#REF!)*100</f>
        <v>#REF!</v>
      </c>
    </row>
    <row r="59" spans="1:27" ht="20.100000000000001" hidden="1" customHeight="1">
      <c r="A59" s="68">
        <f>'INTERNAL TEST-1  '!A63</f>
        <v>0</v>
      </c>
      <c r="B59" s="68">
        <f>'INTERNAL TEST-1  '!B63</f>
        <v>0</v>
      </c>
      <c r="C59" s="69">
        <f>'INTERNAL TEST-1  '!C63</f>
        <v>0</v>
      </c>
      <c r="D59" s="66"/>
      <c r="E59" s="66"/>
      <c r="F59" s="66"/>
      <c r="G59" s="66"/>
      <c r="H59" s="66"/>
      <c r="I59" s="66"/>
      <c r="J59" s="66"/>
      <c r="K59" s="66"/>
      <c r="L59" s="66"/>
      <c r="M59" s="66"/>
      <c r="N59" s="66"/>
      <c r="O59" s="66"/>
      <c r="P59" s="57" t="e">
        <f>(D59/#REF!)*100</f>
        <v>#REF!</v>
      </c>
      <c r="Q59" s="57" t="e">
        <f>(E59/#REF!)*100</f>
        <v>#REF!</v>
      </c>
      <c r="R59" s="57" t="e">
        <f>(F59/#REF!)*100</f>
        <v>#REF!</v>
      </c>
      <c r="S59" s="57" t="e">
        <f>(G59/#REF!)*100</f>
        <v>#REF!</v>
      </c>
      <c r="T59" s="57" t="e">
        <f>(H59/#REF!)*100</f>
        <v>#REF!</v>
      </c>
      <c r="U59" s="57" t="e">
        <f>(I59/#REF!)*100</f>
        <v>#REF!</v>
      </c>
      <c r="V59" s="57" t="e">
        <f>(J59/#REF!)*100</f>
        <v>#REF!</v>
      </c>
      <c r="W59" s="57" t="e">
        <f>(K59/#REF!)*100</f>
        <v>#REF!</v>
      </c>
      <c r="X59" s="57" t="e">
        <f>(L59/#REF!)*100</f>
        <v>#REF!</v>
      </c>
      <c r="Y59" s="57" t="e">
        <f>(M59/#REF!)*100</f>
        <v>#REF!</v>
      </c>
      <c r="Z59" s="57" t="e">
        <f>(N59/#REF!)*100</f>
        <v>#REF!</v>
      </c>
      <c r="AA59" s="57" t="e">
        <f>(O59/#REF!)*100</f>
        <v>#REF!</v>
      </c>
    </row>
    <row r="60" spans="1:27" ht="20.100000000000001" hidden="1" customHeight="1">
      <c r="A60" s="68">
        <f>'INTERNAL TEST-1  '!A64</f>
        <v>0</v>
      </c>
      <c r="B60" s="68">
        <f>'INTERNAL TEST-1  '!B64</f>
        <v>0</v>
      </c>
      <c r="C60" s="69">
        <f>'INTERNAL TEST-1  '!C64</f>
        <v>0</v>
      </c>
      <c r="D60" s="66"/>
      <c r="E60" s="66"/>
      <c r="F60" s="66"/>
      <c r="G60" s="66"/>
      <c r="H60" s="66"/>
      <c r="I60" s="66"/>
      <c r="J60" s="66"/>
      <c r="K60" s="66"/>
      <c r="L60" s="66"/>
      <c r="M60" s="66"/>
      <c r="N60" s="66"/>
      <c r="O60" s="66"/>
      <c r="P60" s="57" t="e">
        <f>(D60/#REF!)*100</f>
        <v>#REF!</v>
      </c>
      <c r="Q60" s="57" t="e">
        <f>(E60/#REF!)*100</f>
        <v>#REF!</v>
      </c>
      <c r="R60" s="57" t="e">
        <f>(F60/#REF!)*100</f>
        <v>#REF!</v>
      </c>
      <c r="S60" s="57" t="e">
        <f>(G60/#REF!)*100</f>
        <v>#REF!</v>
      </c>
      <c r="T60" s="57" t="e">
        <f>(H60/#REF!)*100</f>
        <v>#REF!</v>
      </c>
      <c r="U60" s="57" t="e">
        <f>(I60/#REF!)*100</f>
        <v>#REF!</v>
      </c>
      <c r="V60" s="57" t="e">
        <f>(J60/#REF!)*100</f>
        <v>#REF!</v>
      </c>
      <c r="W60" s="57" t="e">
        <f>(K60/#REF!)*100</f>
        <v>#REF!</v>
      </c>
      <c r="X60" s="57" t="e">
        <f>(L60/#REF!)*100</f>
        <v>#REF!</v>
      </c>
      <c r="Y60" s="57" t="e">
        <f>(M60/#REF!)*100</f>
        <v>#REF!</v>
      </c>
      <c r="Z60" s="57" t="e">
        <f>(N60/#REF!)*100</f>
        <v>#REF!</v>
      </c>
      <c r="AA60" s="57" t="e">
        <f>(O60/#REF!)*100</f>
        <v>#REF!</v>
      </c>
    </row>
    <row r="61" spans="1:27" ht="20.100000000000001" hidden="1" customHeight="1">
      <c r="A61" s="68">
        <f>'INTERNAL TEST-1  '!A65</f>
        <v>0</v>
      </c>
      <c r="B61" s="68">
        <f>'INTERNAL TEST-1  '!B65</f>
        <v>0</v>
      </c>
      <c r="C61" s="69">
        <f>'INTERNAL TEST-1  '!C65</f>
        <v>0</v>
      </c>
      <c r="D61" s="66"/>
      <c r="E61" s="66"/>
      <c r="F61" s="66"/>
      <c r="G61" s="66"/>
      <c r="H61" s="66"/>
      <c r="I61" s="66"/>
      <c r="J61" s="66"/>
      <c r="K61" s="66"/>
      <c r="L61" s="66"/>
      <c r="M61" s="66"/>
      <c r="N61" s="66"/>
      <c r="O61" s="66"/>
      <c r="P61" s="57" t="e">
        <f>(D61/#REF!)*100</f>
        <v>#REF!</v>
      </c>
      <c r="Q61" s="57" t="e">
        <f>(E61/#REF!)*100</f>
        <v>#REF!</v>
      </c>
      <c r="R61" s="57" t="e">
        <f>(F61/#REF!)*100</f>
        <v>#REF!</v>
      </c>
      <c r="S61" s="57" t="e">
        <f>(G61/#REF!)*100</f>
        <v>#REF!</v>
      </c>
      <c r="T61" s="57" t="e">
        <f>(H61/#REF!)*100</f>
        <v>#REF!</v>
      </c>
      <c r="U61" s="57" t="e">
        <f>(I61/#REF!)*100</f>
        <v>#REF!</v>
      </c>
      <c r="V61" s="57" t="e">
        <f>(J61/#REF!)*100</f>
        <v>#REF!</v>
      </c>
      <c r="W61" s="57" t="e">
        <f>(K61/#REF!)*100</f>
        <v>#REF!</v>
      </c>
      <c r="X61" s="57" t="e">
        <f>(L61/#REF!)*100</f>
        <v>#REF!</v>
      </c>
      <c r="Y61" s="57" t="e">
        <f>(M61/#REF!)*100</f>
        <v>#REF!</v>
      </c>
      <c r="Z61" s="57" t="e">
        <f>(N61/#REF!)*100</f>
        <v>#REF!</v>
      </c>
      <c r="AA61" s="57" t="e">
        <f>(O61/#REF!)*100</f>
        <v>#REF!</v>
      </c>
    </row>
    <row r="62" spans="1:27" ht="20.100000000000001" hidden="1" customHeight="1">
      <c r="A62" s="68">
        <f>'INTERNAL TEST-1  '!A66</f>
        <v>0</v>
      </c>
      <c r="B62" s="68">
        <f>'INTERNAL TEST-1  '!B66</f>
        <v>0</v>
      </c>
      <c r="C62" s="69">
        <f>'INTERNAL TEST-1  '!C66</f>
        <v>0</v>
      </c>
      <c r="D62" s="66"/>
      <c r="E62" s="66"/>
      <c r="F62" s="66"/>
      <c r="G62" s="66"/>
      <c r="H62" s="66"/>
      <c r="I62" s="66"/>
      <c r="J62" s="66"/>
      <c r="K62" s="66"/>
      <c r="L62" s="66"/>
      <c r="M62" s="66"/>
      <c r="N62" s="66"/>
      <c r="O62" s="66"/>
      <c r="P62" s="57" t="e">
        <f>(D62/#REF!)*100</f>
        <v>#REF!</v>
      </c>
      <c r="Q62" s="57" t="e">
        <f>(E62/#REF!)*100</f>
        <v>#REF!</v>
      </c>
      <c r="R62" s="57" t="e">
        <f>(F62/#REF!)*100</f>
        <v>#REF!</v>
      </c>
      <c r="S62" s="57" t="e">
        <f>(G62/#REF!)*100</f>
        <v>#REF!</v>
      </c>
      <c r="T62" s="57" t="e">
        <f>(H62/#REF!)*100</f>
        <v>#REF!</v>
      </c>
      <c r="U62" s="57" t="e">
        <f>(I62/#REF!)*100</f>
        <v>#REF!</v>
      </c>
      <c r="V62" s="57" t="e">
        <f>(J62/#REF!)*100</f>
        <v>#REF!</v>
      </c>
      <c r="W62" s="57" t="e">
        <f>(K62/#REF!)*100</f>
        <v>#REF!</v>
      </c>
      <c r="X62" s="57" t="e">
        <f>(L62/#REF!)*100</f>
        <v>#REF!</v>
      </c>
      <c r="Y62" s="57" t="e">
        <f>(M62/#REF!)*100</f>
        <v>#REF!</v>
      </c>
      <c r="Z62" s="57" t="e">
        <f>(N62/#REF!)*100</f>
        <v>#REF!</v>
      </c>
      <c r="AA62" s="57" t="e">
        <f>(O62/#REF!)*100</f>
        <v>#REF!</v>
      </c>
    </row>
    <row r="63" spans="1:27" ht="20.100000000000001" hidden="1" customHeight="1">
      <c r="A63" s="68">
        <f>'INTERNAL TEST-1  '!A67</f>
        <v>0</v>
      </c>
      <c r="B63" s="68">
        <f>'INTERNAL TEST-1  '!B67</f>
        <v>0</v>
      </c>
      <c r="C63" s="69">
        <f>'INTERNAL TEST-1  '!C67</f>
        <v>0</v>
      </c>
      <c r="D63" s="66"/>
      <c r="E63" s="66"/>
      <c r="F63" s="66"/>
      <c r="G63" s="66"/>
      <c r="H63" s="66"/>
      <c r="I63" s="66"/>
      <c r="J63" s="66"/>
      <c r="K63" s="66"/>
      <c r="L63" s="66"/>
      <c r="M63" s="66"/>
      <c r="N63" s="66"/>
      <c r="O63" s="66"/>
      <c r="P63" s="57" t="e">
        <f>(D63/#REF!)*100</f>
        <v>#REF!</v>
      </c>
      <c r="Q63" s="57" t="e">
        <f>(E63/#REF!)*100</f>
        <v>#REF!</v>
      </c>
      <c r="R63" s="57" t="e">
        <f>(F63/#REF!)*100</f>
        <v>#REF!</v>
      </c>
      <c r="S63" s="57" t="e">
        <f>(G63/#REF!)*100</f>
        <v>#REF!</v>
      </c>
      <c r="T63" s="57" t="e">
        <f>(H63/#REF!)*100</f>
        <v>#REF!</v>
      </c>
      <c r="U63" s="57" t="e">
        <f>(I63/#REF!)*100</f>
        <v>#REF!</v>
      </c>
      <c r="V63" s="57" t="e">
        <f>(J63/#REF!)*100</f>
        <v>#REF!</v>
      </c>
      <c r="W63" s="57" t="e">
        <f>(K63/#REF!)*100</f>
        <v>#REF!</v>
      </c>
      <c r="X63" s="57" t="e">
        <f>(L63/#REF!)*100</f>
        <v>#REF!</v>
      </c>
      <c r="Y63" s="57" t="e">
        <f>(M63/#REF!)*100</f>
        <v>#REF!</v>
      </c>
      <c r="Z63" s="57" t="e">
        <f>(N63/#REF!)*100</f>
        <v>#REF!</v>
      </c>
      <c r="AA63" s="57" t="e">
        <f>(O63/#REF!)*100</f>
        <v>#REF!</v>
      </c>
    </row>
    <row r="64" spans="1:27" ht="20.100000000000001" hidden="1" customHeight="1">
      <c r="A64" s="68">
        <f>'INTERNAL TEST-1  '!A68</f>
        <v>0</v>
      </c>
      <c r="B64" s="68">
        <f>'INTERNAL TEST-1  '!B68</f>
        <v>0</v>
      </c>
      <c r="C64" s="69">
        <f>'INTERNAL TEST-1  '!C68</f>
        <v>0</v>
      </c>
      <c r="D64" s="66"/>
      <c r="E64" s="66"/>
      <c r="F64" s="66"/>
      <c r="G64" s="66"/>
      <c r="H64" s="66"/>
      <c r="I64" s="66"/>
      <c r="J64" s="66"/>
      <c r="K64" s="66"/>
      <c r="L64" s="66"/>
      <c r="M64" s="66"/>
      <c r="N64" s="66"/>
      <c r="O64" s="66"/>
      <c r="P64" s="57" t="e">
        <f>(D64/#REF!)*100</f>
        <v>#REF!</v>
      </c>
      <c r="Q64" s="57" t="e">
        <f>(E64/#REF!)*100</f>
        <v>#REF!</v>
      </c>
      <c r="R64" s="57" t="e">
        <f>(F64/#REF!)*100</f>
        <v>#REF!</v>
      </c>
      <c r="S64" s="57" t="e">
        <f>(G64/#REF!)*100</f>
        <v>#REF!</v>
      </c>
      <c r="T64" s="57" t="e">
        <f>(H64/#REF!)*100</f>
        <v>#REF!</v>
      </c>
      <c r="U64" s="57" t="e">
        <f>(I64/#REF!)*100</f>
        <v>#REF!</v>
      </c>
      <c r="V64" s="57" t="e">
        <f>(J64/#REF!)*100</f>
        <v>#REF!</v>
      </c>
      <c r="W64" s="57" t="e">
        <f>(K64/#REF!)*100</f>
        <v>#REF!</v>
      </c>
      <c r="X64" s="57" t="e">
        <f>(L64/#REF!)*100</f>
        <v>#REF!</v>
      </c>
      <c r="Y64" s="57" t="e">
        <f>(M64/#REF!)*100</f>
        <v>#REF!</v>
      </c>
      <c r="Z64" s="57" t="e">
        <f>(N64/#REF!)*100</f>
        <v>#REF!</v>
      </c>
      <c r="AA64" s="57" t="e">
        <f>(O64/#REF!)*100</f>
        <v>#REF!</v>
      </c>
    </row>
    <row r="65" spans="1:27" ht="20.100000000000001" hidden="1" customHeight="1">
      <c r="A65" s="68">
        <f>'INTERNAL TEST-1  '!A69</f>
        <v>0</v>
      </c>
      <c r="B65" s="68">
        <f>'INTERNAL TEST-1  '!B69</f>
        <v>0</v>
      </c>
      <c r="C65" s="69">
        <f>'INTERNAL TEST-1  '!C69</f>
        <v>0</v>
      </c>
      <c r="D65" s="66"/>
      <c r="E65" s="66"/>
      <c r="F65" s="66"/>
      <c r="G65" s="66"/>
      <c r="H65" s="66"/>
      <c r="I65" s="66"/>
      <c r="J65" s="66"/>
      <c r="K65" s="66"/>
      <c r="L65" s="66"/>
      <c r="M65" s="66"/>
      <c r="N65" s="66"/>
      <c r="O65" s="66"/>
      <c r="P65" s="57" t="e">
        <f>(D65/#REF!)*100</f>
        <v>#REF!</v>
      </c>
      <c r="Q65" s="57" t="e">
        <f>(E65/#REF!)*100</f>
        <v>#REF!</v>
      </c>
      <c r="R65" s="57" t="e">
        <f>(F65/#REF!)*100</f>
        <v>#REF!</v>
      </c>
      <c r="S65" s="57" t="e">
        <f>(G65/#REF!)*100</f>
        <v>#REF!</v>
      </c>
      <c r="T65" s="57" t="e">
        <f>(H65/#REF!)*100</f>
        <v>#REF!</v>
      </c>
      <c r="U65" s="57" t="e">
        <f>(I65/#REF!)*100</f>
        <v>#REF!</v>
      </c>
      <c r="V65" s="57" t="e">
        <f>(J65/#REF!)*100</f>
        <v>#REF!</v>
      </c>
      <c r="W65" s="57" t="e">
        <f>(K65/#REF!)*100</f>
        <v>#REF!</v>
      </c>
      <c r="X65" s="57" t="e">
        <f>(L65/#REF!)*100</f>
        <v>#REF!</v>
      </c>
      <c r="Y65" s="57" t="e">
        <f>(M65/#REF!)*100</f>
        <v>#REF!</v>
      </c>
      <c r="Z65" s="57" t="e">
        <f>(N65/#REF!)*100</f>
        <v>#REF!</v>
      </c>
      <c r="AA65" s="57" t="e">
        <f>(O65/#REF!)*100</f>
        <v>#REF!</v>
      </c>
    </row>
    <row r="66" spans="1:27" ht="20.100000000000001" hidden="1" customHeight="1">
      <c r="A66" s="68">
        <f>'INTERNAL TEST-1  '!A70</f>
        <v>0</v>
      </c>
      <c r="B66" s="68">
        <f>'INTERNAL TEST-1  '!B70</f>
        <v>0</v>
      </c>
      <c r="C66" s="69">
        <f>'INTERNAL TEST-1  '!C70</f>
        <v>0</v>
      </c>
      <c r="D66" s="66"/>
      <c r="E66" s="66"/>
      <c r="F66" s="66"/>
      <c r="G66" s="66"/>
      <c r="H66" s="66"/>
      <c r="I66" s="66"/>
      <c r="J66" s="66"/>
      <c r="K66" s="66"/>
      <c r="L66" s="66"/>
      <c r="M66" s="66"/>
      <c r="N66" s="66"/>
      <c r="O66" s="66"/>
      <c r="P66" s="57" t="e">
        <f>(D66/#REF!)*100</f>
        <v>#REF!</v>
      </c>
      <c r="Q66" s="57" t="e">
        <f>(E66/#REF!)*100</f>
        <v>#REF!</v>
      </c>
      <c r="R66" s="57" t="e">
        <f>(F66/#REF!)*100</f>
        <v>#REF!</v>
      </c>
      <c r="S66" s="57" t="e">
        <f>(G66/#REF!)*100</f>
        <v>#REF!</v>
      </c>
      <c r="T66" s="57" t="e">
        <f>(H66/#REF!)*100</f>
        <v>#REF!</v>
      </c>
      <c r="U66" s="57" t="e">
        <f>(I66/#REF!)*100</f>
        <v>#REF!</v>
      </c>
      <c r="V66" s="57" t="e">
        <f>(J66/#REF!)*100</f>
        <v>#REF!</v>
      </c>
      <c r="W66" s="57" t="e">
        <f>(K66/#REF!)*100</f>
        <v>#REF!</v>
      </c>
      <c r="X66" s="57" t="e">
        <f>(L66/#REF!)*100</f>
        <v>#REF!</v>
      </c>
      <c r="Y66" s="57" t="e">
        <f>(M66/#REF!)*100</f>
        <v>#REF!</v>
      </c>
      <c r="Z66" s="57" t="e">
        <f>(N66/#REF!)*100</f>
        <v>#REF!</v>
      </c>
      <c r="AA66" s="57" t="e">
        <f>(O66/#REF!)*100</f>
        <v>#REF!</v>
      </c>
    </row>
    <row r="67" spans="1:27" ht="20.100000000000001" hidden="1" customHeight="1">
      <c r="A67" s="68">
        <f>'INTERNAL TEST-1  '!A71</f>
        <v>0</v>
      </c>
      <c r="B67" s="68">
        <f>'INTERNAL TEST-1  '!B71</f>
        <v>0</v>
      </c>
      <c r="C67" s="69">
        <f>'INTERNAL TEST-1  '!C71</f>
        <v>0</v>
      </c>
      <c r="D67" s="66"/>
      <c r="E67" s="66"/>
      <c r="F67" s="66"/>
      <c r="G67" s="66"/>
      <c r="H67" s="66"/>
      <c r="I67" s="66"/>
      <c r="J67" s="66"/>
      <c r="K67" s="66"/>
      <c r="L67" s="66"/>
      <c r="M67" s="66"/>
      <c r="N67" s="66"/>
      <c r="O67" s="66"/>
      <c r="P67" s="57" t="e">
        <f>(D67/#REF!)*100</f>
        <v>#REF!</v>
      </c>
      <c r="Q67" s="57" t="e">
        <f>(E67/#REF!)*100</f>
        <v>#REF!</v>
      </c>
      <c r="R67" s="57" t="e">
        <f>(F67/#REF!)*100</f>
        <v>#REF!</v>
      </c>
      <c r="S67" s="57" t="e">
        <f>(G67/#REF!)*100</f>
        <v>#REF!</v>
      </c>
      <c r="T67" s="57" t="e">
        <f>(H67/#REF!)*100</f>
        <v>#REF!</v>
      </c>
      <c r="U67" s="57" t="e">
        <f>(I67/#REF!)*100</f>
        <v>#REF!</v>
      </c>
      <c r="V67" s="57" t="e">
        <f>(J67/#REF!)*100</f>
        <v>#REF!</v>
      </c>
      <c r="W67" s="57" t="e">
        <f>(K67/#REF!)*100</f>
        <v>#REF!</v>
      </c>
      <c r="X67" s="57" t="e">
        <f>(L67/#REF!)*100</f>
        <v>#REF!</v>
      </c>
      <c r="Y67" s="57" t="e">
        <f>(M67/#REF!)*100</f>
        <v>#REF!</v>
      </c>
      <c r="Z67" s="57" t="e">
        <f>(N67/#REF!)*100</f>
        <v>#REF!</v>
      </c>
      <c r="AA67" s="57" t="e">
        <f>(O67/#REF!)*100</f>
        <v>#REF!</v>
      </c>
    </row>
    <row r="68" spans="1:27" ht="20.100000000000001" hidden="1" customHeight="1">
      <c r="A68" s="68">
        <f>'INTERNAL TEST-1  '!A72</f>
        <v>0</v>
      </c>
      <c r="B68" s="68">
        <f>'INTERNAL TEST-1  '!B72</f>
        <v>0</v>
      </c>
      <c r="C68" s="69">
        <f>'INTERNAL TEST-1  '!C72</f>
        <v>0</v>
      </c>
      <c r="D68" s="66"/>
      <c r="E68" s="66"/>
      <c r="F68" s="66"/>
      <c r="G68" s="66"/>
      <c r="H68" s="66"/>
      <c r="I68" s="66"/>
      <c r="J68" s="66"/>
      <c r="K68" s="66"/>
      <c r="L68" s="66"/>
      <c r="M68" s="66"/>
      <c r="N68" s="66"/>
      <c r="O68" s="66"/>
      <c r="P68" s="57" t="e">
        <f>(D68/#REF!)*100</f>
        <v>#REF!</v>
      </c>
      <c r="Q68" s="57" t="e">
        <f>(E68/#REF!)*100</f>
        <v>#REF!</v>
      </c>
      <c r="R68" s="57" t="e">
        <f>(F68/#REF!)*100</f>
        <v>#REF!</v>
      </c>
      <c r="S68" s="57" t="e">
        <f>(G68/#REF!)*100</f>
        <v>#REF!</v>
      </c>
      <c r="T68" s="57" t="e">
        <f>(H68/#REF!)*100</f>
        <v>#REF!</v>
      </c>
      <c r="U68" s="57" t="e">
        <f>(I68/#REF!)*100</f>
        <v>#REF!</v>
      </c>
      <c r="V68" s="57" t="e">
        <f>(J68/#REF!)*100</f>
        <v>#REF!</v>
      </c>
      <c r="W68" s="57" t="e">
        <f>(K68/#REF!)*100</f>
        <v>#REF!</v>
      </c>
      <c r="X68" s="57" t="e">
        <f>(L68/#REF!)*100</f>
        <v>#REF!</v>
      </c>
      <c r="Y68" s="57" t="e">
        <f>(M68/#REF!)*100</f>
        <v>#REF!</v>
      </c>
      <c r="Z68" s="57" t="e">
        <f>(N68/#REF!)*100</f>
        <v>#REF!</v>
      </c>
      <c r="AA68" s="57" t="e">
        <f>(O68/#REF!)*100</f>
        <v>#REF!</v>
      </c>
    </row>
    <row r="69" spans="1:27" ht="20.100000000000001" hidden="1" customHeight="1">
      <c r="A69" s="68">
        <f>'INTERNAL TEST-1  '!A73</f>
        <v>0</v>
      </c>
      <c r="B69" s="68">
        <f>'INTERNAL TEST-1  '!B73</f>
        <v>0</v>
      </c>
      <c r="C69" s="69">
        <f>'INTERNAL TEST-1  '!C73</f>
        <v>0</v>
      </c>
      <c r="D69" s="66"/>
      <c r="E69" s="66"/>
      <c r="F69" s="66"/>
      <c r="G69" s="66"/>
      <c r="H69" s="66"/>
      <c r="I69" s="66"/>
      <c r="J69" s="66"/>
      <c r="K69" s="66"/>
      <c r="L69" s="66"/>
      <c r="M69" s="66"/>
      <c r="N69" s="66"/>
      <c r="O69" s="66"/>
      <c r="P69" s="57" t="e">
        <f>(D69/#REF!)*100</f>
        <v>#REF!</v>
      </c>
      <c r="Q69" s="57" t="e">
        <f>(E69/#REF!)*100</f>
        <v>#REF!</v>
      </c>
      <c r="R69" s="57" t="e">
        <f>(F69/#REF!)*100</f>
        <v>#REF!</v>
      </c>
      <c r="S69" s="57" t="e">
        <f>(G69/#REF!)*100</f>
        <v>#REF!</v>
      </c>
      <c r="T69" s="57" t="e">
        <f>(H69/#REF!)*100</f>
        <v>#REF!</v>
      </c>
      <c r="U69" s="57" t="e">
        <f>(I69/#REF!)*100</f>
        <v>#REF!</v>
      </c>
      <c r="V69" s="57" t="e">
        <f>(J69/#REF!)*100</f>
        <v>#REF!</v>
      </c>
      <c r="W69" s="57" t="e">
        <f>(K69/#REF!)*100</f>
        <v>#REF!</v>
      </c>
      <c r="X69" s="57" t="e">
        <f>(L69/#REF!)*100</f>
        <v>#REF!</v>
      </c>
      <c r="Y69" s="57" t="e">
        <f>(M69/#REF!)*100</f>
        <v>#REF!</v>
      </c>
      <c r="Z69" s="57" t="e">
        <f>(N69/#REF!)*100</f>
        <v>#REF!</v>
      </c>
      <c r="AA69" s="57" t="e">
        <f>(O69/#REF!)*100</f>
        <v>#REF!</v>
      </c>
    </row>
    <row r="70" spans="1:27" ht="20.100000000000001" hidden="1" customHeight="1">
      <c r="A70" s="68">
        <f>'INTERNAL TEST-1  '!A74</f>
        <v>0</v>
      </c>
      <c r="B70" s="68">
        <f>'INTERNAL TEST-1  '!B74</f>
        <v>0</v>
      </c>
      <c r="C70" s="69">
        <f>'INTERNAL TEST-1  '!C74</f>
        <v>0</v>
      </c>
      <c r="D70" s="66"/>
      <c r="E70" s="66"/>
      <c r="F70" s="66"/>
      <c r="G70" s="66"/>
      <c r="H70" s="66"/>
      <c r="I70" s="66"/>
      <c r="J70" s="66"/>
      <c r="K70" s="66"/>
      <c r="L70" s="66"/>
      <c r="M70" s="66"/>
      <c r="N70" s="66"/>
      <c r="O70" s="66"/>
      <c r="P70" s="57" t="e">
        <f>(D70/#REF!)*100</f>
        <v>#REF!</v>
      </c>
      <c r="Q70" s="57" t="e">
        <f>(E70/#REF!)*100</f>
        <v>#REF!</v>
      </c>
      <c r="R70" s="57" t="e">
        <f>(F70/#REF!)*100</f>
        <v>#REF!</v>
      </c>
      <c r="S70" s="57" t="e">
        <f>(G70/#REF!)*100</f>
        <v>#REF!</v>
      </c>
      <c r="T70" s="57" t="e">
        <f>(H70/#REF!)*100</f>
        <v>#REF!</v>
      </c>
      <c r="U70" s="57" t="e">
        <f>(I70/#REF!)*100</f>
        <v>#REF!</v>
      </c>
      <c r="V70" s="57" t="e">
        <f>(J70/#REF!)*100</f>
        <v>#REF!</v>
      </c>
      <c r="W70" s="57" t="e">
        <f>(K70/#REF!)*100</f>
        <v>#REF!</v>
      </c>
      <c r="X70" s="57" t="e">
        <f>(L70/#REF!)*100</f>
        <v>#REF!</v>
      </c>
      <c r="Y70" s="57" t="e">
        <f>(M70/#REF!)*100</f>
        <v>#REF!</v>
      </c>
      <c r="Z70" s="57" t="e">
        <f>(N70/#REF!)*100</f>
        <v>#REF!</v>
      </c>
      <c r="AA70" s="57" t="e">
        <f>(O70/#REF!)*100</f>
        <v>#REF!</v>
      </c>
    </row>
    <row r="71" spans="1:27" ht="20.100000000000001" hidden="1" customHeight="1">
      <c r="A71" s="68">
        <f>'INTERNAL TEST-1  '!A75</f>
        <v>0</v>
      </c>
      <c r="B71" s="68">
        <f>'INTERNAL TEST-1  '!B75</f>
        <v>0</v>
      </c>
      <c r="C71" s="69">
        <f>'INTERNAL TEST-1  '!C75</f>
        <v>0</v>
      </c>
      <c r="D71" s="66"/>
      <c r="E71" s="66"/>
      <c r="F71" s="66"/>
      <c r="G71" s="66"/>
      <c r="H71" s="66"/>
      <c r="I71" s="66"/>
      <c r="J71" s="66"/>
      <c r="K71" s="66"/>
      <c r="L71" s="66"/>
      <c r="M71" s="66"/>
      <c r="N71" s="66"/>
      <c r="O71" s="66"/>
      <c r="P71" s="57" t="e">
        <f>(D71/#REF!)*100</f>
        <v>#REF!</v>
      </c>
      <c r="Q71" s="57" t="e">
        <f>(E71/#REF!)*100</f>
        <v>#REF!</v>
      </c>
      <c r="R71" s="57" t="e">
        <f>(F71/#REF!)*100</f>
        <v>#REF!</v>
      </c>
      <c r="S71" s="57" t="e">
        <f>(G71/#REF!)*100</f>
        <v>#REF!</v>
      </c>
      <c r="T71" s="57" t="e">
        <f>(H71/#REF!)*100</f>
        <v>#REF!</v>
      </c>
      <c r="U71" s="57" t="e">
        <f>(I71/#REF!)*100</f>
        <v>#REF!</v>
      </c>
      <c r="V71" s="57" t="e">
        <f>(J71/#REF!)*100</f>
        <v>#REF!</v>
      </c>
      <c r="W71" s="57" t="e">
        <f>(K71/#REF!)*100</f>
        <v>#REF!</v>
      </c>
      <c r="X71" s="57" t="e">
        <f>(L71/#REF!)*100</f>
        <v>#REF!</v>
      </c>
      <c r="Y71" s="57" t="e">
        <f>(M71/#REF!)*100</f>
        <v>#REF!</v>
      </c>
      <c r="Z71" s="57" t="e">
        <f>(N71/#REF!)*100</f>
        <v>#REF!</v>
      </c>
      <c r="AA71" s="57" t="e">
        <f>(O71/#REF!)*100</f>
        <v>#REF!</v>
      </c>
    </row>
    <row r="72" spans="1:27" ht="20.100000000000001" hidden="1" customHeight="1">
      <c r="A72" s="68">
        <f>'INTERNAL TEST-1  '!A76</f>
        <v>0</v>
      </c>
      <c r="B72" s="68">
        <f>'INTERNAL TEST-1  '!B76</f>
        <v>0</v>
      </c>
      <c r="C72" s="69">
        <f>'INTERNAL TEST-1  '!C76</f>
        <v>0</v>
      </c>
      <c r="D72" s="66"/>
      <c r="E72" s="66"/>
      <c r="F72" s="66"/>
      <c r="G72" s="66"/>
      <c r="H72" s="66"/>
      <c r="I72" s="66"/>
      <c r="J72" s="66"/>
      <c r="K72" s="66"/>
      <c r="L72" s="66"/>
      <c r="M72" s="66"/>
      <c r="N72" s="66"/>
      <c r="O72" s="66"/>
      <c r="P72" s="57" t="e">
        <f>(D72/#REF!)*100</f>
        <v>#REF!</v>
      </c>
      <c r="Q72" s="57" t="e">
        <f>(E72/#REF!)*100</f>
        <v>#REF!</v>
      </c>
      <c r="R72" s="57" t="e">
        <f>(F72/#REF!)*100</f>
        <v>#REF!</v>
      </c>
      <c r="S72" s="57" t="e">
        <f>(G72/#REF!)*100</f>
        <v>#REF!</v>
      </c>
      <c r="T72" s="57" t="e">
        <f>(H72/#REF!)*100</f>
        <v>#REF!</v>
      </c>
      <c r="U72" s="57" t="e">
        <f>(I72/#REF!)*100</f>
        <v>#REF!</v>
      </c>
      <c r="V72" s="57" t="e">
        <f>(J72/#REF!)*100</f>
        <v>#REF!</v>
      </c>
      <c r="W72" s="57" t="e">
        <f>(K72/#REF!)*100</f>
        <v>#REF!</v>
      </c>
      <c r="X72" s="57" t="e">
        <f>(L72/#REF!)*100</f>
        <v>#REF!</v>
      </c>
      <c r="Y72" s="57" t="e">
        <f>(M72/#REF!)*100</f>
        <v>#REF!</v>
      </c>
      <c r="Z72" s="57" t="e">
        <f>(N72/#REF!)*100</f>
        <v>#REF!</v>
      </c>
      <c r="AA72" s="57" t="e">
        <f>(O72/#REF!)*100</f>
        <v>#REF!</v>
      </c>
    </row>
    <row r="73" spans="1:27" ht="20.100000000000001" hidden="1" customHeight="1">
      <c r="A73" s="68">
        <f>'INTERNAL TEST-1  '!A77</f>
        <v>0</v>
      </c>
      <c r="B73" s="68">
        <f>'INTERNAL TEST-1  '!B77</f>
        <v>0</v>
      </c>
      <c r="C73" s="69">
        <f>'INTERNAL TEST-1  '!C77</f>
        <v>0</v>
      </c>
      <c r="D73" s="66"/>
      <c r="E73" s="66"/>
      <c r="F73" s="66"/>
      <c r="G73" s="66"/>
      <c r="H73" s="66"/>
      <c r="I73" s="66"/>
      <c r="J73" s="66"/>
      <c r="K73" s="66"/>
      <c r="L73" s="66"/>
      <c r="M73" s="66"/>
      <c r="N73" s="66"/>
      <c r="O73" s="66"/>
      <c r="P73" s="57" t="e">
        <f>(D73/#REF!)*100</f>
        <v>#REF!</v>
      </c>
      <c r="Q73" s="57" t="e">
        <f>(E73/#REF!)*100</f>
        <v>#REF!</v>
      </c>
      <c r="R73" s="57" t="e">
        <f>(F73/#REF!)*100</f>
        <v>#REF!</v>
      </c>
      <c r="S73" s="57" t="e">
        <f>(G73/#REF!)*100</f>
        <v>#REF!</v>
      </c>
      <c r="T73" s="57" t="e">
        <f>(H73/#REF!)*100</f>
        <v>#REF!</v>
      </c>
      <c r="U73" s="57" t="e">
        <f>(I73/#REF!)*100</f>
        <v>#REF!</v>
      </c>
      <c r="V73" s="57" t="e">
        <f>(J73/#REF!)*100</f>
        <v>#REF!</v>
      </c>
      <c r="W73" s="57" t="e">
        <f>(K73/#REF!)*100</f>
        <v>#REF!</v>
      </c>
      <c r="X73" s="57" t="e">
        <f>(L73/#REF!)*100</f>
        <v>#REF!</v>
      </c>
      <c r="Y73" s="57" t="e">
        <f>(M73/#REF!)*100</f>
        <v>#REF!</v>
      </c>
      <c r="Z73" s="57" t="e">
        <f>(N73/#REF!)*100</f>
        <v>#REF!</v>
      </c>
      <c r="AA73" s="57" t="e">
        <f>(O73/#REF!)*100</f>
        <v>#REF!</v>
      </c>
    </row>
    <row r="74" spans="1:27" ht="20.100000000000001" hidden="1" customHeight="1">
      <c r="A74" s="68">
        <f>'INTERNAL TEST-1  '!A78</f>
        <v>0</v>
      </c>
      <c r="B74" s="68">
        <f>'INTERNAL TEST-1  '!B78</f>
        <v>0</v>
      </c>
      <c r="C74" s="69">
        <f>'INTERNAL TEST-1  '!C78</f>
        <v>0</v>
      </c>
      <c r="D74" s="66"/>
      <c r="E74" s="66"/>
      <c r="F74" s="66"/>
      <c r="G74" s="66"/>
      <c r="H74" s="66"/>
      <c r="I74" s="66"/>
      <c r="J74" s="66"/>
      <c r="K74" s="66"/>
      <c r="L74" s="66"/>
      <c r="M74" s="66"/>
      <c r="N74" s="66"/>
      <c r="O74" s="66"/>
      <c r="P74" s="57" t="e">
        <f>(D74/#REF!)*100</f>
        <v>#REF!</v>
      </c>
      <c r="Q74" s="57" t="e">
        <f>(E74/#REF!)*100</f>
        <v>#REF!</v>
      </c>
      <c r="R74" s="57" t="e">
        <f>(F74/#REF!)*100</f>
        <v>#REF!</v>
      </c>
      <c r="S74" s="57" t="e">
        <f>(G74/#REF!)*100</f>
        <v>#REF!</v>
      </c>
      <c r="T74" s="57" t="e">
        <f>(H74/#REF!)*100</f>
        <v>#REF!</v>
      </c>
      <c r="U74" s="57" t="e">
        <f>(I74/#REF!)*100</f>
        <v>#REF!</v>
      </c>
      <c r="V74" s="57" t="e">
        <f>(J74/#REF!)*100</f>
        <v>#REF!</v>
      </c>
      <c r="W74" s="57" t="e">
        <f>(K74/#REF!)*100</f>
        <v>#REF!</v>
      </c>
      <c r="X74" s="57" t="e">
        <f>(L74/#REF!)*100</f>
        <v>#REF!</v>
      </c>
      <c r="Y74" s="57" t="e">
        <f>(M74/#REF!)*100</f>
        <v>#REF!</v>
      </c>
      <c r="Z74" s="57" t="e">
        <f>(N74/#REF!)*100</f>
        <v>#REF!</v>
      </c>
      <c r="AA74" s="57" t="e">
        <f>(O74/#REF!)*100</f>
        <v>#REF!</v>
      </c>
    </row>
    <row r="75" spans="1:27" ht="20.100000000000001" hidden="1" customHeight="1">
      <c r="A75" s="68">
        <f>'INTERNAL TEST-1  '!A79</f>
        <v>0</v>
      </c>
      <c r="B75" s="68">
        <f>'INTERNAL TEST-1  '!B79</f>
        <v>0</v>
      </c>
      <c r="C75" s="69">
        <f>'INTERNAL TEST-1  '!C79</f>
        <v>0</v>
      </c>
      <c r="D75" s="66"/>
      <c r="E75" s="66"/>
      <c r="F75" s="66"/>
      <c r="G75" s="66"/>
      <c r="H75" s="66"/>
      <c r="I75" s="66"/>
      <c r="J75" s="66"/>
      <c r="K75" s="66"/>
      <c r="L75" s="66"/>
      <c r="M75" s="66"/>
      <c r="N75" s="66"/>
      <c r="O75" s="66"/>
      <c r="P75" s="57" t="e">
        <f>(D75/#REF!)*100</f>
        <v>#REF!</v>
      </c>
      <c r="Q75" s="57" t="e">
        <f>(E75/#REF!)*100</f>
        <v>#REF!</v>
      </c>
      <c r="R75" s="57" t="e">
        <f>(F75/#REF!)*100</f>
        <v>#REF!</v>
      </c>
      <c r="S75" s="57" t="e">
        <f>(G75/#REF!)*100</f>
        <v>#REF!</v>
      </c>
      <c r="T75" s="57" t="e">
        <f>(H75/#REF!)*100</f>
        <v>#REF!</v>
      </c>
      <c r="U75" s="57" t="e">
        <f>(I75/#REF!)*100</f>
        <v>#REF!</v>
      </c>
      <c r="V75" s="57" t="e">
        <f>(J75/#REF!)*100</f>
        <v>#REF!</v>
      </c>
      <c r="W75" s="57" t="e">
        <f>(K75/#REF!)*100</f>
        <v>#REF!</v>
      </c>
      <c r="X75" s="57" t="e">
        <f>(L75/#REF!)*100</f>
        <v>#REF!</v>
      </c>
      <c r="Y75" s="57" t="e">
        <f>(M75/#REF!)*100</f>
        <v>#REF!</v>
      </c>
      <c r="Z75" s="57" t="e">
        <f>(N75/#REF!)*100</f>
        <v>#REF!</v>
      </c>
      <c r="AA75" s="57" t="e">
        <f>(O75/#REF!)*100</f>
        <v>#REF!</v>
      </c>
    </row>
    <row r="76" spans="1:27" ht="20.100000000000001" hidden="1" customHeight="1">
      <c r="A76" s="68">
        <f>'INTERNAL TEST-1  '!A80</f>
        <v>0</v>
      </c>
      <c r="B76" s="68">
        <f>'INTERNAL TEST-1  '!B80</f>
        <v>0</v>
      </c>
      <c r="C76" s="69">
        <f>'INTERNAL TEST-1  '!C80</f>
        <v>0</v>
      </c>
      <c r="D76" s="66"/>
      <c r="E76" s="66"/>
      <c r="F76" s="66"/>
      <c r="G76" s="66"/>
      <c r="H76" s="66"/>
      <c r="I76" s="66"/>
      <c r="J76" s="66"/>
      <c r="K76" s="66"/>
      <c r="L76" s="66"/>
      <c r="M76" s="66"/>
      <c r="N76" s="66"/>
      <c r="O76" s="66"/>
      <c r="P76" s="57" t="e">
        <f>(D76/#REF!)*100</f>
        <v>#REF!</v>
      </c>
      <c r="Q76" s="57" t="e">
        <f>(E76/#REF!)*100</f>
        <v>#REF!</v>
      </c>
      <c r="R76" s="57" t="e">
        <f>(F76/#REF!)*100</f>
        <v>#REF!</v>
      </c>
      <c r="S76" s="57" t="e">
        <f>(G76/#REF!)*100</f>
        <v>#REF!</v>
      </c>
      <c r="T76" s="57" t="e">
        <f>(H76/#REF!)*100</f>
        <v>#REF!</v>
      </c>
      <c r="U76" s="57" t="e">
        <f>(I76/#REF!)*100</f>
        <v>#REF!</v>
      </c>
      <c r="V76" s="57" t="e">
        <f>(J76/#REF!)*100</f>
        <v>#REF!</v>
      </c>
      <c r="W76" s="57" t="e">
        <f>(K76/#REF!)*100</f>
        <v>#REF!</v>
      </c>
      <c r="X76" s="57" t="e">
        <f>(L76/#REF!)*100</f>
        <v>#REF!</v>
      </c>
      <c r="Y76" s="57" t="e">
        <f>(M76/#REF!)*100</f>
        <v>#REF!</v>
      </c>
      <c r="Z76" s="57" t="e">
        <f>(N76/#REF!)*100</f>
        <v>#REF!</v>
      </c>
      <c r="AA76" s="57" t="e">
        <f>(O76/#REF!)*100</f>
        <v>#REF!</v>
      </c>
    </row>
    <row r="77" spans="1:27" ht="20.100000000000001" hidden="1" customHeight="1">
      <c r="A77" s="68">
        <f>'INTERNAL TEST-1  '!A81</f>
        <v>0</v>
      </c>
      <c r="B77" s="68">
        <f>'INTERNAL TEST-1  '!B81</f>
        <v>0</v>
      </c>
      <c r="C77" s="69">
        <f>'INTERNAL TEST-1  '!C81</f>
        <v>0</v>
      </c>
      <c r="D77" s="66"/>
      <c r="E77" s="66"/>
      <c r="F77" s="66"/>
      <c r="G77" s="66"/>
      <c r="H77" s="66"/>
      <c r="I77" s="66"/>
      <c r="J77" s="66"/>
      <c r="K77" s="66"/>
      <c r="L77" s="66"/>
      <c r="M77" s="66"/>
      <c r="N77" s="66"/>
      <c r="O77" s="66"/>
      <c r="P77" s="57" t="e">
        <f>(D77/#REF!)*100</f>
        <v>#REF!</v>
      </c>
      <c r="Q77" s="57" t="e">
        <f>(E77/#REF!)*100</f>
        <v>#REF!</v>
      </c>
      <c r="R77" s="57" t="e">
        <f>(F77/#REF!)*100</f>
        <v>#REF!</v>
      </c>
      <c r="S77" s="57" t="e">
        <f>(G77/#REF!)*100</f>
        <v>#REF!</v>
      </c>
      <c r="T77" s="57" t="e">
        <f>(H77/#REF!)*100</f>
        <v>#REF!</v>
      </c>
      <c r="U77" s="57" t="e">
        <f>(I77/#REF!)*100</f>
        <v>#REF!</v>
      </c>
      <c r="V77" s="57" t="e">
        <f>(J77/#REF!)*100</f>
        <v>#REF!</v>
      </c>
      <c r="W77" s="57" t="e">
        <f>(K77/#REF!)*100</f>
        <v>#REF!</v>
      </c>
      <c r="X77" s="57" t="e">
        <f>(L77/#REF!)*100</f>
        <v>#REF!</v>
      </c>
      <c r="Y77" s="57" t="e">
        <f>(M77/#REF!)*100</f>
        <v>#REF!</v>
      </c>
      <c r="Z77" s="57" t="e">
        <f>(N77/#REF!)*100</f>
        <v>#REF!</v>
      </c>
      <c r="AA77" s="57" t="e">
        <f>(O77/#REF!)*100</f>
        <v>#REF!</v>
      </c>
    </row>
    <row r="78" spans="1:27" ht="20.100000000000001" hidden="1" customHeight="1">
      <c r="A78" s="68">
        <f>'INTERNAL TEST-1  '!A82</f>
        <v>0</v>
      </c>
      <c r="B78" s="68">
        <f>'INTERNAL TEST-1  '!B82</f>
        <v>0</v>
      </c>
      <c r="C78" s="69">
        <f>'INTERNAL TEST-1  '!C82</f>
        <v>0</v>
      </c>
      <c r="D78" s="66"/>
      <c r="E78" s="66"/>
      <c r="F78" s="66"/>
      <c r="G78" s="66"/>
      <c r="H78" s="66"/>
      <c r="I78" s="66"/>
      <c r="J78" s="66"/>
      <c r="K78" s="66"/>
      <c r="L78" s="66"/>
      <c r="M78" s="66"/>
      <c r="N78" s="66"/>
      <c r="O78" s="66"/>
      <c r="P78" s="57" t="e">
        <f>(D78/#REF!)*100</f>
        <v>#REF!</v>
      </c>
      <c r="Q78" s="57" t="e">
        <f>(E78/#REF!)*100</f>
        <v>#REF!</v>
      </c>
      <c r="R78" s="57" t="e">
        <f>(F78/#REF!)*100</f>
        <v>#REF!</v>
      </c>
      <c r="S78" s="57" t="e">
        <f>(G78/#REF!)*100</f>
        <v>#REF!</v>
      </c>
      <c r="T78" s="57" t="e">
        <f>(H78/#REF!)*100</f>
        <v>#REF!</v>
      </c>
      <c r="U78" s="57" t="e">
        <f>(I78/#REF!)*100</f>
        <v>#REF!</v>
      </c>
      <c r="V78" s="57" t="e">
        <f>(J78/#REF!)*100</f>
        <v>#REF!</v>
      </c>
      <c r="W78" s="57" t="e">
        <f>(K78/#REF!)*100</f>
        <v>#REF!</v>
      </c>
      <c r="X78" s="57" t="e">
        <f>(L78/#REF!)*100</f>
        <v>#REF!</v>
      </c>
      <c r="Y78" s="57" t="e">
        <f>(M78/#REF!)*100</f>
        <v>#REF!</v>
      </c>
      <c r="Z78" s="57" t="e">
        <f>(N78/#REF!)*100</f>
        <v>#REF!</v>
      </c>
      <c r="AA78" s="57" t="e">
        <f>(O78/#REF!)*100</f>
        <v>#REF!</v>
      </c>
    </row>
    <row r="79" spans="1:27" hidden="1">
      <c r="A79" s="68">
        <f>'INTERNAL TEST-1  '!A83</f>
        <v>0</v>
      </c>
      <c r="B79" s="68">
        <f>'INTERNAL TEST-1  '!B83</f>
        <v>0</v>
      </c>
      <c r="C79" s="69">
        <f>'INTERNAL TEST-1  '!C83</f>
        <v>0</v>
      </c>
      <c r="D79" s="66"/>
      <c r="E79" s="66"/>
      <c r="F79" s="66"/>
      <c r="G79" s="66"/>
      <c r="H79" s="66"/>
      <c r="I79" s="66"/>
      <c r="J79" s="66"/>
      <c r="K79" s="66"/>
      <c r="L79" s="66"/>
      <c r="M79" s="66"/>
      <c r="N79" s="66"/>
      <c r="O79" s="66"/>
      <c r="P79" s="57" t="e">
        <f>(D79/#REF!)*100</f>
        <v>#REF!</v>
      </c>
      <c r="Q79" s="57" t="e">
        <f>(E79/#REF!)*100</f>
        <v>#REF!</v>
      </c>
      <c r="R79" s="57" t="e">
        <f>(F79/#REF!)*100</f>
        <v>#REF!</v>
      </c>
      <c r="S79" s="57" t="e">
        <f>(G79/#REF!)*100</f>
        <v>#REF!</v>
      </c>
      <c r="T79" s="57" t="e">
        <f>(H79/#REF!)*100</f>
        <v>#REF!</v>
      </c>
      <c r="U79" s="57" t="e">
        <f>(I79/#REF!)*100</f>
        <v>#REF!</v>
      </c>
      <c r="V79" s="57" t="e">
        <f>(J79/#REF!)*100</f>
        <v>#REF!</v>
      </c>
      <c r="W79" s="57" t="e">
        <f>(K79/#REF!)*100</f>
        <v>#REF!</v>
      </c>
      <c r="X79" s="57" t="e">
        <f>(L79/#REF!)*100</f>
        <v>#REF!</v>
      </c>
      <c r="Y79" s="57" t="e">
        <f>(M79/#REF!)*100</f>
        <v>#REF!</v>
      </c>
      <c r="Z79" s="57" t="e">
        <f>(N79/#REF!)*100</f>
        <v>#REF!</v>
      </c>
      <c r="AA79" s="57" t="e">
        <f>(O79/#REF!)*100</f>
        <v>#REF!</v>
      </c>
    </row>
    <row r="80" spans="1:27" ht="20.100000000000001" hidden="1" customHeight="1">
      <c r="A80" s="68">
        <f>'INTERNAL TEST-1  '!A84</f>
        <v>0</v>
      </c>
      <c r="B80" s="68">
        <f>'INTERNAL TEST-1  '!B84</f>
        <v>0</v>
      </c>
      <c r="C80" s="69">
        <f>'INTERNAL TEST-1  '!C84</f>
        <v>0</v>
      </c>
      <c r="D80" s="66"/>
      <c r="E80" s="66"/>
      <c r="F80" s="66"/>
      <c r="G80" s="66"/>
      <c r="H80" s="66"/>
      <c r="I80" s="66"/>
      <c r="J80" s="66"/>
      <c r="K80" s="66"/>
      <c r="L80" s="66"/>
      <c r="M80" s="66"/>
      <c r="N80" s="66"/>
      <c r="O80" s="66"/>
      <c r="P80" s="57" t="e">
        <f>(D80/#REF!)*100</f>
        <v>#REF!</v>
      </c>
      <c r="Q80" s="57" t="e">
        <f>(E80/#REF!)*100</f>
        <v>#REF!</v>
      </c>
      <c r="R80" s="57" t="e">
        <f>(F80/#REF!)*100</f>
        <v>#REF!</v>
      </c>
      <c r="S80" s="57" t="e">
        <f>(G80/#REF!)*100</f>
        <v>#REF!</v>
      </c>
      <c r="T80" s="57" t="e">
        <f>(H80/#REF!)*100</f>
        <v>#REF!</v>
      </c>
      <c r="U80" s="57" t="e">
        <f>(I80/#REF!)*100</f>
        <v>#REF!</v>
      </c>
      <c r="V80" s="57" t="e">
        <f>(J80/#REF!)*100</f>
        <v>#REF!</v>
      </c>
      <c r="W80" s="57" t="e">
        <f>(K80/#REF!)*100</f>
        <v>#REF!</v>
      </c>
      <c r="X80" s="57" t="e">
        <f>(L80/#REF!)*100</f>
        <v>#REF!</v>
      </c>
      <c r="Y80" s="57" t="e">
        <f>(M80/#REF!)*100</f>
        <v>#REF!</v>
      </c>
      <c r="Z80" s="57" t="e">
        <f>(N80/#REF!)*100</f>
        <v>#REF!</v>
      </c>
      <c r="AA80" s="57" t="e">
        <f>(O80/#REF!)*100</f>
        <v>#REF!</v>
      </c>
    </row>
    <row r="81" spans="1:27" ht="20.100000000000001" hidden="1" customHeight="1">
      <c r="A81" s="68">
        <f>'INTERNAL TEST-1  '!A85</f>
        <v>0</v>
      </c>
      <c r="B81" s="68">
        <f>'INTERNAL TEST-1  '!B85</f>
        <v>0</v>
      </c>
      <c r="C81" s="69">
        <f>'INTERNAL TEST-1  '!C85</f>
        <v>0</v>
      </c>
      <c r="D81" s="66"/>
      <c r="E81" s="66"/>
      <c r="F81" s="66"/>
      <c r="G81" s="66"/>
      <c r="H81" s="66"/>
      <c r="I81" s="66"/>
      <c r="J81" s="66"/>
      <c r="K81" s="66"/>
      <c r="L81" s="66"/>
      <c r="M81" s="66"/>
      <c r="N81" s="66"/>
      <c r="O81" s="66"/>
      <c r="P81" s="57" t="e">
        <f>(D81/#REF!)*100</f>
        <v>#REF!</v>
      </c>
      <c r="Q81" s="57" t="e">
        <f>(E81/#REF!)*100</f>
        <v>#REF!</v>
      </c>
      <c r="R81" s="57" t="e">
        <f>(F81/#REF!)*100</f>
        <v>#REF!</v>
      </c>
      <c r="S81" s="57" t="e">
        <f>(G81/#REF!)*100</f>
        <v>#REF!</v>
      </c>
      <c r="T81" s="57" t="e">
        <f>(H81/#REF!)*100</f>
        <v>#REF!</v>
      </c>
      <c r="U81" s="57" t="e">
        <f>(I81/#REF!)*100</f>
        <v>#REF!</v>
      </c>
      <c r="V81" s="57" t="e">
        <f>(J81/#REF!)*100</f>
        <v>#REF!</v>
      </c>
      <c r="W81" s="57" t="e">
        <f>(K81/#REF!)*100</f>
        <v>#REF!</v>
      </c>
      <c r="X81" s="57" t="e">
        <f>(L81/#REF!)*100</f>
        <v>#REF!</v>
      </c>
      <c r="Y81" s="57" t="e">
        <f>(M81/#REF!)*100</f>
        <v>#REF!</v>
      </c>
      <c r="Z81" s="57" t="e">
        <f>(N81/#REF!)*100</f>
        <v>#REF!</v>
      </c>
      <c r="AA81" s="57" t="e">
        <f>(O81/#REF!)*100</f>
        <v>#REF!</v>
      </c>
    </row>
    <row r="82" spans="1:27" ht="20.100000000000001" hidden="1" customHeight="1">
      <c r="A82" s="68">
        <f>'INTERNAL TEST-1  '!A86</f>
        <v>0</v>
      </c>
      <c r="B82" s="68">
        <f>'INTERNAL TEST-1  '!B86</f>
        <v>0</v>
      </c>
      <c r="C82" s="69">
        <f>'INTERNAL TEST-1  '!C86</f>
        <v>0</v>
      </c>
      <c r="D82" s="66"/>
      <c r="E82" s="66"/>
      <c r="F82" s="66"/>
      <c r="G82" s="66"/>
      <c r="H82" s="66"/>
      <c r="I82" s="66"/>
      <c r="J82" s="66"/>
      <c r="K82" s="66"/>
      <c r="L82" s="66"/>
      <c r="M82" s="66"/>
      <c r="N82" s="66"/>
      <c r="O82" s="66"/>
      <c r="P82" s="57" t="e">
        <f>(D82/#REF!)*100</f>
        <v>#REF!</v>
      </c>
      <c r="Q82" s="57" t="e">
        <f>(E82/#REF!)*100</f>
        <v>#REF!</v>
      </c>
      <c r="R82" s="57" t="e">
        <f>(F82/#REF!)*100</f>
        <v>#REF!</v>
      </c>
      <c r="S82" s="57" t="e">
        <f>(G82/#REF!)*100</f>
        <v>#REF!</v>
      </c>
      <c r="T82" s="57" t="e">
        <f>(H82/#REF!)*100</f>
        <v>#REF!</v>
      </c>
      <c r="U82" s="57" t="e">
        <f>(I82/#REF!)*100</f>
        <v>#REF!</v>
      </c>
      <c r="V82" s="57" t="e">
        <f>(J82/#REF!)*100</f>
        <v>#REF!</v>
      </c>
      <c r="W82" s="57" t="e">
        <f>(K82/#REF!)*100</f>
        <v>#REF!</v>
      </c>
      <c r="X82" s="57" t="e">
        <f>(L82/#REF!)*100</f>
        <v>#REF!</v>
      </c>
      <c r="Y82" s="57" t="e">
        <f>(M82/#REF!)*100</f>
        <v>#REF!</v>
      </c>
      <c r="Z82" s="57" t="e">
        <f>(N82/#REF!)*100</f>
        <v>#REF!</v>
      </c>
      <c r="AA82" s="57" t="e">
        <f>(O82/#REF!)*100</f>
        <v>#REF!</v>
      </c>
    </row>
    <row r="83" spans="1:27" ht="20.100000000000001" hidden="1" customHeight="1">
      <c r="A83" s="68">
        <f>'INTERNAL TEST-1  '!A87</f>
        <v>0</v>
      </c>
      <c r="B83" s="68">
        <f>'INTERNAL TEST-1  '!B87</f>
        <v>0</v>
      </c>
      <c r="C83" s="69">
        <f>'INTERNAL TEST-1  '!C87</f>
        <v>0</v>
      </c>
      <c r="D83" s="66"/>
      <c r="E83" s="66"/>
      <c r="F83" s="66"/>
      <c r="G83" s="66"/>
      <c r="H83" s="66"/>
      <c r="I83" s="66"/>
      <c r="J83" s="66"/>
      <c r="K83" s="66"/>
      <c r="L83" s="66"/>
      <c r="M83" s="66"/>
      <c r="N83" s="66"/>
      <c r="O83" s="66"/>
      <c r="P83" s="57" t="e">
        <f>(D83/#REF!)*100</f>
        <v>#REF!</v>
      </c>
      <c r="Q83" s="57" t="e">
        <f>(E83/#REF!)*100</f>
        <v>#REF!</v>
      </c>
      <c r="R83" s="57" t="e">
        <f>(F83/#REF!)*100</f>
        <v>#REF!</v>
      </c>
      <c r="S83" s="57" t="e">
        <f>(G83/#REF!)*100</f>
        <v>#REF!</v>
      </c>
      <c r="T83" s="57" t="e">
        <f>(H83/#REF!)*100</f>
        <v>#REF!</v>
      </c>
      <c r="U83" s="57" t="e">
        <f>(I83/#REF!)*100</f>
        <v>#REF!</v>
      </c>
      <c r="V83" s="57" t="e">
        <f>(J83/#REF!)*100</f>
        <v>#REF!</v>
      </c>
      <c r="W83" s="57" t="e">
        <f>(K83/#REF!)*100</f>
        <v>#REF!</v>
      </c>
      <c r="X83" s="57" t="e">
        <f>(L83/#REF!)*100</f>
        <v>#REF!</v>
      </c>
      <c r="Y83" s="57" t="e">
        <f>(M83/#REF!)*100</f>
        <v>#REF!</v>
      </c>
      <c r="Z83" s="57" t="e">
        <f>(N83/#REF!)*100</f>
        <v>#REF!</v>
      </c>
      <c r="AA83" s="57" t="e">
        <f>(O83/#REF!)*100</f>
        <v>#REF!</v>
      </c>
    </row>
    <row r="84" spans="1:27" ht="20.100000000000001" hidden="1" customHeight="1">
      <c r="A84" s="68">
        <f>'INTERNAL TEST-1  '!A88</f>
        <v>0</v>
      </c>
      <c r="B84" s="68">
        <f>'INTERNAL TEST-1  '!B88</f>
        <v>0</v>
      </c>
      <c r="C84" s="69">
        <f>'INTERNAL TEST-1  '!C88</f>
        <v>0</v>
      </c>
      <c r="D84" s="66"/>
      <c r="E84" s="66"/>
      <c r="F84" s="66"/>
      <c r="G84" s="66"/>
      <c r="H84" s="66"/>
      <c r="I84" s="66"/>
      <c r="J84" s="66"/>
      <c r="K84" s="66"/>
      <c r="L84" s="66"/>
      <c r="M84" s="66"/>
      <c r="N84" s="66"/>
      <c r="O84" s="66"/>
      <c r="P84" s="57" t="e">
        <f>(D84/#REF!)*100</f>
        <v>#REF!</v>
      </c>
      <c r="Q84" s="57" t="e">
        <f>(E84/#REF!)*100</f>
        <v>#REF!</v>
      </c>
      <c r="R84" s="57" t="e">
        <f>(F84/#REF!)*100</f>
        <v>#REF!</v>
      </c>
      <c r="S84" s="57" t="e">
        <f>(G84/#REF!)*100</f>
        <v>#REF!</v>
      </c>
      <c r="T84" s="57" t="e">
        <f>(H84/#REF!)*100</f>
        <v>#REF!</v>
      </c>
      <c r="U84" s="57" t="e">
        <f>(I84/#REF!)*100</f>
        <v>#REF!</v>
      </c>
      <c r="V84" s="57" t="e">
        <f>(J84/#REF!)*100</f>
        <v>#REF!</v>
      </c>
      <c r="W84" s="57" t="e">
        <f>(K84/#REF!)*100</f>
        <v>#REF!</v>
      </c>
      <c r="X84" s="57" t="e">
        <f>(L84/#REF!)*100</f>
        <v>#REF!</v>
      </c>
      <c r="Y84" s="57" t="e">
        <f>(M84/#REF!)*100</f>
        <v>#REF!</v>
      </c>
      <c r="Z84" s="57" t="e">
        <f>(N84/#REF!)*100</f>
        <v>#REF!</v>
      </c>
      <c r="AA84" s="57" t="e">
        <f>(O84/#REF!)*100</f>
        <v>#REF!</v>
      </c>
    </row>
    <row r="85" spans="1:27" ht="20.100000000000001" hidden="1" customHeight="1">
      <c r="A85" s="68">
        <f>'INTERNAL TEST-1  '!A89</f>
        <v>0</v>
      </c>
      <c r="B85" s="68">
        <f>'INTERNAL TEST-1  '!B89</f>
        <v>0</v>
      </c>
      <c r="C85" s="69">
        <f>'INTERNAL TEST-1  '!C89</f>
        <v>0</v>
      </c>
      <c r="D85" s="66"/>
      <c r="E85" s="66"/>
      <c r="F85" s="66"/>
      <c r="G85" s="66"/>
      <c r="H85" s="66"/>
      <c r="I85" s="66"/>
      <c r="J85" s="66"/>
      <c r="K85" s="66"/>
      <c r="L85" s="66"/>
      <c r="M85" s="66"/>
      <c r="N85" s="66"/>
      <c r="O85" s="66"/>
      <c r="P85" s="57" t="e">
        <f>(D85/#REF!)*100</f>
        <v>#REF!</v>
      </c>
      <c r="Q85" s="57" t="e">
        <f>(E85/#REF!)*100</f>
        <v>#REF!</v>
      </c>
      <c r="R85" s="57" t="e">
        <f>(F85/#REF!)*100</f>
        <v>#REF!</v>
      </c>
      <c r="S85" s="57" t="e">
        <f>(G85/#REF!)*100</f>
        <v>#REF!</v>
      </c>
      <c r="T85" s="57" t="e">
        <f>(H85/#REF!)*100</f>
        <v>#REF!</v>
      </c>
      <c r="U85" s="57" t="e">
        <f>(I85/#REF!)*100</f>
        <v>#REF!</v>
      </c>
      <c r="V85" s="57" t="e">
        <f>(J85/#REF!)*100</f>
        <v>#REF!</v>
      </c>
      <c r="W85" s="57" t="e">
        <f>(K85/#REF!)*100</f>
        <v>#REF!</v>
      </c>
      <c r="X85" s="57" t="e">
        <f>(L85/#REF!)*100</f>
        <v>#REF!</v>
      </c>
      <c r="Y85" s="57" t="e">
        <f>(M85/#REF!)*100</f>
        <v>#REF!</v>
      </c>
      <c r="Z85" s="57" t="e">
        <f>(N85/#REF!)*100</f>
        <v>#REF!</v>
      </c>
      <c r="AA85" s="57" t="e">
        <f>(O85/#REF!)*100</f>
        <v>#REF!</v>
      </c>
    </row>
    <row r="86" spans="1:27" ht="20.100000000000001" hidden="1" customHeight="1">
      <c r="A86" s="68">
        <f>'INTERNAL TEST-1  '!A90</f>
        <v>0</v>
      </c>
      <c r="B86" s="68">
        <f>'INTERNAL TEST-1  '!B90</f>
        <v>0</v>
      </c>
      <c r="C86" s="69">
        <f>'INTERNAL TEST-1  '!C90</f>
        <v>0</v>
      </c>
      <c r="D86" s="66"/>
      <c r="E86" s="66"/>
      <c r="F86" s="66"/>
      <c r="G86" s="66"/>
      <c r="H86" s="66"/>
      <c r="I86" s="66"/>
      <c r="J86" s="66"/>
      <c r="K86" s="66"/>
      <c r="L86" s="66"/>
      <c r="M86" s="66"/>
      <c r="N86" s="66"/>
      <c r="O86" s="66"/>
      <c r="P86" s="57" t="e">
        <f>(D86/#REF!)*100</f>
        <v>#REF!</v>
      </c>
      <c r="Q86" s="57" t="e">
        <f>(E86/#REF!)*100</f>
        <v>#REF!</v>
      </c>
      <c r="R86" s="57" t="e">
        <f>(F86/#REF!)*100</f>
        <v>#REF!</v>
      </c>
      <c r="S86" s="57" t="e">
        <f>(G86/#REF!)*100</f>
        <v>#REF!</v>
      </c>
      <c r="T86" s="57" t="e">
        <f>(H86/#REF!)*100</f>
        <v>#REF!</v>
      </c>
      <c r="U86" s="57" t="e">
        <f>(I86/#REF!)*100</f>
        <v>#REF!</v>
      </c>
      <c r="V86" s="57" t="e">
        <f>(J86/#REF!)*100</f>
        <v>#REF!</v>
      </c>
      <c r="W86" s="57" t="e">
        <f>(K86/#REF!)*100</f>
        <v>#REF!</v>
      </c>
      <c r="X86" s="57" t="e">
        <f>(L86/#REF!)*100</f>
        <v>#REF!</v>
      </c>
      <c r="Y86" s="57" t="e">
        <f>(M86/#REF!)*100</f>
        <v>#REF!</v>
      </c>
      <c r="Z86" s="57" t="e">
        <f>(N86/#REF!)*100</f>
        <v>#REF!</v>
      </c>
      <c r="AA86" s="57" t="e">
        <f>(O86/#REF!)*100</f>
        <v>#REF!</v>
      </c>
    </row>
    <row r="87" spans="1:27" ht="20.100000000000001" hidden="1" customHeight="1">
      <c r="A87" s="68">
        <f>'INTERNAL TEST-1  '!A91</f>
        <v>0</v>
      </c>
      <c r="B87" s="68">
        <f>'INTERNAL TEST-1  '!B91</f>
        <v>0</v>
      </c>
      <c r="C87" s="69">
        <f>'INTERNAL TEST-1  '!C91</f>
        <v>0</v>
      </c>
      <c r="D87" s="66"/>
      <c r="E87" s="66"/>
      <c r="F87" s="66"/>
      <c r="G87" s="66"/>
      <c r="H87" s="66"/>
      <c r="I87" s="66"/>
      <c r="J87" s="66"/>
      <c r="K87" s="66"/>
      <c r="L87" s="66"/>
      <c r="M87" s="66"/>
      <c r="N87" s="66"/>
      <c r="O87" s="66"/>
      <c r="P87" s="57" t="e">
        <f>(D87/#REF!)*100</f>
        <v>#REF!</v>
      </c>
      <c r="Q87" s="57" t="e">
        <f>(E87/#REF!)*100</f>
        <v>#REF!</v>
      </c>
      <c r="R87" s="57" t="e">
        <f>(F87/#REF!)*100</f>
        <v>#REF!</v>
      </c>
      <c r="S87" s="57" t="e">
        <f>(G87/#REF!)*100</f>
        <v>#REF!</v>
      </c>
      <c r="T87" s="57" t="e">
        <f>(H87/#REF!)*100</f>
        <v>#REF!</v>
      </c>
      <c r="U87" s="57" t="e">
        <f>(I87/#REF!)*100</f>
        <v>#REF!</v>
      </c>
      <c r="V87" s="57" t="e">
        <f>(J87/#REF!)*100</f>
        <v>#REF!</v>
      </c>
      <c r="W87" s="57" t="e">
        <f>(K87/#REF!)*100</f>
        <v>#REF!</v>
      </c>
      <c r="X87" s="57" t="e">
        <f>(L87/#REF!)*100</f>
        <v>#REF!</v>
      </c>
      <c r="Y87" s="57" t="e">
        <f>(M87/#REF!)*100</f>
        <v>#REF!</v>
      </c>
      <c r="Z87" s="57" t="e">
        <f>(N87/#REF!)*100</f>
        <v>#REF!</v>
      </c>
      <c r="AA87" s="57" t="e">
        <f>(O87/#REF!)*100</f>
        <v>#REF!</v>
      </c>
    </row>
    <row r="88" spans="1:27" ht="20.100000000000001" hidden="1" customHeight="1">
      <c r="A88" s="68">
        <f>'INTERNAL TEST-1  '!A92</f>
        <v>0</v>
      </c>
      <c r="B88" s="68">
        <f>'INTERNAL TEST-1  '!B92</f>
        <v>0</v>
      </c>
      <c r="C88" s="69">
        <f>'INTERNAL TEST-1  '!C92</f>
        <v>0</v>
      </c>
      <c r="D88" s="66"/>
      <c r="E88" s="66"/>
      <c r="F88" s="66"/>
      <c r="G88" s="66"/>
      <c r="H88" s="66"/>
      <c r="I88" s="66"/>
      <c r="J88" s="66"/>
      <c r="K88" s="66"/>
      <c r="L88" s="66"/>
      <c r="M88" s="66"/>
      <c r="N88" s="66"/>
      <c r="O88" s="66"/>
      <c r="P88" s="57" t="e">
        <f>(D88/#REF!)*100</f>
        <v>#REF!</v>
      </c>
      <c r="Q88" s="57" t="e">
        <f>(E88/#REF!)*100</f>
        <v>#REF!</v>
      </c>
      <c r="R88" s="57" t="e">
        <f>(F88/#REF!)*100</f>
        <v>#REF!</v>
      </c>
      <c r="S88" s="57" t="e">
        <f>(G88/#REF!)*100</f>
        <v>#REF!</v>
      </c>
      <c r="T88" s="57" t="e">
        <f>(H88/#REF!)*100</f>
        <v>#REF!</v>
      </c>
      <c r="U88" s="57" t="e">
        <f>(I88/#REF!)*100</f>
        <v>#REF!</v>
      </c>
      <c r="V88" s="57" t="e">
        <f>(J88/#REF!)*100</f>
        <v>#REF!</v>
      </c>
      <c r="W88" s="57" t="e">
        <f>(K88/#REF!)*100</f>
        <v>#REF!</v>
      </c>
      <c r="X88" s="57" t="e">
        <f>(L88/#REF!)*100</f>
        <v>#REF!</v>
      </c>
      <c r="Y88" s="57" t="e">
        <f>(M88/#REF!)*100</f>
        <v>#REF!</v>
      </c>
      <c r="Z88" s="57" t="e">
        <f>(N88/#REF!)*100</f>
        <v>#REF!</v>
      </c>
      <c r="AA88" s="57" t="e">
        <f>(O88/#REF!)*100</f>
        <v>#REF!</v>
      </c>
    </row>
    <row r="89" spans="1:27" ht="20.100000000000001" hidden="1" customHeight="1">
      <c r="A89" s="68">
        <f>'INTERNAL TEST-1  '!A93</f>
        <v>0</v>
      </c>
      <c r="B89" s="68">
        <f>'INTERNAL TEST-1  '!B93</f>
        <v>0</v>
      </c>
      <c r="C89" s="69">
        <f>'INTERNAL TEST-1  '!C93</f>
        <v>0</v>
      </c>
      <c r="D89" s="66"/>
      <c r="E89" s="66"/>
      <c r="F89" s="66"/>
      <c r="G89" s="66"/>
      <c r="H89" s="66"/>
      <c r="I89" s="66"/>
      <c r="J89" s="66"/>
      <c r="K89" s="66"/>
      <c r="L89" s="66"/>
      <c r="M89" s="66"/>
      <c r="N89" s="66"/>
      <c r="O89" s="66"/>
      <c r="P89" s="57" t="e">
        <f>(D89/#REF!)*100</f>
        <v>#REF!</v>
      </c>
      <c r="Q89" s="57" t="e">
        <f>(E89/#REF!)*100</f>
        <v>#REF!</v>
      </c>
      <c r="R89" s="57" t="e">
        <f>(F89/#REF!)*100</f>
        <v>#REF!</v>
      </c>
      <c r="S89" s="57" t="e">
        <f>(G89/#REF!)*100</f>
        <v>#REF!</v>
      </c>
      <c r="T89" s="57" t="e">
        <f>(H89/#REF!)*100</f>
        <v>#REF!</v>
      </c>
      <c r="U89" s="57" t="e">
        <f>(I89/#REF!)*100</f>
        <v>#REF!</v>
      </c>
      <c r="V89" s="57" t="e">
        <f>(J89/#REF!)*100</f>
        <v>#REF!</v>
      </c>
      <c r="W89" s="57" t="e">
        <f>(K89/#REF!)*100</f>
        <v>#REF!</v>
      </c>
      <c r="X89" s="57" t="e">
        <f>(L89/#REF!)*100</f>
        <v>#REF!</v>
      </c>
      <c r="Y89" s="57" t="e">
        <f>(M89/#REF!)*100</f>
        <v>#REF!</v>
      </c>
      <c r="Z89" s="57" t="e">
        <f>(N89/#REF!)*100</f>
        <v>#REF!</v>
      </c>
      <c r="AA89" s="57" t="e">
        <f>(O89/#REF!)*100</f>
        <v>#REF!</v>
      </c>
    </row>
    <row r="90" spans="1:27" ht="20.100000000000001" hidden="1" customHeight="1">
      <c r="A90" s="68">
        <f>'INTERNAL TEST-1  '!A94</f>
        <v>0</v>
      </c>
      <c r="B90" s="68">
        <f>'INTERNAL TEST-1  '!B94</f>
        <v>0</v>
      </c>
      <c r="C90" s="69">
        <f>'INTERNAL TEST-1  '!C94</f>
        <v>0</v>
      </c>
      <c r="D90" s="66"/>
      <c r="E90" s="66"/>
      <c r="F90" s="66"/>
      <c r="G90" s="66"/>
      <c r="H90" s="66"/>
      <c r="I90" s="66"/>
      <c r="J90" s="66"/>
      <c r="K90" s="66"/>
      <c r="L90" s="66"/>
      <c r="M90" s="66"/>
      <c r="N90" s="66"/>
      <c r="O90" s="66"/>
      <c r="P90" s="57" t="e">
        <f>(D90/#REF!)*100</f>
        <v>#REF!</v>
      </c>
      <c r="Q90" s="57" t="e">
        <f>(E90/#REF!)*100</f>
        <v>#REF!</v>
      </c>
      <c r="R90" s="57" t="e">
        <f>(F90/#REF!)*100</f>
        <v>#REF!</v>
      </c>
      <c r="S90" s="57" t="e">
        <f>(G90/#REF!)*100</f>
        <v>#REF!</v>
      </c>
      <c r="T90" s="57" t="e">
        <f>(H90/#REF!)*100</f>
        <v>#REF!</v>
      </c>
      <c r="U90" s="57" t="e">
        <f>(I90/#REF!)*100</f>
        <v>#REF!</v>
      </c>
      <c r="V90" s="57" t="e">
        <f>(J90/#REF!)*100</f>
        <v>#REF!</v>
      </c>
      <c r="W90" s="57" t="e">
        <f>(K90/#REF!)*100</f>
        <v>#REF!</v>
      </c>
      <c r="X90" s="57" t="e">
        <f>(L90/#REF!)*100</f>
        <v>#REF!</v>
      </c>
      <c r="Y90" s="57" t="e">
        <f>(M90/#REF!)*100</f>
        <v>#REF!</v>
      </c>
      <c r="Z90" s="57" t="e">
        <f>(N90/#REF!)*100</f>
        <v>#REF!</v>
      </c>
      <c r="AA90" s="57" t="e">
        <f>(O90/#REF!)*100</f>
        <v>#REF!</v>
      </c>
    </row>
    <row r="91" spans="1:27" ht="20.100000000000001" hidden="1" customHeight="1">
      <c r="A91" s="68">
        <f>'INTERNAL TEST-1  '!A95</f>
        <v>0</v>
      </c>
      <c r="B91" s="68">
        <f>'INTERNAL TEST-1  '!B95</f>
        <v>0</v>
      </c>
      <c r="C91" s="69">
        <f>'INTERNAL TEST-1  '!C95</f>
        <v>0</v>
      </c>
      <c r="D91" s="66"/>
      <c r="E91" s="66"/>
      <c r="F91" s="66"/>
      <c r="G91" s="66"/>
      <c r="H91" s="66"/>
      <c r="I91" s="66"/>
      <c r="J91" s="66"/>
      <c r="K91" s="66"/>
      <c r="L91" s="66"/>
      <c r="M91" s="66"/>
      <c r="N91" s="66"/>
      <c r="O91" s="66"/>
      <c r="P91" s="57" t="e">
        <f>(D91/#REF!)*100</f>
        <v>#REF!</v>
      </c>
      <c r="Q91" s="57" t="e">
        <f>(E91/#REF!)*100</f>
        <v>#REF!</v>
      </c>
      <c r="R91" s="57" t="e">
        <f>(F91/#REF!)*100</f>
        <v>#REF!</v>
      </c>
      <c r="S91" s="57" t="e">
        <f>(G91/#REF!)*100</f>
        <v>#REF!</v>
      </c>
      <c r="T91" s="57" t="e">
        <f>(H91/#REF!)*100</f>
        <v>#REF!</v>
      </c>
      <c r="U91" s="57" t="e">
        <f>(I91/#REF!)*100</f>
        <v>#REF!</v>
      </c>
      <c r="V91" s="57" t="e">
        <f>(J91/#REF!)*100</f>
        <v>#REF!</v>
      </c>
      <c r="W91" s="57" t="e">
        <f>(K91/#REF!)*100</f>
        <v>#REF!</v>
      </c>
      <c r="X91" s="57" t="e">
        <f>(L91/#REF!)*100</f>
        <v>#REF!</v>
      </c>
      <c r="Y91" s="57" t="e">
        <f>(M91/#REF!)*100</f>
        <v>#REF!</v>
      </c>
      <c r="Z91" s="57" t="e">
        <f>(N91/#REF!)*100</f>
        <v>#REF!</v>
      </c>
      <c r="AA91" s="57" t="e">
        <f>(O91/#REF!)*100</f>
        <v>#REF!</v>
      </c>
    </row>
    <row r="92" spans="1:27" ht="20.100000000000001" hidden="1" customHeight="1">
      <c r="A92" s="68">
        <f>'INTERNAL TEST-1  '!A96</f>
        <v>0</v>
      </c>
      <c r="B92" s="68">
        <f>'INTERNAL TEST-1  '!B96</f>
        <v>0</v>
      </c>
      <c r="C92" s="69">
        <f>'INTERNAL TEST-1  '!C96</f>
        <v>0</v>
      </c>
      <c r="D92" s="66"/>
      <c r="E92" s="66"/>
      <c r="F92" s="66"/>
      <c r="G92" s="66"/>
      <c r="H92" s="66"/>
      <c r="I92" s="66"/>
      <c r="J92" s="66"/>
      <c r="K92" s="66"/>
      <c r="L92" s="66"/>
      <c r="M92" s="66"/>
      <c r="N92" s="66"/>
      <c r="O92" s="66"/>
      <c r="P92" s="57" t="e">
        <f>(D92/#REF!)*100</f>
        <v>#REF!</v>
      </c>
      <c r="Q92" s="57" t="e">
        <f>(E92/#REF!)*100</f>
        <v>#REF!</v>
      </c>
      <c r="R92" s="57" t="e">
        <f>(F92/#REF!)*100</f>
        <v>#REF!</v>
      </c>
      <c r="S92" s="57" t="e">
        <f>(G92/#REF!)*100</f>
        <v>#REF!</v>
      </c>
      <c r="T92" s="57" t="e">
        <f>(H92/#REF!)*100</f>
        <v>#REF!</v>
      </c>
      <c r="U92" s="57" t="e">
        <f>(I92/#REF!)*100</f>
        <v>#REF!</v>
      </c>
      <c r="V92" s="57" t="e">
        <f>(J92/#REF!)*100</f>
        <v>#REF!</v>
      </c>
      <c r="W92" s="57" t="e">
        <f>(K92/#REF!)*100</f>
        <v>#REF!</v>
      </c>
      <c r="X92" s="57" t="e">
        <f>(L92/#REF!)*100</f>
        <v>#REF!</v>
      </c>
      <c r="Y92" s="57" t="e">
        <f>(M92/#REF!)*100</f>
        <v>#REF!</v>
      </c>
      <c r="Z92" s="57" t="e">
        <f>(N92/#REF!)*100</f>
        <v>#REF!</v>
      </c>
      <c r="AA92" s="57" t="e">
        <f>(O92/#REF!)*100</f>
        <v>#REF!</v>
      </c>
    </row>
    <row r="93" spans="1:27" ht="20.100000000000001" hidden="1" customHeight="1">
      <c r="A93" s="68">
        <f>'INTERNAL TEST-1  '!A97</f>
        <v>0</v>
      </c>
      <c r="B93" s="68">
        <f>'INTERNAL TEST-1  '!B97</f>
        <v>0</v>
      </c>
      <c r="C93" s="69">
        <f>'INTERNAL TEST-1  '!C97</f>
        <v>0</v>
      </c>
      <c r="D93" s="66"/>
      <c r="E93" s="66"/>
      <c r="F93" s="66"/>
      <c r="G93" s="66"/>
      <c r="H93" s="66"/>
      <c r="I93" s="66"/>
      <c r="J93" s="66"/>
      <c r="K93" s="66"/>
      <c r="L93" s="66"/>
      <c r="M93" s="66"/>
      <c r="N93" s="66"/>
      <c r="O93" s="66"/>
      <c r="P93" s="57" t="e">
        <f>(D93/#REF!)*100</f>
        <v>#REF!</v>
      </c>
      <c r="Q93" s="57" t="e">
        <f>(E93/#REF!)*100</f>
        <v>#REF!</v>
      </c>
      <c r="R93" s="57" t="e">
        <f>(F93/#REF!)*100</f>
        <v>#REF!</v>
      </c>
      <c r="S93" s="57" t="e">
        <f>(G93/#REF!)*100</f>
        <v>#REF!</v>
      </c>
      <c r="T93" s="57" t="e">
        <f>(H93/#REF!)*100</f>
        <v>#REF!</v>
      </c>
      <c r="U93" s="57" t="e">
        <f>(I93/#REF!)*100</f>
        <v>#REF!</v>
      </c>
      <c r="V93" s="57" t="e">
        <f>(J93/#REF!)*100</f>
        <v>#REF!</v>
      </c>
      <c r="W93" s="57" t="e">
        <f>(K93/#REF!)*100</f>
        <v>#REF!</v>
      </c>
      <c r="X93" s="57" t="e">
        <f>(L93/#REF!)*100</f>
        <v>#REF!</v>
      </c>
      <c r="Y93" s="57" t="e">
        <f>(M93/#REF!)*100</f>
        <v>#REF!</v>
      </c>
      <c r="Z93" s="57" t="e">
        <f>(N93/#REF!)*100</f>
        <v>#REF!</v>
      </c>
      <c r="AA93" s="57" t="e">
        <f>(O93/#REF!)*100</f>
        <v>#REF!</v>
      </c>
    </row>
    <row r="94" spans="1:27" ht="20.100000000000001" hidden="1" customHeight="1">
      <c r="A94" s="68">
        <f>'INTERNAL TEST-1  '!A98</f>
        <v>0</v>
      </c>
      <c r="B94" s="68">
        <f>'INTERNAL TEST-1  '!B98</f>
        <v>0</v>
      </c>
      <c r="C94" s="69">
        <f>'INTERNAL TEST-1  '!C98</f>
        <v>0</v>
      </c>
      <c r="D94" s="66"/>
      <c r="E94" s="66"/>
      <c r="F94" s="66"/>
      <c r="G94" s="66"/>
      <c r="H94" s="66"/>
      <c r="I94" s="66"/>
      <c r="J94" s="66"/>
      <c r="K94" s="66"/>
      <c r="L94" s="66"/>
      <c r="M94" s="66"/>
      <c r="N94" s="66"/>
      <c r="O94" s="66"/>
      <c r="P94" s="57" t="e">
        <f>(D94/#REF!)*100</f>
        <v>#REF!</v>
      </c>
      <c r="Q94" s="57" t="e">
        <f>(E94/#REF!)*100</f>
        <v>#REF!</v>
      </c>
      <c r="R94" s="57" t="e">
        <f>(F94/#REF!)*100</f>
        <v>#REF!</v>
      </c>
      <c r="S94" s="57" t="e">
        <f>(G94/#REF!)*100</f>
        <v>#REF!</v>
      </c>
      <c r="T94" s="57" t="e">
        <f>(H94/#REF!)*100</f>
        <v>#REF!</v>
      </c>
      <c r="U94" s="57" t="e">
        <f>(I94/#REF!)*100</f>
        <v>#REF!</v>
      </c>
      <c r="V94" s="57" t="e">
        <f>(J94/#REF!)*100</f>
        <v>#REF!</v>
      </c>
      <c r="W94" s="57" t="e">
        <f>(K94/#REF!)*100</f>
        <v>#REF!</v>
      </c>
      <c r="X94" s="57" t="e">
        <f>(L94/#REF!)*100</f>
        <v>#REF!</v>
      </c>
      <c r="Y94" s="57" t="e">
        <f>(M94/#REF!)*100</f>
        <v>#REF!</v>
      </c>
      <c r="Z94" s="57" t="e">
        <f>(N94/#REF!)*100</f>
        <v>#REF!</v>
      </c>
      <c r="AA94" s="57" t="e">
        <f>(O94/#REF!)*100</f>
        <v>#REF!</v>
      </c>
    </row>
    <row r="95" spans="1:27" ht="34.799999999999997" hidden="1" customHeight="1">
      <c r="A95" s="68">
        <f>'INTERNAL TEST-1  '!A99</f>
        <v>0</v>
      </c>
      <c r="B95" s="68">
        <f>'INTERNAL TEST-1  '!B99</f>
        <v>0</v>
      </c>
      <c r="C95" s="69">
        <f>'INTERNAL TEST-1  '!C99</f>
        <v>0</v>
      </c>
      <c r="D95" s="66"/>
      <c r="E95" s="66"/>
      <c r="F95" s="66"/>
      <c r="G95" s="66"/>
      <c r="H95" s="66"/>
      <c r="I95" s="66"/>
      <c r="J95" s="66"/>
      <c r="K95" s="66"/>
      <c r="L95" s="66"/>
      <c r="M95" s="66"/>
      <c r="N95" s="66"/>
      <c r="O95" s="66"/>
      <c r="P95" s="57" t="e">
        <f>(D95/#REF!)*100</f>
        <v>#REF!</v>
      </c>
      <c r="Q95" s="57" t="e">
        <f>(E95/#REF!)*100</f>
        <v>#REF!</v>
      </c>
      <c r="R95" s="57" t="e">
        <f>(F95/#REF!)*100</f>
        <v>#REF!</v>
      </c>
      <c r="S95" s="57" t="e">
        <f>(G95/#REF!)*100</f>
        <v>#REF!</v>
      </c>
      <c r="T95" s="57" t="e">
        <f>(H95/#REF!)*100</f>
        <v>#REF!</v>
      </c>
      <c r="U95" s="57" t="e">
        <f>(I95/#REF!)*100</f>
        <v>#REF!</v>
      </c>
      <c r="V95" s="57" t="e">
        <f>(J95/#REF!)*100</f>
        <v>#REF!</v>
      </c>
      <c r="W95" s="57" t="e">
        <f>(K95/#REF!)*100</f>
        <v>#REF!</v>
      </c>
      <c r="X95" s="57" t="e">
        <f>(L95/#REF!)*100</f>
        <v>#REF!</v>
      </c>
      <c r="Y95" s="57" t="e">
        <f>(M95/#REF!)*100</f>
        <v>#REF!</v>
      </c>
      <c r="Z95" s="57" t="e">
        <f>(N95/#REF!)*100</f>
        <v>#REF!</v>
      </c>
      <c r="AA95" s="57" t="e">
        <f>(O95/#REF!)*100</f>
        <v>#REF!</v>
      </c>
    </row>
    <row r="96" spans="1:27" ht="20.100000000000001" hidden="1" customHeight="1">
      <c r="A96" s="68">
        <f>'INTERNAL TEST-1  '!A100</f>
        <v>0</v>
      </c>
      <c r="B96" s="68">
        <f>'INTERNAL TEST-1  '!B100</f>
        <v>0</v>
      </c>
      <c r="C96" s="69">
        <f>'INTERNAL TEST-1  '!C100</f>
        <v>0</v>
      </c>
      <c r="D96" s="66"/>
      <c r="E96" s="66"/>
      <c r="F96" s="66"/>
      <c r="G96" s="66"/>
      <c r="H96" s="66"/>
      <c r="I96" s="66"/>
      <c r="J96" s="66"/>
      <c r="K96" s="66"/>
      <c r="L96" s="66"/>
      <c r="M96" s="66"/>
      <c r="N96" s="66"/>
      <c r="O96" s="66"/>
      <c r="P96" s="57" t="e">
        <f>(D96/#REF!)*100</f>
        <v>#REF!</v>
      </c>
      <c r="Q96" s="57" t="e">
        <f>(E96/#REF!)*100</f>
        <v>#REF!</v>
      </c>
      <c r="R96" s="57" t="e">
        <f>(F96/#REF!)*100</f>
        <v>#REF!</v>
      </c>
      <c r="S96" s="57" t="e">
        <f>(G96/#REF!)*100</f>
        <v>#REF!</v>
      </c>
      <c r="T96" s="57" t="e">
        <f>(H96/#REF!)*100</f>
        <v>#REF!</v>
      </c>
      <c r="U96" s="57" t="e">
        <f>(I96/#REF!)*100</f>
        <v>#REF!</v>
      </c>
      <c r="V96" s="57" t="e">
        <f>(J96/#REF!)*100</f>
        <v>#REF!</v>
      </c>
      <c r="W96" s="57" t="e">
        <f>(K96/#REF!)*100</f>
        <v>#REF!</v>
      </c>
      <c r="X96" s="57" t="e">
        <f>(L96/#REF!)*100</f>
        <v>#REF!</v>
      </c>
      <c r="Y96" s="57" t="e">
        <f>(M96/#REF!)*100</f>
        <v>#REF!</v>
      </c>
      <c r="Z96" s="57" t="e">
        <f>(N96/#REF!)*100</f>
        <v>#REF!</v>
      </c>
      <c r="AA96" s="57" t="e">
        <f>(O96/#REF!)*100</f>
        <v>#REF!</v>
      </c>
    </row>
    <row r="97" spans="1:27" ht="20.100000000000001" hidden="1" customHeight="1">
      <c r="A97" s="68">
        <f>'INTERNAL TEST-1  '!A101</f>
        <v>0</v>
      </c>
      <c r="B97" s="68">
        <f>'INTERNAL TEST-1  '!B101</f>
        <v>0</v>
      </c>
      <c r="C97" s="69">
        <f>'INTERNAL TEST-1  '!C101</f>
        <v>0</v>
      </c>
      <c r="D97" s="66"/>
      <c r="E97" s="66"/>
      <c r="F97" s="66"/>
      <c r="G97" s="66"/>
      <c r="H97" s="66"/>
      <c r="I97" s="66"/>
      <c r="J97" s="66"/>
      <c r="K97" s="66"/>
      <c r="L97" s="66"/>
      <c r="M97" s="66"/>
      <c r="N97" s="66"/>
      <c r="O97" s="66"/>
      <c r="P97" s="57" t="e">
        <f>(D97/#REF!)*100</f>
        <v>#REF!</v>
      </c>
      <c r="Q97" s="57" t="e">
        <f>(E97/#REF!)*100</f>
        <v>#REF!</v>
      </c>
      <c r="R97" s="57" t="e">
        <f>(F97/#REF!)*100</f>
        <v>#REF!</v>
      </c>
      <c r="S97" s="57" t="e">
        <f>(G97/#REF!)*100</f>
        <v>#REF!</v>
      </c>
      <c r="T97" s="57" t="e">
        <f>(H97/#REF!)*100</f>
        <v>#REF!</v>
      </c>
      <c r="U97" s="57" t="e">
        <f>(I97/#REF!)*100</f>
        <v>#REF!</v>
      </c>
      <c r="V97" s="57" t="e">
        <f>(J97/#REF!)*100</f>
        <v>#REF!</v>
      </c>
      <c r="W97" s="57" t="e">
        <f>(K97/#REF!)*100</f>
        <v>#REF!</v>
      </c>
      <c r="X97" s="57" t="e">
        <f>(L97/#REF!)*100</f>
        <v>#REF!</v>
      </c>
      <c r="Y97" s="57" t="e">
        <f>(M97/#REF!)*100</f>
        <v>#REF!</v>
      </c>
      <c r="Z97" s="57" t="e">
        <f>(N97/#REF!)*100</f>
        <v>#REF!</v>
      </c>
      <c r="AA97" s="57" t="e">
        <f>(O97/#REF!)*100</f>
        <v>#REF!</v>
      </c>
    </row>
    <row r="98" spans="1:27" ht="20.100000000000001" hidden="1" customHeight="1">
      <c r="A98" s="68">
        <f>'INTERNAL TEST-1  '!A102</f>
        <v>0</v>
      </c>
      <c r="B98" s="68">
        <f>'INTERNAL TEST-1  '!B102</f>
        <v>0</v>
      </c>
      <c r="C98" s="69">
        <f>'INTERNAL TEST-1  '!C102</f>
        <v>0</v>
      </c>
      <c r="D98" s="66"/>
      <c r="E98" s="66"/>
      <c r="F98" s="66"/>
      <c r="G98" s="66"/>
      <c r="H98" s="66"/>
      <c r="I98" s="66"/>
      <c r="J98" s="66"/>
      <c r="K98" s="66"/>
      <c r="L98" s="66"/>
      <c r="M98" s="66"/>
      <c r="N98" s="66"/>
      <c r="O98" s="66"/>
      <c r="P98" s="57" t="e">
        <f>(D98/#REF!)*100</f>
        <v>#REF!</v>
      </c>
      <c r="Q98" s="57" t="e">
        <f>(E98/#REF!)*100</f>
        <v>#REF!</v>
      </c>
      <c r="R98" s="57" t="e">
        <f>(F98/#REF!)*100</f>
        <v>#REF!</v>
      </c>
      <c r="S98" s="57" t="e">
        <f>(G98/#REF!)*100</f>
        <v>#REF!</v>
      </c>
      <c r="T98" s="57" t="e">
        <f>(H98/#REF!)*100</f>
        <v>#REF!</v>
      </c>
      <c r="U98" s="57" t="e">
        <f>(I98/#REF!)*100</f>
        <v>#REF!</v>
      </c>
      <c r="V98" s="57" t="e">
        <f>(J98/#REF!)*100</f>
        <v>#REF!</v>
      </c>
      <c r="W98" s="57" t="e">
        <f>(K98/#REF!)*100</f>
        <v>#REF!</v>
      </c>
      <c r="X98" s="57" t="e">
        <f>(L98/#REF!)*100</f>
        <v>#REF!</v>
      </c>
      <c r="Y98" s="57" t="e">
        <f>(M98/#REF!)*100</f>
        <v>#REF!</v>
      </c>
      <c r="Z98" s="57" t="e">
        <f>(N98/#REF!)*100</f>
        <v>#REF!</v>
      </c>
      <c r="AA98" s="57" t="e">
        <f>(O98/#REF!)*100</f>
        <v>#REF!</v>
      </c>
    </row>
    <row r="99" spans="1:27" ht="20.100000000000001" hidden="1" customHeight="1">
      <c r="A99" s="68">
        <f>'INTERNAL TEST-1  '!A103</f>
        <v>0</v>
      </c>
      <c r="B99" s="68">
        <f>'INTERNAL TEST-1  '!B103</f>
        <v>0</v>
      </c>
      <c r="C99" s="69">
        <f>'INTERNAL TEST-1  '!C103</f>
        <v>0</v>
      </c>
      <c r="D99" s="66"/>
      <c r="E99" s="66"/>
      <c r="F99" s="66"/>
      <c r="G99" s="66"/>
      <c r="H99" s="66"/>
      <c r="I99" s="66"/>
      <c r="J99" s="66"/>
      <c r="K99" s="66"/>
      <c r="L99" s="66"/>
      <c r="M99" s="66"/>
      <c r="N99" s="66"/>
      <c r="O99" s="66"/>
      <c r="P99" s="57" t="e">
        <f>(D99/#REF!)*100</f>
        <v>#REF!</v>
      </c>
      <c r="Q99" s="57" t="e">
        <f>(E99/#REF!)*100</f>
        <v>#REF!</v>
      </c>
      <c r="R99" s="57" t="e">
        <f>(F99/#REF!)*100</f>
        <v>#REF!</v>
      </c>
      <c r="S99" s="57" t="e">
        <f>(G99/#REF!)*100</f>
        <v>#REF!</v>
      </c>
      <c r="T99" s="57" t="e">
        <f>(H99/#REF!)*100</f>
        <v>#REF!</v>
      </c>
      <c r="U99" s="57" t="e">
        <f>(I99/#REF!)*100</f>
        <v>#REF!</v>
      </c>
      <c r="V99" s="57" t="e">
        <f>(J99/#REF!)*100</f>
        <v>#REF!</v>
      </c>
      <c r="W99" s="57" t="e">
        <f>(K99/#REF!)*100</f>
        <v>#REF!</v>
      </c>
      <c r="X99" s="57" t="e">
        <f>(L99/#REF!)*100</f>
        <v>#REF!</v>
      </c>
      <c r="Y99" s="57" t="e">
        <f>(M99/#REF!)*100</f>
        <v>#REF!</v>
      </c>
      <c r="Z99" s="57" t="e">
        <f>(N99/#REF!)*100</f>
        <v>#REF!</v>
      </c>
      <c r="AA99" s="57" t="e">
        <f>(O99/#REF!)*100</f>
        <v>#REF!</v>
      </c>
    </row>
    <row r="100" spans="1:27" ht="20.100000000000001" hidden="1" customHeight="1">
      <c r="A100" s="68">
        <f>'INTERNAL TEST-1  '!A104</f>
        <v>0</v>
      </c>
      <c r="B100" s="68">
        <f>'INTERNAL TEST-1  '!B104</f>
        <v>0</v>
      </c>
      <c r="C100" s="69">
        <f>'INTERNAL TEST-1  '!C104</f>
        <v>0</v>
      </c>
      <c r="D100" s="66"/>
      <c r="E100" s="66"/>
      <c r="F100" s="66"/>
      <c r="G100" s="66"/>
      <c r="H100" s="66"/>
      <c r="I100" s="66"/>
      <c r="J100" s="66"/>
      <c r="K100" s="66"/>
      <c r="L100" s="66"/>
      <c r="M100" s="66"/>
      <c r="N100" s="66"/>
      <c r="O100" s="66"/>
      <c r="P100" s="57" t="e">
        <f>(D100/#REF!)*100</f>
        <v>#REF!</v>
      </c>
      <c r="Q100" s="57" t="e">
        <f>(E100/#REF!)*100</f>
        <v>#REF!</v>
      </c>
      <c r="R100" s="57" t="e">
        <f>(F100/#REF!)*100</f>
        <v>#REF!</v>
      </c>
      <c r="S100" s="57" t="e">
        <f>(G100/#REF!)*100</f>
        <v>#REF!</v>
      </c>
      <c r="T100" s="57" t="e">
        <f>(H100/#REF!)*100</f>
        <v>#REF!</v>
      </c>
      <c r="U100" s="57" t="e">
        <f>(I100/#REF!)*100</f>
        <v>#REF!</v>
      </c>
      <c r="V100" s="57" t="e">
        <f>(J100/#REF!)*100</f>
        <v>#REF!</v>
      </c>
      <c r="W100" s="57" t="e">
        <f>(K100/#REF!)*100</f>
        <v>#REF!</v>
      </c>
      <c r="X100" s="57" t="e">
        <f>(L100/#REF!)*100</f>
        <v>#REF!</v>
      </c>
      <c r="Y100" s="57" t="e">
        <f>(M100/#REF!)*100</f>
        <v>#REF!</v>
      </c>
      <c r="Z100" s="57" t="e">
        <f>(N100/#REF!)*100</f>
        <v>#REF!</v>
      </c>
      <c r="AA100" s="57" t="e">
        <f>(O100/#REF!)*100</f>
        <v>#REF!</v>
      </c>
    </row>
    <row r="101" spans="1:27" ht="20.100000000000001" hidden="1" customHeight="1">
      <c r="A101" s="68">
        <f>'INTERNAL TEST-1  '!A105</f>
        <v>0</v>
      </c>
      <c r="B101" s="68">
        <f>'INTERNAL TEST-1  '!B105</f>
        <v>0</v>
      </c>
      <c r="C101" s="69">
        <f>'INTERNAL TEST-1  '!C105</f>
        <v>0</v>
      </c>
      <c r="D101" s="66"/>
      <c r="E101" s="66"/>
      <c r="F101" s="66"/>
      <c r="G101" s="66"/>
      <c r="H101" s="66"/>
      <c r="I101" s="66"/>
      <c r="J101" s="66"/>
      <c r="K101" s="66"/>
      <c r="L101" s="66"/>
      <c r="M101" s="66"/>
      <c r="N101" s="66"/>
      <c r="O101" s="66"/>
      <c r="P101" s="57" t="e">
        <f>(D101/#REF!)*100</f>
        <v>#REF!</v>
      </c>
      <c r="Q101" s="57" t="e">
        <f>(E101/#REF!)*100</f>
        <v>#REF!</v>
      </c>
      <c r="R101" s="57" t="e">
        <f>(F101/#REF!)*100</f>
        <v>#REF!</v>
      </c>
      <c r="S101" s="57" t="e">
        <f>(G101/#REF!)*100</f>
        <v>#REF!</v>
      </c>
      <c r="T101" s="57" t="e">
        <f>(H101/#REF!)*100</f>
        <v>#REF!</v>
      </c>
      <c r="U101" s="57" t="e">
        <f>(I101/#REF!)*100</f>
        <v>#REF!</v>
      </c>
      <c r="V101" s="57" t="e">
        <f>(J101/#REF!)*100</f>
        <v>#REF!</v>
      </c>
      <c r="W101" s="57" t="e">
        <f>(K101/#REF!)*100</f>
        <v>#REF!</v>
      </c>
      <c r="X101" s="57" t="e">
        <f>(L101/#REF!)*100</f>
        <v>#REF!</v>
      </c>
      <c r="Y101" s="57" t="e">
        <f>(M101/#REF!)*100</f>
        <v>#REF!</v>
      </c>
      <c r="Z101" s="57" t="e">
        <f>(N101/#REF!)*100</f>
        <v>#REF!</v>
      </c>
      <c r="AA101" s="57" t="e">
        <f>(O101/#REF!)*100</f>
        <v>#REF!</v>
      </c>
    </row>
    <row r="102" spans="1:27" ht="20.100000000000001" hidden="1" customHeight="1">
      <c r="A102" s="68">
        <f>'INTERNAL TEST-1  '!A106</f>
        <v>0</v>
      </c>
      <c r="B102" s="68">
        <f>'INTERNAL TEST-1  '!B106</f>
        <v>0</v>
      </c>
      <c r="C102" s="69">
        <f>'INTERNAL TEST-1  '!C106</f>
        <v>0</v>
      </c>
      <c r="D102" s="66"/>
      <c r="E102" s="66"/>
      <c r="F102" s="66"/>
      <c r="G102" s="66"/>
      <c r="H102" s="66"/>
      <c r="I102" s="66"/>
      <c r="J102" s="66"/>
      <c r="K102" s="66"/>
      <c r="L102" s="66"/>
      <c r="M102" s="66"/>
      <c r="N102" s="66"/>
      <c r="O102" s="66"/>
      <c r="P102" s="57" t="e">
        <f>(D102/#REF!)*100</f>
        <v>#REF!</v>
      </c>
      <c r="Q102" s="57" t="e">
        <f>(E102/#REF!)*100</f>
        <v>#REF!</v>
      </c>
      <c r="R102" s="57" t="e">
        <f>(F102/#REF!)*100</f>
        <v>#REF!</v>
      </c>
      <c r="S102" s="57" t="e">
        <f>(G102/#REF!)*100</f>
        <v>#REF!</v>
      </c>
      <c r="T102" s="57" t="e">
        <f>(H102/#REF!)*100</f>
        <v>#REF!</v>
      </c>
      <c r="U102" s="57" t="e">
        <f>(I102/#REF!)*100</f>
        <v>#REF!</v>
      </c>
      <c r="V102" s="57" t="e">
        <f>(J102/#REF!)*100</f>
        <v>#REF!</v>
      </c>
      <c r="W102" s="57" t="e">
        <f>(K102/#REF!)*100</f>
        <v>#REF!</v>
      </c>
      <c r="X102" s="57" t="e">
        <f>(L102/#REF!)*100</f>
        <v>#REF!</v>
      </c>
      <c r="Y102" s="57" t="e">
        <f>(M102/#REF!)*100</f>
        <v>#REF!</v>
      </c>
      <c r="Z102" s="57" t="e">
        <f>(N102/#REF!)*100</f>
        <v>#REF!</v>
      </c>
      <c r="AA102" s="57" t="e">
        <f>(O102/#REF!)*100</f>
        <v>#REF!</v>
      </c>
    </row>
    <row r="103" spans="1:27" ht="20.100000000000001" hidden="1" customHeight="1">
      <c r="A103" s="68">
        <f>'INTERNAL TEST-1  '!A107</f>
        <v>0</v>
      </c>
      <c r="B103" s="68">
        <f>'INTERNAL TEST-1  '!B107</f>
        <v>0</v>
      </c>
      <c r="C103" s="69">
        <f>'INTERNAL TEST-1  '!C107</f>
        <v>0</v>
      </c>
      <c r="D103" s="66"/>
      <c r="E103" s="66"/>
      <c r="F103" s="66"/>
      <c r="G103" s="66"/>
      <c r="H103" s="66"/>
      <c r="I103" s="66"/>
      <c r="J103" s="66"/>
      <c r="K103" s="66"/>
      <c r="L103" s="66"/>
      <c r="M103" s="66"/>
      <c r="N103" s="66"/>
      <c r="O103" s="66"/>
      <c r="P103" s="57" t="e">
        <f>(D103/#REF!)*100</f>
        <v>#REF!</v>
      </c>
      <c r="Q103" s="57" t="e">
        <f>(E103/#REF!)*100</f>
        <v>#REF!</v>
      </c>
      <c r="R103" s="57" t="e">
        <f>(F103/#REF!)*100</f>
        <v>#REF!</v>
      </c>
      <c r="S103" s="57" t="e">
        <f>(G103/#REF!)*100</f>
        <v>#REF!</v>
      </c>
      <c r="T103" s="57" t="e">
        <f>(H103/#REF!)*100</f>
        <v>#REF!</v>
      </c>
      <c r="U103" s="57" t="e">
        <f>(I103/#REF!)*100</f>
        <v>#REF!</v>
      </c>
      <c r="V103" s="57" t="e">
        <f>(J103/#REF!)*100</f>
        <v>#REF!</v>
      </c>
      <c r="W103" s="57" t="e">
        <f>(K103/#REF!)*100</f>
        <v>#REF!</v>
      </c>
      <c r="X103" s="57" t="e">
        <f>(L103/#REF!)*100</f>
        <v>#REF!</v>
      </c>
      <c r="Y103" s="57" t="e">
        <f>(M103/#REF!)*100</f>
        <v>#REF!</v>
      </c>
      <c r="Z103" s="57" t="e">
        <f>(N103/#REF!)*100</f>
        <v>#REF!</v>
      </c>
      <c r="AA103" s="57" t="e">
        <f>(O103/#REF!)*100</f>
        <v>#REF!</v>
      </c>
    </row>
    <row r="104" spans="1:27" ht="20.100000000000001" hidden="1" customHeight="1">
      <c r="A104" s="68">
        <f>'INTERNAL TEST-1  '!A108</f>
        <v>0</v>
      </c>
      <c r="B104" s="68">
        <f>'INTERNAL TEST-1  '!B108</f>
        <v>0</v>
      </c>
      <c r="C104" s="69">
        <f>'INTERNAL TEST-1  '!C108</f>
        <v>0</v>
      </c>
      <c r="D104" s="66"/>
      <c r="E104" s="66"/>
      <c r="F104" s="66"/>
      <c r="G104" s="66"/>
      <c r="H104" s="66"/>
      <c r="I104" s="66"/>
      <c r="J104" s="66"/>
      <c r="K104" s="66"/>
      <c r="L104" s="66"/>
      <c r="M104" s="66"/>
      <c r="N104" s="66"/>
      <c r="O104" s="66"/>
      <c r="P104" s="57" t="e">
        <f>(D104/#REF!)*100</f>
        <v>#REF!</v>
      </c>
      <c r="Q104" s="57" t="e">
        <f>(E104/#REF!)*100</f>
        <v>#REF!</v>
      </c>
      <c r="R104" s="57" t="e">
        <f>(F104/#REF!)*100</f>
        <v>#REF!</v>
      </c>
      <c r="S104" s="57" t="e">
        <f>(G104/#REF!)*100</f>
        <v>#REF!</v>
      </c>
      <c r="T104" s="57" t="e">
        <f>(H104/#REF!)*100</f>
        <v>#REF!</v>
      </c>
      <c r="U104" s="57" t="e">
        <f>(I104/#REF!)*100</f>
        <v>#REF!</v>
      </c>
      <c r="V104" s="57" t="e">
        <f>(J104/#REF!)*100</f>
        <v>#REF!</v>
      </c>
      <c r="W104" s="57" t="e">
        <f>(K104/#REF!)*100</f>
        <v>#REF!</v>
      </c>
      <c r="X104" s="57" t="e">
        <f>(L104/#REF!)*100</f>
        <v>#REF!</v>
      </c>
      <c r="Y104" s="57" t="e">
        <f>(M104/#REF!)*100</f>
        <v>#REF!</v>
      </c>
      <c r="Z104" s="57" t="e">
        <f>(N104/#REF!)*100</f>
        <v>#REF!</v>
      </c>
      <c r="AA104" s="57" t="e">
        <f>(O104/#REF!)*100</f>
        <v>#REF!</v>
      </c>
    </row>
    <row r="105" spans="1:27" ht="20.100000000000001" hidden="1" customHeight="1">
      <c r="A105" s="68">
        <f>'INTERNAL TEST-1  '!A109</f>
        <v>0</v>
      </c>
      <c r="B105" s="68">
        <f>'INTERNAL TEST-1  '!B109</f>
        <v>0</v>
      </c>
      <c r="C105" s="69">
        <f>'INTERNAL TEST-1  '!C109</f>
        <v>0</v>
      </c>
      <c r="D105" s="66"/>
      <c r="E105" s="66"/>
      <c r="F105" s="66"/>
      <c r="G105" s="66"/>
      <c r="H105" s="66"/>
      <c r="I105" s="66"/>
      <c r="J105" s="66"/>
      <c r="K105" s="66"/>
      <c r="L105" s="66"/>
      <c r="M105" s="66"/>
      <c r="N105" s="66"/>
      <c r="O105" s="66"/>
      <c r="P105" s="57" t="e">
        <f>(D105/#REF!)*100</f>
        <v>#REF!</v>
      </c>
      <c r="Q105" s="57" t="e">
        <f>(E105/#REF!)*100</f>
        <v>#REF!</v>
      </c>
      <c r="R105" s="57" t="e">
        <f>(F105/#REF!)*100</f>
        <v>#REF!</v>
      </c>
      <c r="S105" s="57" t="e">
        <f>(G105/#REF!)*100</f>
        <v>#REF!</v>
      </c>
      <c r="T105" s="57" t="e">
        <f>(H105/#REF!)*100</f>
        <v>#REF!</v>
      </c>
      <c r="U105" s="57" t="e">
        <f>(I105/#REF!)*100</f>
        <v>#REF!</v>
      </c>
      <c r="V105" s="57" t="e">
        <f>(J105/#REF!)*100</f>
        <v>#REF!</v>
      </c>
      <c r="W105" s="57" t="e">
        <f>(K105/#REF!)*100</f>
        <v>#REF!</v>
      </c>
      <c r="X105" s="57" t="e">
        <f>(L105/#REF!)*100</f>
        <v>#REF!</v>
      </c>
      <c r="Y105" s="57" t="e">
        <f>(M105/#REF!)*100</f>
        <v>#REF!</v>
      </c>
      <c r="Z105" s="57" t="e">
        <f>(N105/#REF!)*100</f>
        <v>#REF!</v>
      </c>
      <c r="AA105" s="57" t="e">
        <f>(O105/#REF!)*100</f>
        <v>#REF!</v>
      </c>
    </row>
    <row r="106" spans="1:27" ht="20.100000000000001" hidden="1" customHeight="1">
      <c r="A106" s="68">
        <f>'INTERNAL TEST-1  '!A110</f>
        <v>0</v>
      </c>
      <c r="B106" s="68">
        <f>'INTERNAL TEST-1  '!B110</f>
        <v>0</v>
      </c>
      <c r="C106" s="69">
        <f>'INTERNAL TEST-1  '!C110</f>
        <v>0</v>
      </c>
      <c r="D106" s="66"/>
      <c r="E106" s="66"/>
      <c r="F106" s="66"/>
      <c r="G106" s="66"/>
      <c r="H106" s="66"/>
      <c r="I106" s="66"/>
      <c r="J106" s="66"/>
      <c r="K106" s="66"/>
      <c r="L106" s="66"/>
      <c r="M106" s="66"/>
      <c r="N106" s="66"/>
      <c r="O106" s="66"/>
      <c r="P106" s="57" t="e">
        <f>(D106/#REF!)*100</f>
        <v>#REF!</v>
      </c>
      <c r="Q106" s="57" t="e">
        <f>(E106/#REF!)*100</f>
        <v>#REF!</v>
      </c>
      <c r="R106" s="57" t="e">
        <f>(F106/#REF!)*100</f>
        <v>#REF!</v>
      </c>
      <c r="S106" s="57" t="e">
        <f>(G106/#REF!)*100</f>
        <v>#REF!</v>
      </c>
      <c r="T106" s="57" t="e">
        <f>(H106/#REF!)*100</f>
        <v>#REF!</v>
      </c>
      <c r="U106" s="57" t="e">
        <f>(I106/#REF!)*100</f>
        <v>#REF!</v>
      </c>
      <c r="V106" s="57" t="e">
        <f>(J106/#REF!)*100</f>
        <v>#REF!</v>
      </c>
      <c r="W106" s="57" t="e">
        <f>(K106/#REF!)*100</f>
        <v>#REF!</v>
      </c>
      <c r="X106" s="57" t="e">
        <f>(L106/#REF!)*100</f>
        <v>#REF!</v>
      </c>
      <c r="Y106" s="57" t="e">
        <f>(M106/#REF!)*100</f>
        <v>#REF!</v>
      </c>
      <c r="Z106" s="57" t="e">
        <f>(N106/#REF!)*100</f>
        <v>#REF!</v>
      </c>
      <c r="AA106" s="57" t="e">
        <f>(O106/#REF!)*100</f>
        <v>#REF!</v>
      </c>
    </row>
    <row r="107" spans="1:27" ht="20.100000000000001" hidden="1" customHeight="1">
      <c r="A107" s="68">
        <f>'INTERNAL TEST-1  '!A111</f>
        <v>0</v>
      </c>
      <c r="B107" s="68">
        <f>'INTERNAL TEST-1  '!B111</f>
        <v>0</v>
      </c>
      <c r="C107" s="69">
        <f>'INTERNAL TEST-1  '!C111</f>
        <v>0</v>
      </c>
      <c r="D107" s="66"/>
      <c r="E107" s="66"/>
      <c r="F107" s="66"/>
      <c r="G107" s="66"/>
      <c r="H107" s="66"/>
      <c r="I107" s="66"/>
      <c r="J107" s="66"/>
      <c r="K107" s="66"/>
      <c r="L107" s="66"/>
      <c r="M107" s="66"/>
      <c r="N107" s="66"/>
      <c r="O107" s="66"/>
      <c r="P107" s="57" t="e">
        <f>(D107/#REF!)*100</f>
        <v>#REF!</v>
      </c>
      <c r="Q107" s="57" t="e">
        <f>(E107/#REF!)*100</f>
        <v>#REF!</v>
      </c>
      <c r="R107" s="57" t="e">
        <f>(F107/#REF!)*100</f>
        <v>#REF!</v>
      </c>
      <c r="S107" s="57" t="e">
        <f>(G107/#REF!)*100</f>
        <v>#REF!</v>
      </c>
      <c r="T107" s="57" t="e">
        <f>(H107/#REF!)*100</f>
        <v>#REF!</v>
      </c>
      <c r="U107" s="57" t="e">
        <f>(I107/#REF!)*100</f>
        <v>#REF!</v>
      </c>
      <c r="V107" s="57" t="e">
        <f>(J107/#REF!)*100</f>
        <v>#REF!</v>
      </c>
      <c r="W107" s="57" t="e">
        <f>(K107/#REF!)*100</f>
        <v>#REF!</v>
      </c>
      <c r="X107" s="57" t="e">
        <f>(L107/#REF!)*100</f>
        <v>#REF!</v>
      </c>
      <c r="Y107" s="57" t="e">
        <f>(M107/#REF!)*100</f>
        <v>#REF!</v>
      </c>
      <c r="Z107" s="57" t="e">
        <f>(N107/#REF!)*100</f>
        <v>#REF!</v>
      </c>
      <c r="AA107" s="57" t="e">
        <f>(O107/#REF!)*100</f>
        <v>#REF!</v>
      </c>
    </row>
    <row r="108" spans="1:27" ht="20.100000000000001" hidden="1" customHeight="1">
      <c r="A108" s="68">
        <f>'INTERNAL TEST-1  '!A112</f>
        <v>0</v>
      </c>
      <c r="B108" s="68">
        <f>'INTERNAL TEST-1  '!B112</f>
        <v>0</v>
      </c>
      <c r="C108" s="69">
        <f>'INTERNAL TEST-1  '!C112</f>
        <v>0</v>
      </c>
      <c r="D108" s="66"/>
      <c r="E108" s="66"/>
      <c r="F108" s="66"/>
      <c r="G108" s="66"/>
      <c r="H108" s="66"/>
      <c r="I108" s="66"/>
      <c r="J108" s="66"/>
      <c r="K108" s="66"/>
      <c r="L108" s="66"/>
      <c r="M108" s="66"/>
      <c r="N108" s="66"/>
      <c r="O108" s="66"/>
      <c r="P108" s="57" t="e">
        <f>(D108/#REF!)*100</f>
        <v>#REF!</v>
      </c>
      <c r="Q108" s="57" t="e">
        <f>(E108/#REF!)*100</f>
        <v>#REF!</v>
      </c>
      <c r="R108" s="57" t="e">
        <f>(F108/#REF!)*100</f>
        <v>#REF!</v>
      </c>
      <c r="S108" s="57" t="e">
        <f>(G108/#REF!)*100</f>
        <v>#REF!</v>
      </c>
      <c r="T108" s="57" t="e">
        <f>(H108/#REF!)*100</f>
        <v>#REF!</v>
      </c>
      <c r="U108" s="57" t="e">
        <f>(I108/#REF!)*100</f>
        <v>#REF!</v>
      </c>
      <c r="V108" s="57" t="e">
        <f>(J108/#REF!)*100</f>
        <v>#REF!</v>
      </c>
      <c r="W108" s="57" t="e">
        <f>(K108/#REF!)*100</f>
        <v>#REF!</v>
      </c>
      <c r="X108" s="57" t="e">
        <f>(L108/#REF!)*100</f>
        <v>#REF!</v>
      </c>
      <c r="Y108" s="57" t="e">
        <f>(M108/#REF!)*100</f>
        <v>#REF!</v>
      </c>
      <c r="Z108" s="57" t="e">
        <f>(N108/#REF!)*100</f>
        <v>#REF!</v>
      </c>
      <c r="AA108" s="57" t="e">
        <f>(O108/#REF!)*100</f>
        <v>#REF!</v>
      </c>
    </row>
    <row r="109" spans="1:27" ht="20.100000000000001" hidden="1" customHeight="1">
      <c r="A109" s="68">
        <f>'INTERNAL TEST-1  '!A113</f>
        <v>0</v>
      </c>
      <c r="B109" s="68">
        <f>'INTERNAL TEST-1  '!B113</f>
        <v>0</v>
      </c>
      <c r="C109" s="69">
        <f>'INTERNAL TEST-1  '!C113</f>
        <v>0</v>
      </c>
      <c r="D109" s="66"/>
      <c r="E109" s="66"/>
      <c r="F109" s="66"/>
      <c r="G109" s="66"/>
      <c r="H109" s="66"/>
      <c r="I109" s="66"/>
      <c r="J109" s="66"/>
      <c r="K109" s="66"/>
      <c r="L109" s="66"/>
      <c r="M109" s="66"/>
      <c r="N109" s="66"/>
      <c r="O109" s="66"/>
      <c r="P109" s="57" t="e">
        <f>(D109/#REF!)*100</f>
        <v>#REF!</v>
      </c>
      <c r="Q109" s="57" t="e">
        <f>(E109/#REF!)*100</f>
        <v>#REF!</v>
      </c>
      <c r="R109" s="57" t="e">
        <f>(F109/#REF!)*100</f>
        <v>#REF!</v>
      </c>
      <c r="S109" s="57" t="e">
        <f>(G109/#REF!)*100</f>
        <v>#REF!</v>
      </c>
      <c r="T109" s="57" t="e">
        <f>(H109/#REF!)*100</f>
        <v>#REF!</v>
      </c>
      <c r="U109" s="57" t="e">
        <f>(I109/#REF!)*100</f>
        <v>#REF!</v>
      </c>
      <c r="V109" s="57" t="e">
        <f>(J109/#REF!)*100</f>
        <v>#REF!</v>
      </c>
      <c r="W109" s="57" t="e">
        <f>(K109/#REF!)*100</f>
        <v>#REF!</v>
      </c>
      <c r="X109" s="57" t="e">
        <f>(L109/#REF!)*100</f>
        <v>#REF!</v>
      </c>
      <c r="Y109" s="57" t="e">
        <f>(M109/#REF!)*100</f>
        <v>#REF!</v>
      </c>
      <c r="Z109" s="57" t="e">
        <f>(N109/#REF!)*100</f>
        <v>#REF!</v>
      </c>
      <c r="AA109" s="57" t="e">
        <f>(O109/#REF!)*100</f>
        <v>#REF!</v>
      </c>
    </row>
    <row r="110" spans="1:27" ht="20.100000000000001" hidden="1" customHeight="1">
      <c r="A110" s="68">
        <f>'INTERNAL TEST-1  '!A114</f>
        <v>0</v>
      </c>
      <c r="B110" s="68">
        <f>'INTERNAL TEST-1  '!B114</f>
        <v>0</v>
      </c>
      <c r="C110" s="69">
        <f>'INTERNAL TEST-1  '!C114</f>
        <v>0</v>
      </c>
      <c r="D110" s="66"/>
      <c r="E110" s="66"/>
      <c r="F110" s="66"/>
      <c r="G110" s="66"/>
      <c r="H110" s="66"/>
      <c r="I110" s="66"/>
      <c r="J110" s="66"/>
      <c r="K110" s="66"/>
      <c r="L110" s="66"/>
      <c r="M110" s="66"/>
      <c r="N110" s="66"/>
      <c r="O110" s="66"/>
      <c r="P110" s="57" t="e">
        <f>(D110/#REF!)*100</f>
        <v>#REF!</v>
      </c>
      <c r="Q110" s="57" t="e">
        <f>(E110/#REF!)*100</f>
        <v>#REF!</v>
      </c>
      <c r="R110" s="57" t="e">
        <f>(F110/#REF!)*100</f>
        <v>#REF!</v>
      </c>
      <c r="S110" s="57" t="e">
        <f>(G110/#REF!)*100</f>
        <v>#REF!</v>
      </c>
      <c r="T110" s="57" t="e">
        <f>(H110/#REF!)*100</f>
        <v>#REF!</v>
      </c>
      <c r="U110" s="57" t="e">
        <f>(I110/#REF!)*100</f>
        <v>#REF!</v>
      </c>
      <c r="V110" s="57" t="e">
        <f>(J110/#REF!)*100</f>
        <v>#REF!</v>
      </c>
      <c r="W110" s="57" t="e">
        <f>(K110/#REF!)*100</f>
        <v>#REF!</v>
      </c>
      <c r="X110" s="57" t="e">
        <f>(L110/#REF!)*100</f>
        <v>#REF!</v>
      </c>
      <c r="Y110" s="57" t="e">
        <f>(M110/#REF!)*100</f>
        <v>#REF!</v>
      </c>
      <c r="Z110" s="57" t="e">
        <f>(N110/#REF!)*100</f>
        <v>#REF!</v>
      </c>
      <c r="AA110" s="57" t="e">
        <f>(O110/#REF!)*100</f>
        <v>#REF!</v>
      </c>
    </row>
    <row r="111" spans="1:27" ht="20.100000000000001" hidden="1" customHeight="1">
      <c r="A111" s="68">
        <f>'INTERNAL TEST-1  '!A115</f>
        <v>0</v>
      </c>
      <c r="B111" s="68">
        <f>'INTERNAL TEST-1  '!B115</f>
        <v>0</v>
      </c>
      <c r="C111" s="69">
        <f>'INTERNAL TEST-1  '!C115</f>
        <v>0</v>
      </c>
      <c r="D111" s="66"/>
      <c r="E111" s="66"/>
      <c r="F111" s="66"/>
      <c r="G111" s="66"/>
      <c r="H111" s="66"/>
      <c r="I111" s="66"/>
      <c r="J111" s="66"/>
      <c r="K111" s="66"/>
      <c r="L111" s="66"/>
      <c r="M111" s="66"/>
      <c r="N111" s="66"/>
      <c r="O111" s="66"/>
      <c r="P111" s="57" t="e">
        <f>(D111/#REF!)*100</f>
        <v>#REF!</v>
      </c>
      <c r="Q111" s="57" t="e">
        <f>(E111/#REF!)*100</f>
        <v>#REF!</v>
      </c>
      <c r="R111" s="57" t="e">
        <f>(F111/#REF!)*100</f>
        <v>#REF!</v>
      </c>
      <c r="S111" s="57" t="e">
        <f>(G111/#REF!)*100</f>
        <v>#REF!</v>
      </c>
      <c r="T111" s="57" t="e">
        <f>(H111/#REF!)*100</f>
        <v>#REF!</v>
      </c>
      <c r="U111" s="57" t="e">
        <f>(I111/#REF!)*100</f>
        <v>#REF!</v>
      </c>
      <c r="V111" s="57" t="e">
        <f>(J111/#REF!)*100</f>
        <v>#REF!</v>
      </c>
      <c r="W111" s="57" t="e">
        <f>(K111/#REF!)*100</f>
        <v>#REF!</v>
      </c>
      <c r="X111" s="57" t="e">
        <f>(L111/#REF!)*100</f>
        <v>#REF!</v>
      </c>
      <c r="Y111" s="57" t="e">
        <f>(M111/#REF!)*100</f>
        <v>#REF!</v>
      </c>
      <c r="Z111" s="57" t="e">
        <f>(N111/#REF!)*100</f>
        <v>#REF!</v>
      </c>
      <c r="AA111" s="57" t="e">
        <f>(O111/#REF!)*100</f>
        <v>#REF!</v>
      </c>
    </row>
    <row r="112" spans="1:27" ht="20.100000000000001" hidden="1" customHeight="1">
      <c r="A112" s="68">
        <f>'INTERNAL TEST-1  '!A116</f>
        <v>0</v>
      </c>
      <c r="B112" s="68">
        <f>'INTERNAL TEST-1  '!B116</f>
        <v>0</v>
      </c>
      <c r="C112" s="69">
        <f>'INTERNAL TEST-1  '!C116</f>
        <v>0</v>
      </c>
      <c r="D112" s="66"/>
      <c r="E112" s="66"/>
      <c r="F112" s="66"/>
      <c r="G112" s="66"/>
      <c r="H112" s="66"/>
      <c r="I112" s="66"/>
      <c r="J112" s="66"/>
      <c r="K112" s="66"/>
      <c r="L112" s="66"/>
      <c r="M112" s="66"/>
      <c r="N112" s="66"/>
      <c r="O112" s="66"/>
      <c r="P112" s="57" t="e">
        <f>(D112/#REF!)*100</f>
        <v>#REF!</v>
      </c>
      <c r="Q112" s="57" t="e">
        <f>(E112/#REF!)*100</f>
        <v>#REF!</v>
      </c>
      <c r="R112" s="57" t="e">
        <f>(F112/#REF!)*100</f>
        <v>#REF!</v>
      </c>
      <c r="S112" s="57" t="e">
        <f>(G112/#REF!)*100</f>
        <v>#REF!</v>
      </c>
      <c r="T112" s="57" t="e">
        <f>(H112/#REF!)*100</f>
        <v>#REF!</v>
      </c>
      <c r="U112" s="57" t="e">
        <f>(I112/#REF!)*100</f>
        <v>#REF!</v>
      </c>
      <c r="V112" s="57" t="e">
        <f>(J112/#REF!)*100</f>
        <v>#REF!</v>
      </c>
      <c r="W112" s="57" t="e">
        <f>(K112/#REF!)*100</f>
        <v>#REF!</v>
      </c>
      <c r="X112" s="57" t="e">
        <f>(L112/#REF!)*100</f>
        <v>#REF!</v>
      </c>
      <c r="Y112" s="57" t="e">
        <f>(M112/#REF!)*100</f>
        <v>#REF!</v>
      </c>
      <c r="Z112" s="57" t="e">
        <f>(N112/#REF!)*100</f>
        <v>#REF!</v>
      </c>
      <c r="AA112" s="57" t="e">
        <f>(O112/#REF!)*100</f>
        <v>#REF!</v>
      </c>
    </row>
    <row r="113" spans="1:27" ht="20.100000000000001" hidden="1" customHeight="1">
      <c r="A113" s="68">
        <f>'INTERNAL TEST-1  '!A117</f>
        <v>0</v>
      </c>
      <c r="B113" s="68">
        <f>'INTERNAL TEST-1  '!B117</f>
        <v>0</v>
      </c>
      <c r="C113" s="69">
        <f>'INTERNAL TEST-1  '!C117</f>
        <v>0</v>
      </c>
      <c r="D113" s="66"/>
      <c r="E113" s="66"/>
      <c r="F113" s="66"/>
      <c r="G113" s="66"/>
      <c r="H113" s="66"/>
      <c r="I113" s="66"/>
      <c r="J113" s="66"/>
      <c r="K113" s="66"/>
      <c r="L113" s="66"/>
      <c r="M113" s="66"/>
      <c r="N113" s="66"/>
      <c r="O113" s="66"/>
      <c r="P113" s="57" t="e">
        <f>(D113/#REF!)*100</f>
        <v>#REF!</v>
      </c>
      <c r="Q113" s="57" t="e">
        <f>(E113/#REF!)*100</f>
        <v>#REF!</v>
      </c>
      <c r="R113" s="57" t="e">
        <f>(F113/#REF!)*100</f>
        <v>#REF!</v>
      </c>
      <c r="S113" s="57" t="e">
        <f>(G113/#REF!)*100</f>
        <v>#REF!</v>
      </c>
      <c r="T113" s="57" t="e">
        <f>(H113/#REF!)*100</f>
        <v>#REF!</v>
      </c>
      <c r="U113" s="57" t="e">
        <f>(I113/#REF!)*100</f>
        <v>#REF!</v>
      </c>
      <c r="V113" s="57" t="e">
        <f>(J113/#REF!)*100</f>
        <v>#REF!</v>
      </c>
      <c r="W113" s="57" t="e">
        <f>(K113/#REF!)*100</f>
        <v>#REF!</v>
      </c>
      <c r="X113" s="57" t="e">
        <f>(L113/#REF!)*100</f>
        <v>#REF!</v>
      </c>
      <c r="Y113" s="57" t="e">
        <f>(M113/#REF!)*100</f>
        <v>#REF!</v>
      </c>
      <c r="Z113" s="57" t="e">
        <f>(N113/#REF!)*100</f>
        <v>#REF!</v>
      </c>
      <c r="AA113" s="57" t="e">
        <f>(O113/#REF!)*100</f>
        <v>#REF!</v>
      </c>
    </row>
    <row r="114" spans="1:27" ht="20.100000000000001" hidden="1" customHeight="1">
      <c r="A114" s="68">
        <f>'INTERNAL TEST-1  '!A118</f>
        <v>0</v>
      </c>
      <c r="B114" s="68">
        <f>'INTERNAL TEST-1  '!B118</f>
        <v>0</v>
      </c>
      <c r="C114" s="69">
        <f>'INTERNAL TEST-1  '!C118</f>
        <v>0</v>
      </c>
      <c r="D114" s="66"/>
      <c r="E114" s="66"/>
      <c r="F114" s="66"/>
      <c r="G114" s="66"/>
      <c r="H114" s="66"/>
      <c r="I114" s="66"/>
      <c r="J114" s="66"/>
      <c r="K114" s="66"/>
      <c r="L114" s="66"/>
      <c r="M114" s="66"/>
      <c r="N114" s="66"/>
      <c r="O114" s="66"/>
      <c r="P114" s="57" t="e">
        <f>(D114/#REF!)*100</f>
        <v>#REF!</v>
      </c>
      <c r="Q114" s="57" t="e">
        <f>(E114/#REF!)*100</f>
        <v>#REF!</v>
      </c>
      <c r="R114" s="57" t="e">
        <f>(F114/#REF!)*100</f>
        <v>#REF!</v>
      </c>
      <c r="S114" s="57" t="e">
        <f>(G114/#REF!)*100</f>
        <v>#REF!</v>
      </c>
      <c r="T114" s="57" t="e">
        <f>(H114/#REF!)*100</f>
        <v>#REF!</v>
      </c>
      <c r="U114" s="57" t="e">
        <f>(I114/#REF!)*100</f>
        <v>#REF!</v>
      </c>
      <c r="V114" s="57" t="e">
        <f>(J114/#REF!)*100</f>
        <v>#REF!</v>
      </c>
      <c r="W114" s="57" t="e">
        <f>(K114/#REF!)*100</f>
        <v>#REF!</v>
      </c>
      <c r="X114" s="57" t="e">
        <f>(L114/#REF!)*100</f>
        <v>#REF!</v>
      </c>
      <c r="Y114" s="57" t="e">
        <f>(M114/#REF!)*100</f>
        <v>#REF!</v>
      </c>
      <c r="Z114" s="57" t="e">
        <f>(N114/#REF!)*100</f>
        <v>#REF!</v>
      </c>
      <c r="AA114" s="57" t="e">
        <f>(O114/#REF!)*100</f>
        <v>#REF!</v>
      </c>
    </row>
    <row r="115" spans="1:27" ht="20.100000000000001" hidden="1" customHeight="1">
      <c r="A115" s="68">
        <f>'INTERNAL TEST-1  '!A119</f>
        <v>0</v>
      </c>
      <c r="B115" s="68">
        <f>'INTERNAL TEST-1  '!B119</f>
        <v>0</v>
      </c>
      <c r="C115" s="69">
        <f>'INTERNAL TEST-1  '!C119</f>
        <v>0</v>
      </c>
      <c r="D115" s="66"/>
      <c r="E115" s="66"/>
      <c r="F115" s="66"/>
      <c r="G115" s="66"/>
      <c r="H115" s="66"/>
      <c r="I115" s="66"/>
      <c r="J115" s="66"/>
      <c r="K115" s="66"/>
      <c r="L115" s="66"/>
      <c r="M115" s="66"/>
      <c r="N115" s="66"/>
      <c r="O115" s="66"/>
      <c r="P115" s="57" t="e">
        <f>(D115/#REF!)*100</f>
        <v>#REF!</v>
      </c>
      <c r="Q115" s="57" t="e">
        <f>(E115/#REF!)*100</f>
        <v>#REF!</v>
      </c>
      <c r="R115" s="57" t="e">
        <f>(F115/#REF!)*100</f>
        <v>#REF!</v>
      </c>
      <c r="S115" s="57" t="e">
        <f>(G115/#REF!)*100</f>
        <v>#REF!</v>
      </c>
      <c r="T115" s="57" t="e">
        <f>(H115/#REF!)*100</f>
        <v>#REF!</v>
      </c>
      <c r="U115" s="57" t="e">
        <f>(I115/#REF!)*100</f>
        <v>#REF!</v>
      </c>
      <c r="V115" s="57" t="e">
        <f>(J115/#REF!)*100</f>
        <v>#REF!</v>
      </c>
      <c r="W115" s="57" t="e">
        <f>(K115/#REF!)*100</f>
        <v>#REF!</v>
      </c>
      <c r="X115" s="57" t="e">
        <f>(L115/#REF!)*100</f>
        <v>#REF!</v>
      </c>
      <c r="Y115" s="57" t="e">
        <f>(M115/#REF!)*100</f>
        <v>#REF!</v>
      </c>
      <c r="Z115" s="57" t="e">
        <f>(N115/#REF!)*100</f>
        <v>#REF!</v>
      </c>
      <c r="AA115" s="57" t="e">
        <f>(O115/#REF!)*100</f>
        <v>#REF!</v>
      </c>
    </row>
    <row r="116" spans="1:27" ht="20.100000000000001" hidden="1" customHeight="1">
      <c r="A116" s="68">
        <f>'INTERNAL TEST-1  '!A120</f>
        <v>0</v>
      </c>
      <c r="B116" s="68">
        <f>'INTERNAL TEST-1  '!B120</f>
        <v>0</v>
      </c>
      <c r="C116" s="69">
        <f>'INTERNAL TEST-1  '!C120</f>
        <v>0</v>
      </c>
      <c r="D116" s="66"/>
      <c r="E116" s="66"/>
      <c r="F116" s="66"/>
      <c r="G116" s="66"/>
      <c r="H116" s="66"/>
      <c r="I116" s="66"/>
      <c r="J116" s="66"/>
      <c r="K116" s="66"/>
      <c r="L116" s="66"/>
      <c r="M116" s="66"/>
      <c r="N116" s="66"/>
      <c r="O116" s="66"/>
      <c r="P116" s="57" t="e">
        <f>(D116/#REF!)*100</f>
        <v>#REF!</v>
      </c>
      <c r="Q116" s="57" t="e">
        <f>(E116/#REF!)*100</f>
        <v>#REF!</v>
      </c>
      <c r="R116" s="57" t="e">
        <f>(F116/#REF!)*100</f>
        <v>#REF!</v>
      </c>
      <c r="S116" s="57" t="e">
        <f>(G116/#REF!)*100</f>
        <v>#REF!</v>
      </c>
      <c r="T116" s="57" t="e">
        <f>(H116/#REF!)*100</f>
        <v>#REF!</v>
      </c>
      <c r="U116" s="57" t="e">
        <f>(I116/#REF!)*100</f>
        <v>#REF!</v>
      </c>
      <c r="V116" s="57" t="e">
        <f>(J116/#REF!)*100</f>
        <v>#REF!</v>
      </c>
      <c r="W116" s="57" t="e">
        <f>(K116/#REF!)*100</f>
        <v>#REF!</v>
      </c>
      <c r="X116" s="57" t="e">
        <f>(L116/#REF!)*100</f>
        <v>#REF!</v>
      </c>
      <c r="Y116" s="57" t="e">
        <f>(M116/#REF!)*100</f>
        <v>#REF!</v>
      </c>
      <c r="Z116" s="57" t="e">
        <f>(N116/#REF!)*100</f>
        <v>#REF!</v>
      </c>
      <c r="AA116" s="57" t="e">
        <f>(O116/#REF!)*100</f>
        <v>#REF!</v>
      </c>
    </row>
    <row r="117" spans="1:27" ht="20.100000000000001" hidden="1" customHeight="1">
      <c r="A117" s="68">
        <f>'INTERNAL TEST-1  '!A121</f>
        <v>0</v>
      </c>
      <c r="B117" s="68">
        <f>'INTERNAL TEST-1  '!B121</f>
        <v>0</v>
      </c>
      <c r="C117" s="69">
        <f>'INTERNAL TEST-1  '!C121</f>
        <v>0</v>
      </c>
      <c r="D117" s="66"/>
      <c r="E117" s="66"/>
      <c r="F117" s="66"/>
      <c r="G117" s="66"/>
      <c r="H117" s="66"/>
      <c r="I117" s="66"/>
      <c r="J117" s="66"/>
      <c r="K117" s="66"/>
      <c r="L117" s="66"/>
      <c r="M117" s="66"/>
      <c r="N117" s="66"/>
      <c r="O117" s="66"/>
      <c r="P117" s="57" t="e">
        <f>(D117/#REF!)*100</f>
        <v>#REF!</v>
      </c>
      <c r="Q117" s="57" t="e">
        <f>(E117/#REF!)*100</f>
        <v>#REF!</v>
      </c>
      <c r="R117" s="57" t="e">
        <f>(F117/#REF!)*100</f>
        <v>#REF!</v>
      </c>
      <c r="S117" s="57" t="e">
        <f>(G117/#REF!)*100</f>
        <v>#REF!</v>
      </c>
      <c r="T117" s="57" t="e">
        <f>(H117/#REF!)*100</f>
        <v>#REF!</v>
      </c>
      <c r="U117" s="57" t="e">
        <f>(I117/#REF!)*100</f>
        <v>#REF!</v>
      </c>
      <c r="V117" s="57" t="e">
        <f>(J117/#REF!)*100</f>
        <v>#REF!</v>
      </c>
      <c r="W117" s="57" t="e">
        <f>(K117/#REF!)*100</f>
        <v>#REF!</v>
      </c>
      <c r="X117" s="57" t="e">
        <f>(L117/#REF!)*100</f>
        <v>#REF!</v>
      </c>
      <c r="Y117" s="57" t="e">
        <f>(M117/#REF!)*100</f>
        <v>#REF!</v>
      </c>
      <c r="Z117" s="57" t="e">
        <f>(N117/#REF!)*100</f>
        <v>#REF!</v>
      </c>
      <c r="AA117" s="57" t="e">
        <f>(O117/#REF!)*100</f>
        <v>#REF!</v>
      </c>
    </row>
    <row r="118" spans="1:27" ht="20.100000000000001" hidden="1" customHeight="1">
      <c r="A118" s="68">
        <f>'INTERNAL TEST-1  '!A122</f>
        <v>0</v>
      </c>
      <c r="B118" s="68">
        <f>'INTERNAL TEST-1  '!B122</f>
        <v>0</v>
      </c>
      <c r="C118" s="69">
        <f>'INTERNAL TEST-1  '!C122</f>
        <v>0</v>
      </c>
      <c r="D118" s="66"/>
      <c r="E118" s="66"/>
      <c r="F118" s="66"/>
      <c r="G118" s="66"/>
      <c r="H118" s="66"/>
      <c r="I118" s="66"/>
      <c r="J118" s="66"/>
      <c r="K118" s="66"/>
      <c r="L118" s="66"/>
      <c r="M118" s="66"/>
      <c r="N118" s="66"/>
      <c r="O118" s="66"/>
      <c r="P118" s="57" t="e">
        <f>(D118/#REF!)*100</f>
        <v>#REF!</v>
      </c>
      <c r="Q118" s="57" t="e">
        <f>(E118/#REF!)*100</f>
        <v>#REF!</v>
      </c>
      <c r="R118" s="57" t="e">
        <f>(F118/#REF!)*100</f>
        <v>#REF!</v>
      </c>
      <c r="S118" s="57" t="e">
        <f>(G118/#REF!)*100</f>
        <v>#REF!</v>
      </c>
      <c r="T118" s="57" t="e">
        <f>(H118/#REF!)*100</f>
        <v>#REF!</v>
      </c>
      <c r="U118" s="57" t="e">
        <f>(I118/#REF!)*100</f>
        <v>#REF!</v>
      </c>
      <c r="V118" s="57" t="e">
        <f>(J118/#REF!)*100</f>
        <v>#REF!</v>
      </c>
      <c r="W118" s="57" t="e">
        <f>(K118/#REF!)*100</f>
        <v>#REF!</v>
      </c>
      <c r="X118" s="57" t="e">
        <f>(L118/#REF!)*100</f>
        <v>#REF!</v>
      </c>
      <c r="Y118" s="57" t="e">
        <f>(M118/#REF!)*100</f>
        <v>#REF!</v>
      </c>
      <c r="Z118" s="57" t="e">
        <f>(N118/#REF!)*100</f>
        <v>#REF!</v>
      </c>
      <c r="AA118" s="57" t="e">
        <f>(O118/#REF!)*100</f>
        <v>#REF!</v>
      </c>
    </row>
    <row r="119" spans="1:27" ht="20.100000000000001" hidden="1" customHeight="1">
      <c r="A119" s="68">
        <f>'INTERNAL TEST-1  '!A123</f>
        <v>0</v>
      </c>
      <c r="B119" s="68">
        <f>'INTERNAL TEST-1  '!B123</f>
        <v>0</v>
      </c>
      <c r="C119" s="69">
        <f>'INTERNAL TEST-1  '!C123</f>
        <v>0</v>
      </c>
      <c r="D119" s="66"/>
      <c r="E119" s="66"/>
      <c r="F119" s="66"/>
      <c r="G119" s="66"/>
      <c r="H119" s="66"/>
      <c r="I119" s="66"/>
      <c r="J119" s="66"/>
      <c r="K119" s="66"/>
      <c r="L119" s="66"/>
      <c r="M119" s="66"/>
      <c r="N119" s="66"/>
      <c r="O119" s="66"/>
      <c r="P119" s="57" t="e">
        <f>(D119/#REF!)*100</f>
        <v>#REF!</v>
      </c>
      <c r="Q119" s="57" t="e">
        <f>(E119/#REF!)*100</f>
        <v>#REF!</v>
      </c>
      <c r="R119" s="57" t="e">
        <f>(F119/#REF!)*100</f>
        <v>#REF!</v>
      </c>
      <c r="S119" s="57" t="e">
        <f>(G119/#REF!)*100</f>
        <v>#REF!</v>
      </c>
      <c r="T119" s="57" t="e">
        <f>(H119/#REF!)*100</f>
        <v>#REF!</v>
      </c>
      <c r="U119" s="57" t="e">
        <f>(I119/#REF!)*100</f>
        <v>#REF!</v>
      </c>
      <c r="V119" s="57" t="e">
        <f>(J119/#REF!)*100</f>
        <v>#REF!</v>
      </c>
      <c r="W119" s="57" t="e">
        <f>(K119/#REF!)*100</f>
        <v>#REF!</v>
      </c>
      <c r="X119" s="57" t="e">
        <f>(L119/#REF!)*100</f>
        <v>#REF!</v>
      </c>
      <c r="Y119" s="57" t="e">
        <f>(M119/#REF!)*100</f>
        <v>#REF!</v>
      </c>
      <c r="Z119" s="57" t="e">
        <f>(N119/#REF!)*100</f>
        <v>#REF!</v>
      </c>
      <c r="AA119" s="57" t="e">
        <f>(O119/#REF!)*100</f>
        <v>#REF!</v>
      </c>
    </row>
    <row r="120" spans="1:27" ht="20.100000000000001" hidden="1" customHeight="1">
      <c r="A120" s="68">
        <f>'INTERNAL TEST-1  '!A124</f>
        <v>0</v>
      </c>
      <c r="B120" s="68">
        <f>'INTERNAL TEST-1  '!B124</f>
        <v>0</v>
      </c>
      <c r="C120" s="69">
        <f>'INTERNAL TEST-1  '!C124</f>
        <v>0</v>
      </c>
      <c r="D120" s="66"/>
      <c r="E120" s="66"/>
      <c r="F120" s="66"/>
      <c r="G120" s="66"/>
      <c r="H120" s="66"/>
      <c r="I120" s="66"/>
      <c r="J120" s="66"/>
      <c r="K120" s="66"/>
      <c r="L120" s="66"/>
      <c r="M120" s="66"/>
      <c r="N120" s="66"/>
      <c r="O120" s="66"/>
      <c r="P120" s="57" t="e">
        <f>(D120/#REF!)*100</f>
        <v>#REF!</v>
      </c>
      <c r="Q120" s="57" t="e">
        <f>(E120/#REF!)*100</f>
        <v>#REF!</v>
      </c>
      <c r="R120" s="57" t="e">
        <f>(F120/#REF!)*100</f>
        <v>#REF!</v>
      </c>
      <c r="S120" s="57" t="e">
        <f>(G120/#REF!)*100</f>
        <v>#REF!</v>
      </c>
      <c r="T120" s="57" t="e">
        <f>(H120/#REF!)*100</f>
        <v>#REF!</v>
      </c>
      <c r="U120" s="57" t="e">
        <f>(I120/#REF!)*100</f>
        <v>#REF!</v>
      </c>
      <c r="V120" s="57" t="e">
        <f>(J120/#REF!)*100</f>
        <v>#REF!</v>
      </c>
      <c r="W120" s="57" t="e">
        <f>(K120/#REF!)*100</f>
        <v>#REF!</v>
      </c>
      <c r="X120" s="57" t="e">
        <f>(L120/#REF!)*100</f>
        <v>#REF!</v>
      </c>
      <c r="Y120" s="57" t="e">
        <f>(M120/#REF!)*100</f>
        <v>#REF!</v>
      </c>
      <c r="Z120" s="57" t="e">
        <f>(N120/#REF!)*100</f>
        <v>#REF!</v>
      </c>
      <c r="AA120" s="57" t="e">
        <f>(O120/#REF!)*100</f>
        <v>#REF!</v>
      </c>
    </row>
    <row r="121" spans="1:27" ht="20.100000000000001" hidden="1" customHeight="1">
      <c r="A121" s="68">
        <f>'INTERNAL TEST-1  '!A125</f>
        <v>0</v>
      </c>
      <c r="B121" s="68">
        <f>'INTERNAL TEST-1  '!B125</f>
        <v>0</v>
      </c>
      <c r="C121" s="69">
        <f>'INTERNAL TEST-1  '!C125</f>
        <v>0</v>
      </c>
      <c r="D121" s="66"/>
      <c r="E121" s="66"/>
      <c r="F121" s="66"/>
      <c r="G121" s="66"/>
      <c r="H121" s="66"/>
      <c r="I121" s="66"/>
      <c r="J121" s="66"/>
      <c r="K121" s="66"/>
      <c r="L121" s="66"/>
      <c r="M121" s="66"/>
      <c r="N121" s="66"/>
      <c r="O121" s="66"/>
      <c r="P121" s="57" t="e">
        <f>(D121/#REF!)*100</f>
        <v>#REF!</v>
      </c>
      <c r="Q121" s="57" t="e">
        <f>(E121/#REF!)*100</f>
        <v>#REF!</v>
      </c>
      <c r="R121" s="57" t="e">
        <f>(F121/#REF!)*100</f>
        <v>#REF!</v>
      </c>
      <c r="S121" s="57" t="e">
        <f>(G121/#REF!)*100</f>
        <v>#REF!</v>
      </c>
      <c r="T121" s="57" t="e">
        <f>(H121/#REF!)*100</f>
        <v>#REF!</v>
      </c>
      <c r="U121" s="57" t="e">
        <f>(I121/#REF!)*100</f>
        <v>#REF!</v>
      </c>
      <c r="V121" s="57" t="e">
        <f>(J121/#REF!)*100</f>
        <v>#REF!</v>
      </c>
      <c r="W121" s="57" t="e">
        <f>(K121/#REF!)*100</f>
        <v>#REF!</v>
      </c>
      <c r="X121" s="57" t="e">
        <f>(L121/#REF!)*100</f>
        <v>#REF!</v>
      </c>
      <c r="Y121" s="57" t="e">
        <f>(M121/#REF!)*100</f>
        <v>#REF!</v>
      </c>
      <c r="Z121" s="57" t="e">
        <f>(N121/#REF!)*100</f>
        <v>#REF!</v>
      </c>
      <c r="AA121" s="57" t="e">
        <f>(O121/#REF!)*100</f>
        <v>#REF!</v>
      </c>
    </row>
    <row r="122" spans="1:27" ht="20.100000000000001" hidden="1" customHeight="1">
      <c r="A122" s="68">
        <f>'INTERNAL TEST-1  '!A126</f>
        <v>0</v>
      </c>
      <c r="B122" s="68">
        <f>'INTERNAL TEST-1  '!B126</f>
        <v>0</v>
      </c>
      <c r="C122" s="69">
        <f>'INTERNAL TEST-1  '!C126</f>
        <v>0</v>
      </c>
      <c r="D122" s="66"/>
      <c r="E122" s="66"/>
      <c r="F122" s="66"/>
      <c r="G122" s="66"/>
      <c r="H122" s="66"/>
      <c r="I122" s="66"/>
      <c r="J122" s="66"/>
      <c r="K122" s="66"/>
      <c r="L122" s="66"/>
      <c r="M122" s="66"/>
      <c r="N122" s="66"/>
      <c r="O122" s="66"/>
      <c r="P122" s="57" t="e">
        <f>(D122/#REF!)*100</f>
        <v>#REF!</v>
      </c>
      <c r="Q122" s="57" t="e">
        <f>(E122/#REF!)*100</f>
        <v>#REF!</v>
      </c>
      <c r="R122" s="57" t="e">
        <f>(F122/#REF!)*100</f>
        <v>#REF!</v>
      </c>
      <c r="S122" s="57" t="e">
        <f>(G122/#REF!)*100</f>
        <v>#REF!</v>
      </c>
      <c r="T122" s="57" t="e">
        <f>(H122/#REF!)*100</f>
        <v>#REF!</v>
      </c>
      <c r="U122" s="57" t="e">
        <f>(I122/#REF!)*100</f>
        <v>#REF!</v>
      </c>
      <c r="V122" s="57" t="e">
        <f>(J122/#REF!)*100</f>
        <v>#REF!</v>
      </c>
      <c r="W122" s="57" t="e">
        <f>(K122/#REF!)*100</f>
        <v>#REF!</v>
      </c>
      <c r="X122" s="57" t="e">
        <f>(L122/#REF!)*100</f>
        <v>#REF!</v>
      </c>
      <c r="Y122" s="57" t="e">
        <f>(M122/#REF!)*100</f>
        <v>#REF!</v>
      </c>
      <c r="Z122" s="57" t="e">
        <f>(N122/#REF!)*100</f>
        <v>#REF!</v>
      </c>
      <c r="AA122" s="57" t="e">
        <f>(O122/#REF!)*100</f>
        <v>#REF!</v>
      </c>
    </row>
    <row r="123" spans="1:27" ht="20.100000000000001" hidden="1" customHeight="1">
      <c r="A123" s="68">
        <f>'INTERNAL TEST-1  '!A127</f>
        <v>0</v>
      </c>
      <c r="B123" s="68">
        <f>'INTERNAL TEST-1  '!B127</f>
        <v>0</v>
      </c>
      <c r="C123" s="69">
        <f>'INTERNAL TEST-1  '!C127</f>
        <v>0</v>
      </c>
      <c r="D123" s="67"/>
      <c r="E123" s="67"/>
      <c r="F123" s="67"/>
      <c r="G123" s="67"/>
      <c r="H123" s="67"/>
      <c r="I123" s="67"/>
      <c r="J123" s="67"/>
      <c r="K123" s="67"/>
      <c r="L123" s="67"/>
      <c r="M123" s="67"/>
      <c r="N123" s="67"/>
      <c r="O123" s="67"/>
      <c r="P123" s="57" t="e">
        <f>(D123/#REF!)*100</f>
        <v>#REF!</v>
      </c>
      <c r="Q123" s="57" t="e">
        <f>(E123/#REF!)*100</f>
        <v>#REF!</v>
      </c>
      <c r="R123" s="57" t="e">
        <f>(F123/#REF!)*100</f>
        <v>#REF!</v>
      </c>
      <c r="S123" s="57" t="e">
        <f>(G123/#REF!)*100</f>
        <v>#REF!</v>
      </c>
      <c r="T123" s="57" t="e">
        <f>(H123/#REF!)*100</f>
        <v>#REF!</v>
      </c>
      <c r="U123" s="57" t="e">
        <f>(I123/#REF!)*100</f>
        <v>#REF!</v>
      </c>
      <c r="V123" s="57" t="e">
        <f>(J123/#REF!)*100</f>
        <v>#REF!</v>
      </c>
      <c r="W123" s="57" t="e">
        <f>(K123/#REF!)*100</f>
        <v>#REF!</v>
      </c>
      <c r="X123" s="57" t="e">
        <f>(L123/#REF!)*100</f>
        <v>#REF!</v>
      </c>
      <c r="Y123" s="57" t="e">
        <f>(M123/#REF!)*100</f>
        <v>#REF!</v>
      </c>
      <c r="Z123" s="57" t="e">
        <f>(N123/#REF!)*100</f>
        <v>#REF!</v>
      </c>
      <c r="AA123" s="57" t="e">
        <f>(O123/#REF!)*100</f>
        <v>#REF!</v>
      </c>
    </row>
    <row r="124" spans="1:27" ht="20.100000000000001" hidden="1" customHeight="1">
      <c r="A124" s="68">
        <f>'INTERNAL TEST-1  '!A128</f>
        <v>0</v>
      </c>
      <c r="B124" s="68">
        <f>'INTERNAL TEST-1  '!B128</f>
        <v>0</v>
      </c>
      <c r="C124" s="69">
        <f>'INTERNAL TEST-1  '!C128</f>
        <v>0</v>
      </c>
      <c r="D124" s="67"/>
      <c r="E124" s="67"/>
      <c r="F124" s="67"/>
      <c r="G124" s="67"/>
      <c r="H124" s="67"/>
      <c r="I124" s="67"/>
      <c r="J124" s="67"/>
      <c r="K124" s="67"/>
      <c r="L124" s="67"/>
      <c r="M124" s="67"/>
      <c r="N124" s="67"/>
      <c r="O124" s="67"/>
      <c r="P124" s="57" t="e">
        <f>(D124/#REF!)*100</f>
        <v>#REF!</v>
      </c>
      <c r="Q124" s="57" t="e">
        <f>(E124/#REF!)*100</f>
        <v>#REF!</v>
      </c>
      <c r="R124" s="57" t="e">
        <f>(F124/#REF!)*100</f>
        <v>#REF!</v>
      </c>
      <c r="S124" s="57" t="e">
        <f>(G124/#REF!)*100</f>
        <v>#REF!</v>
      </c>
      <c r="T124" s="57" t="e">
        <f>(H124/#REF!)*100</f>
        <v>#REF!</v>
      </c>
      <c r="U124" s="57" t="e">
        <f>(I124/#REF!)*100</f>
        <v>#REF!</v>
      </c>
      <c r="V124" s="57" t="e">
        <f>(J124/#REF!)*100</f>
        <v>#REF!</v>
      </c>
      <c r="W124" s="57" t="e">
        <f>(K124/#REF!)*100</f>
        <v>#REF!</v>
      </c>
      <c r="X124" s="57" t="e">
        <f>(L124/#REF!)*100</f>
        <v>#REF!</v>
      </c>
      <c r="Y124" s="57" t="e">
        <f>(M124/#REF!)*100</f>
        <v>#REF!</v>
      </c>
      <c r="Z124" s="57" t="e">
        <f>(N124/#REF!)*100</f>
        <v>#REF!</v>
      </c>
      <c r="AA124" s="57" t="e">
        <f>(O124/#REF!)*100</f>
        <v>#REF!</v>
      </c>
    </row>
    <row r="125" spans="1:27" ht="20.100000000000001" hidden="1" customHeight="1">
      <c r="A125" s="68">
        <f>'INTERNAL TEST-1  '!A129</f>
        <v>0</v>
      </c>
      <c r="B125" s="68">
        <f>'INTERNAL TEST-1  '!B129</f>
        <v>0</v>
      </c>
      <c r="C125" s="69">
        <f>'INTERNAL TEST-1  '!C129</f>
        <v>0</v>
      </c>
      <c r="D125" s="67"/>
      <c r="E125" s="67"/>
      <c r="F125" s="67"/>
      <c r="G125" s="67"/>
      <c r="H125" s="67"/>
      <c r="I125" s="67"/>
      <c r="J125" s="67"/>
      <c r="K125" s="67"/>
      <c r="L125" s="67"/>
      <c r="M125" s="67"/>
      <c r="N125" s="67"/>
      <c r="O125" s="67"/>
      <c r="P125" s="57" t="e">
        <f>(D125/#REF!)*100</f>
        <v>#REF!</v>
      </c>
      <c r="Q125" s="57" t="e">
        <f>(E125/#REF!)*100</f>
        <v>#REF!</v>
      </c>
      <c r="R125" s="57" t="e">
        <f>(F125/#REF!)*100</f>
        <v>#REF!</v>
      </c>
      <c r="S125" s="57" t="e">
        <f>(G125/#REF!)*100</f>
        <v>#REF!</v>
      </c>
      <c r="T125" s="57" t="e">
        <f>(H125/#REF!)*100</f>
        <v>#REF!</v>
      </c>
      <c r="U125" s="57" t="e">
        <f>(I125/#REF!)*100</f>
        <v>#REF!</v>
      </c>
      <c r="V125" s="57" t="e">
        <f>(J125/#REF!)*100</f>
        <v>#REF!</v>
      </c>
      <c r="W125" s="57" t="e">
        <f>(K125/#REF!)*100</f>
        <v>#REF!</v>
      </c>
      <c r="X125" s="57" t="e">
        <f>(L125/#REF!)*100</f>
        <v>#REF!</v>
      </c>
      <c r="Y125" s="57" t="e">
        <f>(M125/#REF!)*100</f>
        <v>#REF!</v>
      </c>
      <c r="Z125" s="57" t="e">
        <f>(N125/#REF!)*100</f>
        <v>#REF!</v>
      </c>
      <c r="AA125" s="57" t="e">
        <f>(O125/#REF!)*100</f>
        <v>#REF!</v>
      </c>
    </row>
    <row r="126" spans="1:27" ht="20.100000000000001" hidden="1" customHeight="1">
      <c r="A126" s="68">
        <f>'INTERNAL TEST-1  '!A130</f>
        <v>0</v>
      </c>
      <c r="B126" s="68">
        <f>'INTERNAL TEST-1  '!B130</f>
        <v>0</v>
      </c>
      <c r="C126" s="69">
        <f>'INTERNAL TEST-1  '!C130</f>
        <v>0</v>
      </c>
      <c r="D126" s="67"/>
      <c r="E126" s="67"/>
      <c r="F126" s="67"/>
      <c r="G126" s="67"/>
      <c r="H126" s="67"/>
      <c r="I126" s="67"/>
      <c r="J126" s="67"/>
      <c r="K126" s="67"/>
      <c r="L126" s="67"/>
      <c r="M126" s="67"/>
      <c r="N126" s="67"/>
      <c r="O126" s="67"/>
      <c r="P126" s="57" t="e">
        <f>(D126/#REF!)*100</f>
        <v>#REF!</v>
      </c>
      <c r="Q126" s="57" t="e">
        <f>(E126/#REF!)*100</f>
        <v>#REF!</v>
      </c>
      <c r="R126" s="57" t="e">
        <f>(F126/#REF!)*100</f>
        <v>#REF!</v>
      </c>
      <c r="S126" s="57" t="e">
        <f>(G126/#REF!)*100</f>
        <v>#REF!</v>
      </c>
      <c r="T126" s="57" t="e">
        <f>(H126/#REF!)*100</f>
        <v>#REF!</v>
      </c>
      <c r="U126" s="57" t="e">
        <f>(I126/#REF!)*100</f>
        <v>#REF!</v>
      </c>
      <c r="V126" s="57" t="e">
        <f>(J126/#REF!)*100</f>
        <v>#REF!</v>
      </c>
      <c r="W126" s="57" t="e">
        <f>(K126/#REF!)*100</f>
        <v>#REF!</v>
      </c>
      <c r="X126" s="57" t="e">
        <f>(L126/#REF!)*100</f>
        <v>#REF!</v>
      </c>
      <c r="Y126" s="57" t="e">
        <f>(M126/#REF!)*100</f>
        <v>#REF!</v>
      </c>
      <c r="Z126" s="57" t="e">
        <f>(N126/#REF!)*100</f>
        <v>#REF!</v>
      </c>
      <c r="AA126" s="57" t="e">
        <f>(O126/#REF!)*100</f>
        <v>#REF!</v>
      </c>
    </row>
    <row r="127" spans="1:27" ht="20.100000000000001" hidden="1" customHeight="1">
      <c r="A127" s="68">
        <f>'INTERNAL TEST-1  '!A131</f>
        <v>0</v>
      </c>
      <c r="B127" s="68">
        <f>'INTERNAL TEST-1  '!B131</f>
        <v>0</v>
      </c>
      <c r="C127" s="69">
        <f>'INTERNAL TEST-1  '!C131</f>
        <v>0</v>
      </c>
      <c r="D127" s="67"/>
      <c r="E127" s="67"/>
      <c r="F127" s="67"/>
      <c r="G127" s="67"/>
      <c r="H127" s="67"/>
      <c r="I127" s="67"/>
      <c r="J127" s="67"/>
      <c r="K127" s="67"/>
      <c r="L127" s="67"/>
      <c r="M127" s="67"/>
      <c r="N127" s="67"/>
      <c r="O127" s="67"/>
      <c r="P127" s="57" t="e">
        <f>(D127/#REF!)*100</f>
        <v>#REF!</v>
      </c>
      <c r="Q127" s="57" t="e">
        <f>(E127/#REF!)*100</f>
        <v>#REF!</v>
      </c>
      <c r="R127" s="57" t="e">
        <f>(F127/#REF!)*100</f>
        <v>#REF!</v>
      </c>
      <c r="S127" s="57" t="e">
        <f>(G127/#REF!)*100</f>
        <v>#REF!</v>
      </c>
      <c r="T127" s="57" t="e">
        <f>(H127/#REF!)*100</f>
        <v>#REF!</v>
      </c>
      <c r="U127" s="57" t="e">
        <f>(I127/#REF!)*100</f>
        <v>#REF!</v>
      </c>
      <c r="V127" s="57" t="e">
        <f>(J127/#REF!)*100</f>
        <v>#REF!</v>
      </c>
      <c r="W127" s="57" t="e">
        <f>(K127/#REF!)*100</f>
        <v>#REF!</v>
      </c>
      <c r="X127" s="57" t="e">
        <f>(L127/#REF!)*100</f>
        <v>#REF!</v>
      </c>
      <c r="Y127" s="57" t="e">
        <f>(M127/#REF!)*100</f>
        <v>#REF!</v>
      </c>
      <c r="Z127" s="57" t="e">
        <f>(N127/#REF!)*100</f>
        <v>#REF!</v>
      </c>
      <c r="AA127" s="57" t="e">
        <f>(O127/#REF!)*100</f>
        <v>#REF!</v>
      </c>
    </row>
    <row r="128" spans="1:27" ht="20.100000000000001" hidden="1" customHeight="1">
      <c r="A128" s="68">
        <f>'INTERNAL TEST-1  '!A132</f>
        <v>0</v>
      </c>
      <c r="B128" s="68">
        <f>'INTERNAL TEST-1  '!B132</f>
        <v>0</v>
      </c>
      <c r="C128" s="69">
        <f>'INTERNAL TEST-1  '!C132</f>
        <v>0</v>
      </c>
      <c r="D128" s="67"/>
      <c r="E128" s="67"/>
      <c r="F128" s="67"/>
      <c r="G128" s="67"/>
      <c r="H128" s="67"/>
      <c r="I128" s="67"/>
      <c r="J128" s="67"/>
      <c r="K128" s="67"/>
      <c r="L128" s="67"/>
      <c r="M128" s="67"/>
      <c r="N128" s="67"/>
      <c r="O128" s="67"/>
      <c r="P128" s="57" t="e">
        <f>(D128/#REF!)*100</f>
        <v>#REF!</v>
      </c>
      <c r="Q128" s="57" t="e">
        <f>(E128/#REF!)*100</f>
        <v>#REF!</v>
      </c>
      <c r="R128" s="57" t="e">
        <f>(F128/#REF!)*100</f>
        <v>#REF!</v>
      </c>
      <c r="S128" s="57" t="e">
        <f>(G128/#REF!)*100</f>
        <v>#REF!</v>
      </c>
      <c r="T128" s="57" t="e">
        <f>(H128/#REF!)*100</f>
        <v>#REF!</v>
      </c>
      <c r="U128" s="57" t="e">
        <f>(I128/#REF!)*100</f>
        <v>#REF!</v>
      </c>
      <c r="V128" s="57" t="e">
        <f>(J128/#REF!)*100</f>
        <v>#REF!</v>
      </c>
      <c r="W128" s="57" t="e">
        <f>(K128/#REF!)*100</f>
        <v>#REF!</v>
      </c>
      <c r="X128" s="57" t="e">
        <f>(L128/#REF!)*100</f>
        <v>#REF!</v>
      </c>
      <c r="Y128" s="57" t="e">
        <f>(M128/#REF!)*100</f>
        <v>#REF!</v>
      </c>
      <c r="Z128" s="57" t="e">
        <f>(N128/#REF!)*100</f>
        <v>#REF!</v>
      </c>
      <c r="AA128" s="57" t="e">
        <f>(O128/#REF!)*100</f>
        <v>#REF!</v>
      </c>
    </row>
    <row r="129" spans="1:27" ht="20.100000000000001" hidden="1" customHeight="1">
      <c r="A129" s="68">
        <f>'INTERNAL TEST-1  '!A133</f>
        <v>0</v>
      </c>
      <c r="B129" s="68">
        <f>'INTERNAL TEST-1  '!B133</f>
        <v>0</v>
      </c>
      <c r="C129" s="69">
        <f>'INTERNAL TEST-1  '!C133</f>
        <v>0</v>
      </c>
      <c r="D129" s="67"/>
      <c r="E129" s="67"/>
      <c r="F129" s="67"/>
      <c r="G129" s="67"/>
      <c r="H129" s="67"/>
      <c r="I129" s="67"/>
      <c r="J129" s="67"/>
      <c r="K129" s="67"/>
      <c r="L129" s="67"/>
      <c r="M129" s="67"/>
      <c r="N129" s="67"/>
      <c r="O129" s="67"/>
      <c r="P129" s="57" t="e">
        <f>(D129/#REF!)*100</f>
        <v>#REF!</v>
      </c>
      <c r="Q129" s="57" t="e">
        <f>(E129/#REF!)*100</f>
        <v>#REF!</v>
      </c>
      <c r="R129" s="57" t="e">
        <f>(F129/#REF!)*100</f>
        <v>#REF!</v>
      </c>
      <c r="S129" s="57" t="e">
        <f>(G129/#REF!)*100</f>
        <v>#REF!</v>
      </c>
      <c r="T129" s="57" t="e">
        <f>(H129/#REF!)*100</f>
        <v>#REF!</v>
      </c>
      <c r="U129" s="57" t="e">
        <f>(I129/#REF!)*100</f>
        <v>#REF!</v>
      </c>
      <c r="V129" s="57" t="e">
        <f>(J129/#REF!)*100</f>
        <v>#REF!</v>
      </c>
      <c r="W129" s="57" t="e">
        <f>(K129/#REF!)*100</f>
        <v>#REF!</v>
      </c>
      <c r="X129" s="57" t="e">
        <f>(L129/#REF!)*100</f>
        <v>#REF!</v>
      </c>
      <c r="Y129" s="57" t="e">
        <f>(M129/#REF!)*100</f>
        <v>#REF!</v>
      </c>
      <c r="Z129" s="57" t="e">
        <f>(N129/#REF!)*100</f>
        <v>#REF!</v>
      </c>
      <c r="AA129" s="57" t="e">
        <f>(O129/#REF!)*100</f>
        <v>#REF!</v>
      </c>
    </row>
    <row r="130" spans="1:27" ht="20.100000000000001" hidden="1" customHeight="1">
      <c r="A130" s="68">
        <f>'INTERNAL TEST-1  '!A134</f>
        <v>0</v>
      </c>
      <c r="B130" s="68">
        <f>'INTERNAL TEST-1  '!B134</f>
        <v>0</v>
      </c>
      <c r="C130" s="69">
        <f>'INTERNAL TEST-1  '!C134</f>
        <v>0</v>
      </c>
      <c r="D130" s="67"/>
      <c r="E130" s="67"/>
      <c r="F130" s="67"/>
      <c r="G130" s="67"/>
      <c r="H130" s="67"/>
      <c r="I130" s="67"/>
      <c r="J130" s="67"/>
      <c r="K130" s="67"/>
      <c r="L130" s="67"/>
      <c r="M130" s="67"/>
      <c r="N130" s="67"/>
      <c r="O130" s="67"/>
      <c r="P130" s="57" t="e">
        <f>(D130/#REF!)*100</f>
        <v>#REF!</v>
      </c>
      <c r="Q130" s="57" t="e">
        <f>(E130/#REF!)*100</f>
        <v>#REF!</v>
      </c>
      <c r="R130" s="57" t="e">
        <f>(F130/#REF!)*100</f>
        <v>#REF!</v>
      </c>
      <c r="S130" s="57" t="e">
        <f>(G130/#REF!)*100</f>
        <v>#REF!</v>
      </c>
      <c r="T130" s="57" t="e">
        <f>(H130/#REF!)*100</f>
        <v>#REF!</v>
      </c>
      <c r="U130" s="57" t="e">
        <f>(I130/#REF!)*100</f>
        <v>#REF!</v>
      </c>
      <c r="V130" s="57" t="e">
        <f>(J130/#REF!)*100</f>
        <v>#REF!</v>
      </c>
      <c r="W130" s="57" t="e">
        <f>(K130/#REF!)*100</f>
        <v>#REF!</v>
      </c>
      <c r="X130" s="57" t="e">
        <f>(L130/#REF!)*100</f>
        <v>#REF!</v>
      </c>
      <c r="Y130" s="57" t="e">
        <f>(M130/#REF!)*100</f>
        <v>#REF!</v>
      </c>
      <c r="Z130" s="57" t="e">
        <f>(N130/#REF!)*100</f>
        <v>#REF!</v>
      </c>
      <c r="AA130" s="57" t="e">
        <f>(O130/#REF!)*100</f>
        <v>#REF!</v>
      </c>
    </row>
    <row r="131" spans="1:27" ht="20.100000000000001" hidden="1" customHeight="1">
      <c r="A131" s="68">
        <f>'INTERNAL TEST-1  '!A135</f>
        <v>0</v>
      </c>
      <c r="B131" s="68">
        <f>'INTERNAL TEST-1  '!B135</f>
        <v>0</v>
      </c>
      <c r="C131" s="69">
        <f>'INTERNAL TEST-1  '!C135</f>
        <v>0</v>
      </c>
      <c r="D131" s="67"/>
      <c r="E131" s="67"/>
      <c r="F131" s="67"/>
      <c r="G131" s="67"/>
      <c r="H131" s="67"/>
      <c r="I131" s="67"/>
      <c r="J131" s="67"/>
      <c r="K131" s="67"/>
      <c r="L131" s="67"/>
      <c r="M131" s="67"/>
      <c r="N131" s="67"/>
      <c r="O131" s="67"/>
      <c r="P131" s="57" t="e">
        <f>(D131/#REF!)*100</f>
        <v>#REF!</v>
      </c>
      <c r="Q131" s="57" t="e">
        <f>(E131/#REF!)*100</f>
        <v>#REF!</v>
      </c>
      <c r="R131" s="57" t="e">
        <f>(F131/#REF!)*100</f>
        <v>#REF!</v>
      </c>
      <c r="S131" s="57" t="e">
        <f>(G131/#REF!)*100</f>
        <v>#REF!</v>
      </c>
      <c r="T131" s="57" t="e">
        <f>(H131/#REF!)*100</f>
        <v>#REF!</v>
      </c>
      <c r="U131" s="57" t="e">
        <f>(I131/#REF!)*100</f>
        <v>#REF!</v>
      </c>
      <c r="V131" s="57" t="e">
        <f>(J131/#REF!)*100</f>
        <v>#REF!</v>
      </c>
      <c r="W131" s="57" t="e">
        <f>(K131/#REF!)*100</f>
        <v>#REF!</v>
      </c>
      <c r="X131" s="57" t="e">
        <f>(L131/#REF!)*100</f>
        <v>#REF!</v>
      </c>
      <c r="Y131" s="57" t="e">
        <f>(M131/#REF!)*100</f>
        <v>#REF!</v>
      </c>
      <c r="Z131" s="57" t="e">
        <f>(N131/#REF!)*100</f>
        <v>#REF!</v>
      </c>
      <c r="AA131" s="57" t="e">
        <f>(O131/#REF!)*100</f>
        <v>#REF!</v>
      </c>
    </row>
    <row r="132" spans="1:27" ht="20.100000000000001" hidden="1" customHeight="1">
      <c r="A132" s="68">
        <f>'INTERNAL TEST-1  '!A136</f>
        <v>0</v>
      </c>
      <c r="B132" s="68">
        <f>'INTERNAL TEST-1  '!B136</f>
        <v>0</v>
      </c>
      <c r="C132" s="69">
        <f>'INTERNAL TEST-1  '!C136</f>
        <v>0</v>
      </c>
      <c r="D132" s="67"/>
      <c r="E132" s="67"/>
      <c r="F132" s="67"/>
      <c r="G132" s="67"/>
      <c r="H132" s="67"/>
      <c r="I132" s="67"/>
      <c r="J132" s="67"/>
      <c r="K132" s="67"/>
      <c r="L132" s="67"/>
      <c r="M132" s="67"/>
      <c r="N132" s="67"/>
      <c r="O132" s="67"/>
      <c r="P132" s="57" t="e">
        <f>(D132/#REF!)*100</f>
        <v>#REF!</v>
      </c>
      <c r="Q132" s="57" t="e">
        <f>(E132/#REF!)*100</f>
        <v>#REF!</v>
      </c>
      <c r="R132" s="57" t="e">
        <f>(F132/#REF!)*100</f>
        <v>#REF!</v>
      </c>
      <c r="S132" s="57" t="e">
        <f>(G132/#REF!)*100</f>
        <v>#REF!</v>
      </c>
      <c r="T132" s="57" t="e">
        <f>(H132/#REF!)*100</f>
        <v>#REF!</v>
      </c>
      <c r="U132" s="57" t="e">
        <f>(I132/#REF!)*100</f>
        <v>#REF!</v>
      </c>
      <c r="V132" s="57" t="e">
        <f>(J132/#REF!)*100</f>
        <v>#REF!</v>
      </c>
      <c r="W132" s="57" t="e">
        <f>(K132/#REF!)*100</f>
        <v>#REF!</v>
      </c>
      <c r="X132" s="57" t="e">
        <f>(L132/#REF!)*100</f>
        <v>#REF!</v>
      </c>
      <c r="Y132" s="57" t="e">
        <f>(M132/#REF!)*100</f>
        <v>#REF!</v>
      </c>
      <c r="Z132" s="57" t="e">
        <f>(N132/#REF!)*100</f>
        <v>#REF!</v>
      </c>
      <c r="AA132" s="57" t="e">
        <f>(O132/#REF!)*100</f>
        <v>#REF!</v>
      </c>
    </row>
    <row r="133" spans="1:27" ht="20.100000000000001" hidden="1" customHeight="1">
      <c r="A133" s="68">
        <f>'INTERNAL TEST-1  '!A137</f>
        <v>0</v>
      </c>
      <c r="B133" s="68">
        <f>'INTERNAL TEST-1  '!B137</f>
        <v>0</v>
      </c>
      <c r="C133" s="69">
        <f>'INTERNAL TEST-1  '!C137</f>
        <v>0</v>
      </c>
      <c r="D133" s="67"/>
      <c r="E133" s="67"/>
      <c r="F133" s="67"/>
      <c r="G133" s="67"/>
      <c r="H133" s="67"/>
      <c r="I133" s="67"/>
      <c r="J133" s="67"/>
      <c r="K133" s="67"/>
      <c r="L133" s="67"/>
      <c r="M133" s="67"/>
      <c r="N133" s="67"/>
      <c r="O133" s="67"/>
      <c r="P133" s="57" t="e">
        <f>(D133/#REF!)*100</f>
        <v>#REF!</v>
      </c>
      <c r="Q133" s="57" t="e">
        <f>(E133/#REF!)*100</f>
        <v>#REF!</v>
      </c>
      <c r="R133" s="57" t="e">
        <f>(F133/#REF!)*100</f>
        <v>#REF!</v>
      </c>
      <c r="S133" s="57" t="e">
        <f>(G133/#REF!)*100</f>
        <v>#REF!</v>
      </c>
      <c r="T133" s="57" t="e">
        <f>(H133/#REF!)*100</f>
        <v>#REF!</v>
      </c>
      <c r="U133" s="57" t="e">
        <f>(I133/#REF!)*100</f>
        <v>#REF!</v>
      </c>
      <c r="V133" s="57" t="e">
        <f>(J133/#REF!)*100</f>
        <v>#REF!</v>
      </c>
      <c r="W133" s="57" t="e">
        <f>(K133/#REF!)*100</f>
        <v>#REF!</v>
      </c>
      <c r="X133" s="57" t="e">
        <f>(L133/#REF!)*100</f>
        <v>#REF!</v>
      </c>
      <c r="Y133" s="57" t="e">
        <f>(M133/#REF!)*100</f>
        <v>#REF!</v>
      </c>
      <c r="Z133" s="57" t="e">
        <f>(N133/#REF!)*100</f>
        <v>#REF!</v>
      </c>
      <c r="AA133" s="57" t="e">
        <f>(O133/#REF!)*100</f>
        <v>#REF!</v>
      </c>
    </row>
    <row r="134" spans="1:27" ht="20.100000000000001" hidden="1" customHeight="1">
      <c r="A134" s="68">
        <f>'INTERNAL TEST-1  '!A138</f>
        <v>0</v>
      </c>
      <c r="B134" s="68">
        <f>'INTERNAL TEST-1  '!B138</f>
        <v>0</v>
      </c>
      <c r="C134" s="69">
        <f>'INTERNAL TEST-1  '!C138</f>
        <v>0</v>
      </c>
      <c r="D134" s="67"/>
      <c r="E134" s="67"/>
      <c r="F134" s="67"/>
      <c r="G134" s="67"/>
      <c r="H134" s="67"/>
      <c r="I134" s="67"/>
      <c r="J134" s="67"/>
      <c r="K134" s="67"/>
      <c r="L134" s="67"/>
      <c r="M134" s="67"/>
      <c r="N134" s="67"/>
      <c r="O134" s="67"/>
      <c r="P134" s="57" t="e">
        <f>(D134/#REF!)*100</f>
        <v>#REF!</v>
      </c>
      <c r="Q134" s="57" t="e">
        <f>(E134/#REF!)*100</f>
        <v>#REF!</v>
      </c>
      <c r="R134" s="57" t="e">
        <f>(F134/#REF!)*100</f>
        <v>#REF!</v>
      </c>
      <c r="S134" s="57" t="e">
        <f>(G134/#REF!)*100</f>
        <v>#REF!</v>
      </c>
      <c r="T134" s="57" t="e">
        <f>(H134/#REF!)*100</f>
        <v>#REF!</v>
      </c>
      <c r="U134" s="57" t="e">
        <f>(I134/#REF!)*100</f>
        <v>#REF!</v>
      </c>
      <c r="V134" s="57" t="e">
        <f>(J134/#REF!)*100</f>
        <v>#REF!</v>
      </c>
      <c r="W134" s="57" t="e">
        <f>(K134/#REF!)*100</f>
        <v>#REF!</v>
      </c>
      <c r="X134" s="57" t="e">
        <f>(L134/#REF!)*100</f>
        <v>#REF!</v>
      </c>
      <c r="Y134" s="57" t="e">
        <f>(M134/#REF!)*100</f>
        <v>#REF!</v>
      </c>
      <c r="Z134" s="57" t="e">
        <f>(N134/#REF!)*100</f>
        <v>#REF!</v>
      </c>
      <c r="AA134" s="57" t="e">
        <f>(O134/#REF!)*100</f>
        <v>#REF!</v>
      </c>
    </row>
    <row r="135" spans="1:27" ht="20.100000000000001" hidden="1" customHeight="1">
      <c r="A135" s="68">
        <f>'INTERNAL TEST-1  '!A139</f>
        <v>0</v>
      </c>
      <c r="B135" s="68">
        <f>'INTERNAL TEST-1  '!B139</f>
        <v>0</v>
      </c>
      <c r="C135" s="69">
        <f>'INTERNAL TEST-1  '!C139</f>
        <v>0</v>
      </c>
      <c r="D135" s="67"/>
      <c r="E135" s="67"/>
      <c r="F135" s="67"/>
      <c r="G135" s="67"/>
      <c r="H135" s="67"/>
      <c r="I135" s="67"/>
      <c r="J135" s="67"/>
      <c r="K135" s="67"/>
      <c r="L135" s="67"/>
      <c r="M135" s="67"/>
      <c r="N135" s="67"/>
      <c r="O135" s="67"/>
      <c r="P135" s="57" t="e">
        <f>(D135/#REF!)*100</f>
        <v>#REF!</v>
      </c>
      <c r="Q135" s="57" t="e">
        <f>(E135/#REF!)*100</f>
        <v>#REF!</v>
      </c>
      <c r="R135" s="57" t="e">
        <f>(F135/#REF!)*100</f>
        <v>#REF!</v>
      </c>
      <c r="S135" s="57" t="e">
        <f>(G135/#REF!)*100</f>
        <v>#REF!</v>
      </c>
      <c r="T135" s="57" t="e">
        <f>(H135/#REF!)*100</f>
        <v>#REF!</v>
      </c>
      <c r="U135" s="57" t="e">
        <f>(I135/#REF!)*100</f>
        <v>#REF!</v>
      </c>
      <c r="V135" s="57" t="e">
        <f>(J135/#REF!)*100</f>
        <v>#REF!</v>
      </c>
      <c r="W135" s="57" t="e">
        <f>(K135/#REF!)*100</f>
        <v>#REF!</v>
      </c>
      <c r="X135" s="57" t="e">
        <f>(L135/#REF!)*100</f>
        <v>#REF!</v>
      </c>
      <c r="Y135" s="57" t="e">
        <f>(M135/#REF!)*100</f>
        <v>#REF!</v>
      </c>
      <c r="Z135" s="57" t="e">
        <f>(N135/#REF!)*100</f>
        <v>#REF!</v>
      </c>
      <c r="AA135" s="57" t="e">
        <f>(O135/#REF!)*100</f>
        <v>#REF!</v>
      </c>
    </row>
    <row r="136" spans="1:27">
      <c r="A136" s="160" t="s">
        <v>50</v>
      </c>
      <c r="B136" s="161"/>
      <c r="C136" s="161"/>
      <c r="D136" s="161"/>
      <c r="E136" s="161"/>
      <c r="F136" s="161"/>
      <c r="G136" s="161"/>
      <c r="H136" s="161"/>
      <c r="I136" s="161"/>
      <c r="J136" s="161"/>
      <c r="K136" s="161"/>
      <c r="L136" s="161"/>
      <c r="M136" s="161"/>
      <c r="N136" s="161"/>
      <c r="O136" s="162"/>
      <c r="P136" s="209" t="e">
        <f>ROUND((SUM(P10:P135))/INPUT!$B$8,2)</f>
        <v>#REF!</v>
      </c>
      <c r="Q136" s="209" t="e">
        <f>ROUND((SUM(Q10:Q135))/INPUT!$B$8,2)</f>
        <v>#REF!</v>
      </c>
      <c r="R136" s="209" t="e">
        <f>ROUND((SUM(R10:R135))/INPUT!$B$8,2)</f>
        <v>#REF!</v>
      </c>
      <c r="S136" s="209" t="e">
        <f>ROUND((SUM(S10:S135))/INPUT!$B$8,2)</f>
        <v>#REF!</v>
      </c>
      <c r="T136" s="209" t="e">
        <f>ROUND((SUM(T10:T135))/INPUT!$B$8,2)</f>
        <v>#REF!</v>
      </c>
      <c r="U136" s="209" t="e">
        <f>ROUND((SUM(U10:U135))/INPUT!$B$8,2)</f>
        <v>#REF!</v>
      </c>
      <c r="V136" s="209" t="e">
        <f>ROUND((SUM(V10:V135))/INPUT!$B$8,2)</f>
        <v>#REF!</v>
      </c>
      <c r="W136" s="209" t="e">
        <f>ROUND((SUM(W10:W135))/INPUT!$B$8,2)</f>
        <v>#REF!</v>
      </c>
      <c r="X136" s="209" t="e">
        <f>ROUND((SUM(X10:X135))/INPUT!$B$8,2)</f>
        <v>#REF!</v>
      </c>
      <c r="Y136" s="209" t="e">
        <f>ROUND((SUM(Y10:Y135))/INPUT!$B$8,2)</f>
        <v>#REF!</v>
      </c>
      <c r="Z136" s="209" t="e">
        <f>ROUND((SUM(Z10:Z135))/INPUT!$B$8,2)</f>
        <v>#REF!</v>
      </c>
      <c r="AA136" s="209" t="e">
        <f>ROUND((SUM(AA10:AA135))/INPUT!$B$8,2)</f>
        <v>#REF!</v>
      </c>
    </row>
    <row r="137" spans="1:27">
      <c r="A137" s="160" t="s">
        <v>105</v>
      </c>
      <c r="B137" s="161"/>
      <c r="C137" s="161"/>
      <c r="D137" s="161"/>
      <c r="E137" s="161"/>
      <c r="F137" s="161"/>
      <c r="G137" s="161"/>
      <c r="H137" s="161"/>
      <c r="I137" s="161"/>
      <c r="J137" s="161"/>
      <c r="K137" s="161"/>
      <c r="L137" s="161"/>
      <c r="M137" s="161"/>
      <c r="N137" s="161"/>
      <c r="O137" s="162"/>
      <c r="P137" s="75">
        <f>INPUT!E12</f>
        <v>50</v>
      </c>
      <c r="Q137" s="75">
        <f>INPUT!E13</f>
        <v>50</v>
      </c>
      <c r="R137" s="75">
        <f>INPUT!E14</f>
        <v>50</v>
      </c>
      <c r="S137" s="75">
        <f>INPUT!E15</f>
        <v>50</v>
      </c>
      <c r="T137" s="109" t="str">
        <f>INPUT!E16</f>
        <v>_</v>
      </c>
      <c r="U137" s="109" t="str">
        <f>INPUT!E17</f>
        <v>_</v>
      </c>
      <c r="V137" s="109" t="str">
        <f>INPUT!E18</f>
        <v>_</v>
      </c>
      <c r="W137" s="210" t="str">
        <f>INPUT!E19</f>
        <v>_</v>
      </c>
      <c r="X137" s="210" t="str">
        <f>INPUT!E20</f>
        <v>_</v>
      </c>
      <c r="Y137" s="210" t="str">
        <f>INPUT!E21</f>
        <v>_</v>
      </c>
      <c r="Z137" s="210" t="str">
        <f>INPUT!E22</f>
        <v>_</v>
      </c>
      <c r="AA137" s="210" t="str">
        <f>INPUT!E23</f>
        <v>_</v>
      </c>
    </row>
    <row r="138" spans="1:27">
      <c r="A138" s="160" t="s">
        <v>106</v>
      </c>
      <c r="B138" s="161"/>
      <c r="C138" s="161"/>
      <c r="D138" s="161"/>
      <c r="E138" s="161"/>
      <c r="F138" s="161"/>
      <c r="G138" s="161"/>
      <c r="H138" s="161"/>
      <c r="I138" s="161"/>
      <c r="J138" s="161"/>
      <c r="K138" s="161"/>
      <c r="L138" s="161"/>
      <c r="M138" s="161"/>
      <c r="N138" s="161"/>
      <c r="O138" s="162"/>
      <c r="P138" s="75">
        <f>COUNTIF(P10:P122,"&gt;="&amp;P137)</f>
        <v>0</v>
      </c>
      <c r="Q138" s="75">
        <f t="shared" ref="Q138:AA138" si="0">COUNTIF(Q10:Q122,"&gt;="&amp;Q137)</f>
        <v>0</v>
      </c>
      <c r="R138" s="75">
        <f t="shared" si="0"/>
        <v>0</v>
      </c>
      <c r="S138" s="75">
        <f t="shared" si="0"/>
        <v>0</v>
      </c>
      <c r="T138" s="75">
        <f t="shared" si="0"/>
        <v>0</v>
      </c>
      <c r="U138" s="75">
        <f t="shared" si="0"/>
        <v>0</v>
      </c>
      <c r="V138" s="75">
        <f t="shared" si="0"/>
        <v>0</v>
      </c>
      <c r="W138" s="75">
        <f t="shared" si="0"/>
        <v>0</v>
      </c>
      <c r="X138" s="75">
        <f t="shared" si="0"/>
        <v>0</v>
      </c>
      <c r="Y138" s="75">
        <f t="shared" si="0"/>
        <v>0</v>
      </c>
      <c r="Z138" s="75">
        <f t="shared" si="0"/>
        <v>0</v>
      </c>
      <c r="AA138" s="75">
        <f t="shared" si="0"/>
        <v>0</v>
      </c>
    </row>
    <row r="139" spans="1:27">
      <c r="A139" s="160" t="s">
        <v>107</v>
      </c>
      <c r="B139" s="161"/>
      <c r="C139" s="161"/>
      <c r="D139" s="161"/>
      <c r="E139" s="161"/>
      <c r="F139" s="161"/>
      <c r="G139" s="161"/>
      <c r="H139" s="161"/>
      <c r="I139" s="161"/>
      <c r="J139" s="161"/>
      <c r="K139" s="161"/>
      <c r="L139" s="161"/>
      <c r="M139" s="161"/>
      <c r="N139" s="161"/>
      <c r="O139" s="162"/>
      <c r="P139" s="109" t="e">
        <f>ROUND((P138/INPUT!$B$8)*100,2)</f>
        <v>#DIV/0!</v>
      </c>
      <c r="Q139" s="109" t="e">
        <f>ROUND((Q138/INPUT!$B$8)*100,2)</f>
        <v>#DIV/0!</v>
      </c>
      <c r="R139" s="109" t="e">
        <f>ROUND((R138/INPUT!$B$8)*100,2)</f>
        <v>#DIV/0!</v>
      </c>
      <c r="S139" s="109" t="e">
        <f>ROUND((S138/INPUT!$B$8)*100,2)</f>
        <v>#DIV/0!</v>
      </c>
      <c r="T139" s="109" t="e">
        <f>ROUND((T138/INPUT!$B$8)*100,2)</f>
        <v>#DIV/0!</v>
      </c>
      <c r="U139" s="109" t="e">
        <f>ROUND((U138/INPUT!$B$8)*100,2)</f>
        <v>#DIV/0!</v>
      </c>
      <c r="V139" s="109" t="e">
        <f>ROUND((V138/INPUT!$B$8)*100,2)</f>
        <v>#DIV/0!</v>
      </c>
      <c r="W139" s="109" t="e">
        <f>ROUND((W138/INPUT!$B$8)*100,2)</f>
        <v>#DIV/0!</v>
      </c>
      <c r="X139" s="109" t="e">
        <f>ROUND((X138/INPUT!$B$8)*100,2)</f>
        <v>#DIV/0!</v>
      </c>
      <c r="Y139" s="109" t="e">
        <f>ROUND((Y138/INPUT!$B$8)*100,2)</f>
        <v>#DIV/0!</v>
      </c>
      <c r="Z139" s="109" t="e">
        <f>ROUND((Z138/INPUT!$B$8)*100,2)</f>
        <v>#DIV/0!</v>
      </c>
      <c r="AA139" s="109" t="e">
        <f>ROUND((AA138/INPUT!$B$8)*100,2)</f>
        <v>#DIV/0!</v>
      </c>
    </row>
    <row r="140" spans="1:27">
      <c r="A140" s="160" t="s">
        <v>47</v>
      </c>
      <c r="B140" s="161"/>
      <c r="C140" s="161"/>
      <c r="D140" s="161"/>
      <c r="E140" s="161"/>
      <c r="F140" s="161"/>
      <c r="G140" s="161"/>
      <c r="H140" s="161"/>
      <c r="I140" s="161"/>
      <c r="J140" s="161"/>
      <c r="K140" s="161"/>
      <c r="L140" s="161"/>
      <c r="M140" s="161"/>
      <c r="N140" s="161"/>
      <c r="O140" s="162"/>
      <c r="P140" s="109" t="e">
        <f>IF(P139&gt;=INPUT!A27,3,IF(AND(P139&gt;=INPUT!A28,P139&lt;INPUT!A27),2,IF(AND(P139&gt;=INPUT!A29,P139&lt;INPUT!A28),1,0)))</f>
        <v>#DIV/0!</v>
      </c>
      <c r="Q140" s="109" t="e">
        <f>IF(Q139&gt;=INPUT!A27,3,IF(AND(Q139&gt;=INPUT!A28,Q139&lt;INPUT!A27),2,IF(AND(Q139&gt;=INPUT!A29,Q139&lt;INPUT!A28),1,0)))</f>
        <v>#DIV/0!</v>
      </c>
      <c r="R140" s="109" t="e">
        <f>IF(R139&gt;=INPUT!A27,3,IF(AND(R139&gt;=INPUT!A28,R139&lt;INPUT!A27),2,IF(AND(R139&gt;=INPUT!A29,R139&lt;INPUT!A28),1,0)))</f>
        <v>#DIV/0!</v>
      </c>
      <c r="S140" s="109" t="e">
        <f>IF(S139&gt;=INPUT!A27,3,IF(AND(S139&gt;=INPUT!A28,S139&lt;INPUT!A27),2,IF(AND(S139&gt;=INPUT!A29,S139&lt;INPUT!A28),1,0)))</f>
        <v>#DIV/0!</v>
      </c>
      <c r="T140" s="109" t="e">
        <f>IF(T139&gt;=INPUT!A27,3,IF(AND(T139&gt;=INPUT!A28,T139&lt;INPUT!A27),2,IF(AND(T139&gt;=INPUT!A29,T139&lt;INPUT!A28),1,0)))</f>
        <v>#DIV/0!</v>
      </c>
      <c r="U140" s="109" t="e">
        <f>IF(U139&gt;=INPUT!A27,3,IF(AND(U139&gt;=INPUT!A28,U139&lt;INPUT!A27),2,IF(AND(U139&gt;=INPUT!A29,U139&lt;INPUT!A28),1,0)))</f>
        <v>#DIV/0!</v>
      </c>
      <c r="V140" s="109" t="e">
        <f>IF(V139&gt;=INPUT!A27,3,IF(AND(V139&gt;=INPUT!A28,V139&lt;INPUT!A27),2,IF(AND(V139&gt;=INPUT!A29,V139&lt;INPUT!A28),1,0)))</f>
        <v>#DIV/0!</v>
      </c>
      <c r="W140" s="109" t="e">
        <f>IF(W139&gt;=INPUT!A27,3,IF(AND(W139&gt;=INPUT!A28,W139&lt;INPUT!A27),2,IF(AND(W139&gt;=INPUT!A29,W139&lt;INPUT!A28),1,0)))</f>
        <v>#DIV/0!</v>
      </c>
      <c r="X140" s="109" t="e">
        <f>IF(X139&gt;=INPUT!A27,3,IF(AND(X139&gt;=INPUT!A28,X139&lt;INPUT!A27),2,IF(AND(X139&gt;=INPUT!A29,X139&lt;INPUT!A28),1,0)))</f>
        <v>#DIV/0!</v>
      </c>
      <c r="Y140" s="109" t="e">
        <f>IF(Y139&gt;=INPUT!A27,3,IF(AND(Y139&gt;=INPUT!A28,Y139&lt;INPUT!A27),2,IF(AND(Y139&gt;=INPUT!A29,Y139&lt;INPUT!A28),1,0)))</f>
        <v>#DIV/0!</v>
      </c>
      <c r="Z140" s="109" t="e">
        <f>IF(Z139&gt;=INPUT!A27,3,IF(AND(Z139&gt;=INPUT!A28,Z139&lt;INPUT!A27),2,IF(AND(Z139&gt;=INPUT!A29,Z139&lt;INPUT!A28),1,0)))</f>
        <v>#DIV/0!</v>
      </c>
      <c r="AA140" s="109" t="e">
        <f>IF(AA139&gt;=INPUT!A27,3,IF(AND(AA139&gt;=INPUT!A28,AA139&lt;INPUT!A27),2,IF(AND(AA139&gt;=INPUT!A29,AA139&lt;INPUT!A28),1,0)))</f>
        <v>#DIV/0!</v>
      </c>
    </row>
  </sheetData>
  <mergeCells count="22">
    <mergeCell ref="A140:O140"/>
    <mergeCell ref="P8:AA8"/>
    <mergeCell ref="A1:AA1"/>
    <mergeCell ref="A2:AA2"/>
    <mergeCell ref="A3:AA3"/>
    <mergeCell ref="A4:AA4"/>
    <mergeCell ref="D5:E5"/>
    <mergeCell ref="C6:E6"/>
    <mergeCell ref="B8:B9"/>
    <mergeCell ref="A5:B5"/>
    <mergeCell ref="I5:J5"/>
    <mergeCell ref="I6:J6"/>
    <mergeCell ref="G5:H5"/>
    <mergeCell ref="G6:H6"/>
    <mergeCell ref="A6:B6"/>
    <mergeCell ref="A8:A9"/>
    <mergeCell ref="D8:O8"/>
    <mergeCell ref="A136:O136"/>
    <mergeCell ref="A137:O137"/>
    <mergeCell ref="A138:O138"/>
    <mergeCell ref="A139:O139"/>
    <mergeCell ref="C8:C9"/>
  </mergeCells>
  <dataValidations count="1">
    <dataValidation type="list" allowBlank="1" showInputMessage="1" showErrorMessage="1" sqref="AC4">
      <formula1>"1,2,3,4,5,6,7,8,9,10"</formula1>
    </dataValidation>
  </dataValidations>
  <pageMargins left="0.70866141732283472" right="0.70866141732283472" top="0.35433070866141736" bottom="0.24" header="0.31496062992125984" footer="0.14000000000000001"/>
  <pageSetup paperSize="9" scale="50"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L145"/>
  <sheetViews>
    <sheetView workbookViewId="0">
      <selection activeCell="G14" sqref="G14"/>
    </sheetView>
  </sheetViews>
  <sheetFormatPr defaultRowHeight="14.4"/>
  <cols>
    <col min="1" max="1" width="12.77734375" style="2" customWidth="1"/>
    <col min="2" max="2" width="17.6640625" style="2" customWidth="1"/>
    <col min="3" max="3" width="28" style="2" bestFit="1" customWidth="1"/>
    <col min="4" max="4" width="10" style="2" bestFit="1" customWidth="1"/>
    <col min="5" max="5" width="14.44140625" style="2" customWidth="1"/>
    <col min="6" max="16384" width="8.88671875" style="2"/>
  </cols>
  <sheetData>
    <row r="2" spans="1:12" ht="15">
      <c r="A2" s="166" t="s">
        <v>0</v>
      </c>
      <c r="B2" s="167"/>
      <c r="C2" s="167"/>
      <c r="D2" s="167"/>
      <c r="E2" s="167"/>
    </row>
    <row r="3" spans="1:12" ht="18">
      <c r="A3" s="175">
        <f>INPUT!B2</f>
        <v>0</v>
      </c>
      <c r="B3" s="176"/>
      <c r="C3" s="176"/>
      <c r="D3" s="176"/>
      <c r="E3" s="176"/>
    </row>
    <row r="4" spans="1:12" ht="18">
      <c r="A4" s="169" t="s">
        <v>66</v>
      </c>
      <c r="B4" s="170"/>
      <c r="C4" s="170"/>
      <c r="D4" s="170"/>
      <c r="E4" s="170"/>
      <c r="H4" s="173" t="s">
        <v>93</v>
      </c>
      <c r="I4" s="173"/>
      <c r="J4" s="173"/>
      <c r="K4" s="9" t="s">
        <v>25</v>
      </c>
      <c r="L4" s="100">
        <f>IF(K4="S",95,IF(K4="O",95,IF(K4="A+",87,IF(K4="A",82,IF(K4="B+",IF($E$8="R_2015",75,77),IF(K4="B",IF($E$8="R_2015",65,72),IF(K4="C+",67,IF(K4="C",IF($E$8="R_2015",55,62),IF(K4="D",57,IF(K4="P",IF($E$8="R_2015",45,50),0))))))))))</f>
        <v>55</v>
      </c>
    </row>
    <row r="5" spans="1:12" ht="21">
      <c r="A5" s="168"/>
      <c r="B5" s="145"/>
      <c r="C5" s="145"/>
    </row>
    <row r="6" spans="1:12" ht="31.2">
      <c r="A6" s="94" t="s">
        <v>62</v>
      </c>
      <c r="B6" s="101">
        <f>INPUT!B3</f>
        <v>0</v>
      </c>
      <c r="C6" s="95" t="s">
        <v>68</v>
      </c>
      <c r="D6" s="171">
        <f>INPUT!B5</f>
        <v>0</v>
      </c>
      <c r="E6" s="171"/>
    </row>
    <row r="7" spans="1:12" ht="15.6">
      <c r="A7" s="96" t="s">
        <v>57</v>
      </c>
      <c r="B7" s="102">
        <f>INPUT!B4</f>
        <v>0</v>
      </c>
      <c r="C7" s="95" t="s">
        <v>67</v>
      </c>
      <c r="D7" s="171">
        <f>INPUT!B6</f>
        <v>0</v>
      </c>
      <c r="E7" s="171"/>
    </row>
    <row r="8" spans="1:12" ht="32.4" customHeight="1">
      <c r="A8" s="96" t="s">
        <v>63</v>
      </c>
      <c r="B8" s="172">
        <f>INPUT!B7</f>
        <v>0</v>
      </c>
      <c r="C8" s="172"/>
      <c r="D8" s="97" t="s">
        <v>31</v>
      </c>
      <c r="E8" s="97" t="s">
        <v>33</v>
      </c>
    </row>
    <row r="9" spans="1:12" ht="21">
      <c r="A9" s="98"/>
      <c r="B9" s="98"/>
      <c r="C9" s="4"/>
      <c r="D9" s="97"/>
      <c r="E9" s="97"/>
    </row>
    <row r="10" spans="1:12" ht="15.75" customHeight="1">
      <c r="A10" s="159" t="s">
        <v>73</v>
      </c>
      <c r="B10" s="165" t="s">
        <v>55</v>
      </c>
      <c r="C10" s="159" t="s">
        <v>1</v>
      </c>
      <c r="D10" s="159" t="s">
        <v>71</v>
      </c>
      <c r="E10" s="165" t="s">
        <v>72</v>
      </c>
    </row>
    <row r="11" spans="1:12">
      <c r="A11" s="159"/>
      <c r="B11" s="165"/>
      <c r="C11" s="159"/>
      <c r="D11" s="159"/>
      <c r="E11" s="165"/>
    </row>
    <row r="12" spans="1:12">
      <c r="A12" s="159"/>
      <c r="B12" s="165"/>
      <c r="C12" s="159"/>
      <c r="D12" s="159"/>
      <c r="E12" s="165"/>
    </row>
    <row r="13" spans="1:12">
      <c r="A13" s="159"/>
      <c r="B13" s="165"/>
      <c r="C13" s="159"/>
      <c r="D13" s="159"/>
      <c r="E13" s="165"/>
    </row>
    <row r="14" spans="1:12">
      <c r="A14" s="159"/>
      <c r="B14" s="165"/>
      <c r="C14" s="159"/>
      <c r="D14" s="159"/>
      <c r="E14" s="165"/>
    </row>
    <row r="15" spans="1:12" ht="20.100000000000001" hidden="1" customHeight="1">
      <c r="A15" s="37">
        <f>'INTERNAL TEST-1  '!A14</f>
        <v>0</v>
      </c>
      <c r="B15" s="37">
        <f>'INTERNAL TEST-1  '!B14</f>
        <v>0</v>
      </c>
      <c r="C15" s="103">
        <f>'INTERNAL TEST-1  '!C14</f>
        <v>0</v>
      </c>
      <c r="D15" s="57"/>
      <c r="E15" s="37">
        <f t="shared" ref="E15:E46" si="0">IF(D15="S",95,IF(D15="O",95,IF(D15="A+",87,IF(D15="A",82,IF(D15="B+",IF($E$8="R_2015",75,77),IF(D15="B",IF($E$8="R_2015",65,72),IF(D15="C+",67,IF(D15="C",IF($E$8="R_2015",55,62),IF(D15="D",57,IF(D15="P",IF($E$8="R_2015",45,50),0))))))))))</f>
        <v>0</v>
      </c>
    </row>
    <row r="16" spans="1:12" ht="20.100000000000001" hidden="1" customHeight="1">
      <c r="A16" s="37">
        <f>'INTERNAL TEST-1  '!A15</f>
        <v>0</v>
      </c>
      <c r="B16" s="37">
        <f>'INTERNAL TEST-1  '!B15</f>
        <v>0</v>
      </c>
      <c r="C16" s="103">
        <f>'INTERNAL TEST-1  '!C15</f>
        <v>0</v>
      </c>
      <c r="D16" s="57"/>
      <c r="E16" s="37">
        <f t="shared" si="0"/>
        <v>0</v>
      </c>
      <c r="L16" s="99"/>
    </row>
    <row r="17" spans="1:5" ht="20.100000000000001" hidden="1" customHeight="1">
      <c r="A17" s="37">
        <f>'INTERNAL TEST-1  '!A16</f>
        <v>0</v>
      </c>
      <c r="B17" s="37">
        <f>'INTERNAL TEST-1  '!B16</f>
        <v>0</v>
      </c>
      <c r="C17" s="103">
        <f>'INTERNAL TEST-1  '!C16</f>
        <v>0</v>
      </c>
      <c r="D17" s="57"/>
      <c r="E17" s="37">
        <f t="shared" si="0"/>
        <v>0</v>
      </c>
    </row>
    <row r="18" spans="1:5" ht="20.100000000000001" hidden="1" customHeight="1">
      <c r="A18" s="37">
        <f>'INTERNAL TEST-1  '!A17</f>
        <v>0</v>
      </c>
      <c r="B18" s="37">
        <f>'INTERNAL TEST-1  '!B17</f>
        <v>0</v>
      </c>
      <c r="C18" s="103">
        <f>'INTERNAL TEST-1  '!C17</f>
        <v>0</v>
      </c>
      <c r="D18" s="57"/>
      <c r="E18" s="37">
        <f t="shared" si="0"/>
        <v>0</v>
      </c>
    </row>
    <row r="19" spans="1:5" ht="20.100000000000001" hidden="1" customHeight="1">
      <c r="A19" s="37">
        <f>'INTERNAL TEST-1  '!A18</f>
        <v>0</v>
      </c>
      <c r="B19" s="37">
        <f>'INTERNAL TEST-1  '!B18</f>
        <v>0</v>
      </c>
      <c r="C19" s="103">
        <f>'INTERNAL TEST-1  '!C18</f>
        <v>0</v>
      </c>
      <c r="D19" s="57"/>
      <c r="E19" s="37">
        <f t="shared" si="0"/>
        <v>0</v>
      </c>
    </row>
    <row r="20" spans="1:5" ht="20.100000000000001" hidden="1" customHeight="1">
      <c r="A20" s="37">
        <f>'INTERNAL TEST-1  '!A19</f>
        <v>0</v>
      </c>
      <c r="B20" s="37">
        <f>'INTERNAL TEST-1  '!B19</f>
        <v>0</v>
      </c>
      <c r="C20" s="103">
        <f>'INTERNAL TEST-1  '!C19</f>
        <v>0</v>
      </c>
      <c r="D20" s="57"/>
      <c r="E20" s="37">
        <f t="shared" si="0"/>
        <v>0</v>
      </c>
    </row>
    <row r="21" spans="1:5" ht="20.100000000000001" hidden="1" customHeight="1">
      <c r="A21" s="37">
        <f>'INTERNAL TEST-1  '!A20</f>
        <v>0</v>
      </c>
      <c r="B21" s="37">
        <f>'INTERNAL TEST-1  '!B20</f>
        <v>0</v>
      </c>
      <c r="C21" s="103">
        <f>'INTERNAL TEST-1  '!C20</f>
        <v>0</v>
      </c>
      <c r="D21" s="57"/>
      <c r="E21" s="37">
        <f t="shared" si="0"/>
        <v>0</v>
      </c>
    </row>
    <row r="22" spans="1:5" ht="20.100000000000001" hidden="1" customHeight="1">
      <c r="A22" s="37">
        <f>'INTERNAL TEST-1  '!A21</f>
        <v>0</v>
      </c>
      <c r="B22" s="37">
        <f>'INTERNAL TEST-1  '!B21</f>
        <v>0</v>
      </c>
      <c r="C22" s="103">
        <f>'INTERNAL TEST-1  '!C21</f>
        <v>0</v>
      </c>
      <c r="D22" s="57"/>
      <c r="E22" s="37">
        <f t="shared" si="0"/>
        <v>0</v>
      </c>
    </row>
    <row r="23" spans="1:5" ht="20.100000000000001" hidden="1" customHeight="1">
      <c r="A23" s="37">
        <f>'INTERNAL TEST-1  '!A22</f>
        <v>0</v>
      </c>
      <c r="B23" s="37">
        <f>'INTERNAL TEST-1  '!B22</f>
        <v>0</v>
      </c>
      <c r="C23" s="103">
        <f>'INTERNAL TEST-1  '!C22</f>
        <v>0</v>
      </c>
      <c r="D23" s="57"/>
      <c r="E23" s="37">
        <f t="shared" si="0"/>
        <v>0</v>
      </c>
    </row>
    <row r="24" spans="1:5" ht="20.100000000000001" hidden="1" customHeight="1">
      <c r="A24" s="37">
        <f>'INTERNAL TEST-1  '!A23</f>
        <v>0</v>
      </c>
      <c r="B24" s="37">
        <f>'INTERNAL TEST-1  '!B23</f>
        <v>0</v>
      </c>
      <c r="C24" s="103">
        <f>'INTERNAL TEST-1  '!C23</f>
        <v>0</v>
      </c>
      <c r="D24" s="57"/>
      <c r="E24" s="37">
        <f t="shared" si="0"/>
        <v>0</v>
      </c>
    </row>
    <row r="25" spans="1:5" ht="20.100000000000001" hidden="1" customHeight="1">
      <c r="A25" s="37">
        <f>'INTERNAL TEST-1  '!A24</f>
        <v>0</v>
      </c>
      <c r="B25" s="37">
        <f>'INTERNAL TEST-1  '!B24</f>
        <v>0</v>
      </c>
      <c r="C25" s="103">
        <f>'INTERNAL TEST-1  '!C24</f>
        <v>0</v>
      </c>
      <c r="D25" s="57"/>
      <c r="E25" s="37">
        <f t="shared" si="0"/>
        <v>0</v>
      </c>
    </row>
    <row r="26" spans="1:5" ht="20.100000000000001" hidden="1" customHeight="1">
      <c r="A26" s="37">
        <f>'INTERNAL TEST-1  '!A25</f>
        <v>0</v>
      </c>
      <c r="B26" s="37">
        <f>'INTERNAL TEST-1  '!B25</f>
        <v>0</v>
      </c>
      <c r="C26" s="103">
        <f>'INTERNAL TEST-1  '!C25</f>
        <v>0</v>
      </c>
      <c r="D26" s="57"/>
      <c r="E26" s="37">
        <f t="shared" si="0"/>
        <v>0</v>
      </c>
    </row>
    <row r="27" spans="1:5" ht="20.100000000000001" hidden="1" customHeight="1">
      <c r="A27" s="37">
        <f>'INTERNAL TEST-1  '!A26</f>
        <v>0</v>
      </c>
      <c r="B27" s="37">
        <f>'INTERNAL TEST-1  '!B26</f>
        <v>0</v>
      </c>
      <c r="C27" s="103">
        <f>'INTERNAL TEST-1  '!C26</f>
        <v>0</v>
      </c>
      <c r="D27" s="57"/>
      <c r="E27" s="37">
        <f t="shared" si="0"/>
        <v>0</v>
      </c>
    </row>
    <row r="28" spans="1:5" ht="20.100000000000001" hidden="1" customHeight="1">
      <c r="A28" s="37">
        <f>'INTERNAL TEST-1  '!A27</f>
        <v>0</v>
      </c>
      <c r="B28" s="37">
        <f>'INTERNAL TEST-1  '!B27</f>
        <v>0</v>
      </c>
      <c r="C28" s="103">
        <f>'INTERNAL TEST-1  '!C27</f>
        <v>0</v>
      </c>
      <c r="D28" s="57"/>
      <c r="E28" s="37">
        <f t="shared" si="0"/>
        <v>0</v>
      </c>
    </row>
    <row r="29" spans="1:5" ht="20.100000000000001" hidden="1" customHeight="1">
      <c r="A29" s="37">
        <f>'INTERNAL TEST-1  '!A28</f>
        <v>0</v>
      </c>
      <c r="B29" s="37">
        <f>'INTERNAL TEST-1  '!B28</f>
        <v>0</v>
      </c>
      <c r="C29" s="103">
        <f>'INTERNAL TEST-1  '!C28</f>
        <v>0</v>
      </c>
      <c r="D29" s="57"/>
      <c r="E29" s="37">
        <f t="shared" si="0"/>
        <v>0</v>
      </c>
    </row>
    <row r="30" spans="1:5" ht="20.100000000000001" hidden="1" customHeight="1">
      <c r="A30" s="37">
        <f>'INTERNAL TEST-1  '!A29</f>
        <v>0</v>
      </c>
      <c r="B30" s="37">
        <f>'INTERNAL TEST-1  '!B29</f>
        <v>0</v>
      </c>
      <c r="C30" s="103">
        <f>'INTERNAL TEST-1  '!C29</f>
        <v>0</v>
      </c>
      <c r="D30" s="57"/>
      <c r="E30" s="37">
        <f t="shared" si="0"/>
        <v>0</v>
      </c>
    </row>
    <row r="31" spans="1:5" ht="20.100000000000001" hidden="1" customHeight="1">
      <c r="A31" s="37">
        <f>'INTERNAL TEST-1  '!A30</f>
        <v>0</v>
      </c>
      <c r="B31" s="37">
        <f>'INTERNAL TEST-1  '!B30</f>
        <v>0</v>
      </c>
      <c r="C31" s="103">
        <f>'INTERNAL TEST-1  '!C30</f>
        <v>0</v>
      </c>
      <c r="D31" s="57"/>
      <c r="E31" s="37">
        <f t="shared" si="0"/>
        <v>0</v>
      </c>
    </row>
    <row r="32" spans="1:5" ht="20.100000000000001" hidden="1" customHeight="1">
      <c r="A32" s="37">
        <f>'INTERNAL TEST-1  '!A31</f>
        <v>0</v>
      </c>
      <c r="B32" s="37">
        <f>'INTERNAL TEST-1  '!B31</f>
        <v>0</v>
      </c>
      <c r="C32" s="103">
        <f>'INTERNAL TEST-1  '!C31</f>
        <v>0</v>
      </c>
      <c r="D32" s="57"/>
      <c r="E32" s="37">
        <f t="shared" si="0"/>
        <v>0</v>
      </c>
    </row>
    <row r="33" spans="1:5" ht="20.100000000000001" hidden="1" customHeight="1">
      <c r="A33" s="37">
        <f>'INTERNAL TEST-1  '!A32</f>
        <v>0</v>
      </c>
      <c r="B33" s="37">
        <f>'INTERNAL TEST-1  '!B32</f>
        <v>0</v>
      </c>
      <c r="C33" s="103">
        <f>'INTERNAL TEST-1  '!C32</f>
        <v>0</v>
      </c>
      <c r="D33" s="57"/>
      <c r="E33" s="37">
        <f t="shared" si="0"/>
        <v>0</v>
      </c>
    </row>
    <row r="34" spans="1:5" ht="20.100000000000001" hidden="1" customHeight="1">
      <c r="A34" s="37">
        <f>'INTERNAL TEST-1  '!A33</f>
        <v>0</v>
      </c>
      <c r="B34" s="37">
        <f>'INTERNAL TEST-1  '!B33</f>
        <v>0</v>
      </c>
      <c r="C34" s="103">
        <f>'INTERNAL TEST-1  '!C33</f>
        <v>0</v>
      </c>
      <c r="D34" s="57"/>
      <c r="E34" s="37">
        <f t="shared" si="0"/>
        <v>0</v>
      </c>
    </row>
    <row r="35" spans="1:5" ht="20.100000000000001" hidden="1" customHeight="1">
      <c r="A35" s="37">
        <f>'INTERNAL TEST-1  '!A34</f>
        <v>0</v>
      </c>
      <c r="B35" s="37">
        <f>'INTERNAL TEST-1  '!B34</f>
        <v>0</v>
      </c>
      <c r="C35" s="103">
        <f>'INTERNAL TEST-1  '!C34</f>
        <v>0</v>
      </c>
      <c r="D35" s="57"/>
      <c r="E35" s="37">
        <f t="shared" si="0"/>
        <v>0</v>
      </c>
    </row>
    <row r="36" spans="1:5" ht="20.100000000000001" hidden="1" customHeight="1">
      <c r="A36" s="37">
        <f>'INTERNAL TEST-1  '!A35</f>
        <v>0</v>
      </c>
      <c r="B36" s="37">
        <f>'INTERNAL TEST-1  '!B35</f>
        <v>0</v>
      </c>
      <c r="C36" s="103">
        <f>'INTERNAL TEST-1  '!C35</f>
        <v>0</v>
      </c>
      <c r="D36" s="57"/>
      <c r="E36" s="37">
        <f t="shared" si="0"/>
        <v>0</v>
      </c>
    </row>
    <row r="37" spans="1:5" ht="20.100000000000001" hidden="1" customHeight="1">
      <c r="A37" s="37">
        <f>'INTERNAL TEST-1  '!A36</f>
        <v>0</v>
      </c>
      <c r="B37" s="37">
        <f>'INTERNAL TEST-1  '!B36</f>
        <v>0</v>
      </c>
      <c r="C37" s="103">
        <f>'INTERNAL TEST-1  '!C36</f>
        <v>0</v>
      </c>
      <c r="D37" s="57"/>
      <c r="E37" s="37">
        <f t="shared" si="0"/>
        <v>0</v>
      </c>
    </row>
    <row r="38" spans="1:5" ht="20.100000000000001" hidden="1" customHeight="1">
      <c r="A38" s="37">
        <f>'INTERNAL TEST-1  '!A37</f>
        <v>0</v>
      </c>
      <c r="B38" s="37">
        <f>'INTERNAL TEST-1  '!B37</f>
        <v>0</v>
      </c>
      <c r="C38" s="103">
        <f>'INTERNAL TEST-1  '!C37</f>
        <v>0</v>
      </c>
      <c r="D38" s="57"/>
      <c r="E38" s="37">
        <f t="shared" si="0"/>
        <v>0</v>
      </c>
    </row>
    <row r="39" spans="1:5" ht="20.100000000000001" hidden="1" customHeight="1">
      <c r="A39" s="37">
        <f>'INTERNAL TEST-1  '!A38</f>
        <v>0</v>
      </c>
      <c r="B39" s="37">
        <f>'INTERNAL TEST-1  '!B38</f>
        <v>0</v>
      </c>
      <c r="C39" s="103">
        <f>'INTERNAL TEST-1  '!C38</f>
        <v>0</v>
      </c>
      <c r="D39" s="57"/>
      <c r="E39" s="37">
        <f t="shared" si="0"/>
        <v>0</v>
      </c>
    </row>
    <row r="40" spans="1:5" ht="20.100000000000001" hidden="1" customHeight="1">
      <c r="A40" s="37">
        <f>'INTERNAL TEST-1  '!A39</f>
        <v>0</v>
      </c>
      <c r="B40" s="37">
        <f>'INTERNAL TEST-1  '!B39</f>
        <v>0</v>
      </c>
      <c r="C40" s="103">
        <f>'INTERNAL TEST-1  '!C39</f>
        <v>0</v>
      </c>
      <c r="D40" s="57"/>
      <c r="E40" s="37">
        <f t="shared" si="0"/>
        <v>0</v>
      </c>
    </row>
    <row r="41" spans="1:5" ht="20.100000000000001" hidden="1" customHeight="1">
      <c r="A41" s="37">
        <f>'INTERNAL TEST-1  '!A40</f>
        <v>0</v>
      </c>
      <c r="B41" s="37">
        <f>'INTERNAL TEST-1  '!B40</f>
        <v>0</v>
      </c>
      <c r="C41" s="103">
        <f>'INTERNAL TEST-1  '!C40</f>
        <v>0</v>
      </c>
      <c r="D41" s="57"/>
      <c r="E41" s="37">
        <f t="shared" si="0"/>
        <v>0</v>
      </c>
    </row>
    <row r="42" spans="1:5" ht="20.100000000000001" hidden="1" customHeight="1">
      <c r="A42" s="37">
        <f>'INTERNAL TEST-1  '!A41</f>
        <v>0</v>
      </c>
      <c r="B42" s="37">
        <f>'INTERNAL TEST-1  '!B41</f>
        <v>0</v>
      </c>
      <c r="C42" s="103">
        <f>'INTERNAL TEST-1  '!C41</f>
        <v>0</v>
      </c>
      <c r="D42" s="57"/>
      <c r="E42" s="37">
        <f t="shared" si="0"/>
        <v>0</v>
      </c>
    </row>
    <row r="43" spans="1:5" ht="20.100000000000001" hidden="1" customHeight="1">
      <c r="A43" s="37">
        <f>'INTERNAL TEST-1  '!A42</f>
        <v>0</v>
      </c>
      <c r="B43" s="37">
        <f>'INTERNAL TEST-1  '!B42</f>
        <v>0</v>
      </c>
      <c r="C43" s="103">
        <f>'INTERNAL TEST-1  '!C42</f>
        <v>0</v>
      </c>
      <c r="D43" s="57"/>
      <c r="E43" s="37">
        <f t="shared" si="0"/>
        <v>0</v>
      </c>
    </row>
    <row r="44" spans="1:5" ht="20.100000000000001" hidden="1" customHeight="1">
      <c r="A44" s="37">
        <f>'INTERNAL TEST-1  '!A43</f>
        <v>0</v>
      </c>
      <c r="B44" s="37">
        <f>'INTERNAL TEST-1  '!B43</f>
        <v>0</v>
      </c>
      <c r="C44" s="103">
        <f>'INTERNAL TEST-1  '!C43</f>
        <v>0</v>
      </c>
      <c r="D44" s="57"/>
      <c r="E44" s="37">
        <f t="shared" si="0"/>
        <v>0</v>
      </c>
    </row>
    <row r="45" spans="1:5" ht="20.100000000000001" hidden="1" customHeight="1">
      <c r="A45" s="37">
        <f>'INTERNAL TEST-1  '!A44</f>
        <v>0</v>
      </c>
      <c r="B45" s="37">
        <f>'INTERNAL TEST-1  '!B44</f>
        <v>0</v>
      </c>
      <c r="C45" s="103">
        <f>'INTERNAL TEST-1  '!C44</f>
        <v>0</v>
      </c>
      <c r="D45" s="57"/>
      <c r="E45" s="37">
        <f t="shared" si="0"/>
        <v>0</v>
      </c>
    </row>
    <row r="46" spans="1:5" ht="20.100000000000001" hidden="1" customHeight="1">
      <c r="A46" s="37">
        <f>'INTERNAL TEST-1  '!A45</f>
        <v>0</v>
      </c>
      <c r="B46" s="37">
        <f>'INTERNAL TEST-1  '!B45</f>
        <v>0</v>
      </c>
      <c r="C46" s="103">
        <f>'INTERNAL TEST-1  '!C45</f>
        <v>0</v>
      </c>
      <c r="D46" s="57"/>
      <c r="E46" s="37">
        <f t="shared" si="0"/>
        <v>0</v>
      </c>
    </row>
    <row r="47" spans="1:5" ht="20.100000000000001" hidden="1" customHeight="1">
      <c r="A47" s="37">
        <f>'INTERNAL TEST-1  '!A46</f>
        <v>0</v>
      </c>
      <c r="B47" s="37">
        <f>'INTERNAL TEST-1  '!B46</f>
        <v>0</v>
      </c>
      <c r="C47" s="103">
        <f>'INTERNAL TEST-1  '!C46</f>
        <v>0</v>
      </c>
      <c r="D47" s="57"/>
      <c r="E47" s="37">
        <f t="shared" ref="E47:E78" si="1">IF(D47="S",95,IF(D47="O",95,IF(D47="A+",87,IF(D47="A",82,IF(D47="B+",IF($E$8="R_2015",75,77),IF(D47="B",IF($E$8="R_2015",65,72),IF(D47="C+",67,IF(D47="C",IF($E$8="R_2015",55,62),IF(D47="D",57,IF(D47="P",IF($E$8="R_2015",45,50),0))))))))))</f>
        <v>0</v>
      </c>
    </row>
    <row r="48" spans="1:5" ht="20.100000000000001" hidden="1" customHeight="1">
      <c r="A48" s="37">
        <f>'INTERNAL TEST-1  '!A47</f>
        <v>0</v>
      </c>
      <c r="B48" s="37">
        <f>'INTERNAL TEST-1  '!B47</f>
        <v>0</v>
      </c>
      <c r="C48" s="103">
        <f>'INTERNAL TEST-1  '!C47</f>
        <v>0</v>
      </c>
      <c r="D48" s="57"/>
      <c r="E48" s="37">
        <f t="shared" si="1"/>
        <v>0</v>
      </c>
    </row>
    <row r="49" spans="1:5" ht="20.100000000000001" hidden="1" customHeight="1">
      <c r="A49" s="37">
        <f>'INTERNAL TEST-1  '!A48</f>
        <v>0</v>
      </c>
      <c r="B49" s="37">
        <f>'INTERNAL TEST-1  '!B48</f>
        <v>0</v>
      </c>
      <c r="C49" s="103">
        <f>'INTERNAL TEST-1  '!C48</f>
        <v>0</v>
      </c>
      <c r="D49" s="57"/>
      <c r="E49" s="37">
        <f t="shared" si="1"/>
        <v>0</v>
      </c>
    </row>
    <row r="50" spans="1:5" ht="20.100000000000001" hidden="1" customHeight="1">
      <c r="A50" s="37">
        <f>'INTERNAL TEST-1  '!A49</f>
        <v>0</v>
      </c>
      <c r="B50" s="37">
        <f>'INTERNAL TEST-1  '!B49</f>
        <v>0</v>
      </c>
      <c r="C50" s="103">
        <f>'INTERNAL TEST-1  '!C49</f>
        <v>0</v>
      </c>
      <c r="D50" s="57"/>
      <c r="E50" s="37">
        <f t="shared" si="1"/>
        <v>0</v>
      </c>
    </row>
    <row r="51" spans="1:5" ht="20.100000000000001" hidden="1" customHeight="1">
      <c r="A51" s="37">
        <f>'INTERNAL TEST-1  '!A50</f>
        <v>0</v>
      </c>
      <c r="B51" s="37">
        <f>'INTERNAL TEST-1  '!B50</f>
        <v>0</v>
      </c>
      <c r="C51" s="103">
        <f>'INTERNAL TEST-1  '!C50</f>
        <v>0</v>
      </c>
      <c r="D51" s="57"/>
      <c r="E51" s="37">
        <f t="shared" si="1"/>
        <v>0</v>
      </c>
    </row>
    <row r="52" spans="1:5" ht="20.100000000000001" hidden="1" customHeight="1">
      <c r="A52" s="37">
        <f>'INTERNAL TEST-1  '!A51</f>
        <v>0</v>
      </c>
      <c r="B52" s="37">
        <f>'INTERNAL TEST-1  '!B51</f>
        <v>0</v>
      </c>
      <c r="C52" s="103">
        <f>'INTERNAL TEST-1  '!C51</f>
        <v>0</v>
      </c>
      <c r="D52" s="57"/>
      <c r="E52" s="37">
        <f t="shared" si="1"/>
        <v>0</v>
      </c>
    </row>
    <row r="53" spans="1:5" ht="20.100000000000001" hidden="1" customHeight="1">
      <c r="A53" s="37">
        <f>'INTERNAL TEST-1  '!A52</f>
        <v>0</v>
      </c>
      <c r="B53" s="37">
        <f>'INTERNAL TEST-1  '!B52</f>
        <v>0</v>
      </c>
      <c r="C53" s="103">
        <f>'INTERNAL TEST-1  '!C52</f>
        <v>0</v>
      </c>
      <c r="D53" s="57"/>
      <c r="E53" s="37">
        <f t="shared" si="1"/>
        <v>0</v>
      </c>
    </row>
    <row r="54" spans="1:5" ht="20.100000000000001" hidden="1" customHeight="1">
      <c r="A54" s="37">
        <f>'INTERNAL TEST-1  '!A53</f>
        <v>0</v>
      </c>
      <c r="B54" s="37">
        <f>'INTERNAL TEST-1  '!B53</f>
        <v>0</v>
      </c>
      <c r="C54" s="103">
        <f>'INTERNAL TEST-1  '!C53</f>
        <v>0</v>
      </c>
      <c r="D54" s="57"/>
      <c r="E54" s="37">
        <f t="shared" si="1"/>
        <v>0</v>
      </c>
    </row>
    <row r="55" spans="1:5" ht="20.100000000000001" hidden="1" customHeight="1">
      <c r="A55" s="37">
        <f>'INTERNAL TEST-1  '!A54</f>
        <v>0</v>
      </c>
      <c r="B55" s="37">
        <f>'INTERNAL TEST-1  '!B54</f>
        <v>0</v>
      </c>
      <c r="C55" s="103">
        <f>'INTERNAL TEST-1  '!C54</f>
        <v>0</v>
      </c>
      <c r="D55" s="57"/>
      <c r="E55" s="37">
        <f t="shared" si="1"/>
        <v>0</v>
      </c>
    </row>
    <row r="56" spans="1:5" ht="20.100000000000001" hidden="1" customHeight="1">
      <c r="A56" s="37">
        <f>'INTERNAL TEST-1  '!A55</f>
        <v>0</v>
      </c>
      <c r="B56" s="37">
        <f>'INTERNAL TEST-1  '!B55</f>
        <v>0</v>
      </c>
      <c r="C56" s="103">
        <f>'INTERNAL TEST-1  '!C55</f>
        <v>0</v>
      </c>
      <c r="D56" s="57"/>
      <c r="E56" s="37">
        <f t="shared" si="1"/>
        <v>0</v>
      </c>
    </row>
    <row r="57" spans="1:5" ht="20.100000000000001" hidden="1" customHeight="1">
      <c r="A57" s="37">
        <f>'INTERNAL TEST-1  '!A56</f>
        <v>0</v>
      </c>
      <c r="B57" s="37">
        <f>'INTERNAL TEST-1  '!B56</f>
        <v>0</v>
      </c>
      <c r="C57" s="103">
        <f>'INTERNAL TEST-1  '!C56</f>
        <v>0</v>
      </c>
      <c r="D57" s="57"/>
      <c r="E57" s="37">
        <f t="shared" si="1"/>
        <v>0</v>
      </c>
    </row>
    <row r="58" spans="1:5" ht="20.100000000000001" hidden="1" customHeight="1">
      <c r="A58" s="37">
        <f>'INTERNAL TEST-1  '!A57</f>
        <v>0</v>
      </c>
      <c r="B58" s="37">
        <f>'INTERNAL TEST-1  '!B57</f>
        <v>0</v>
      </c>
      <c r="C58" s="103">
        <f>'INTERNAL TEST-1  '!C57</f>
        <v>0</v>
      </c>
      <c r="D58" s="57"/>
      <c r="E58" s="37">
        <f t="shared" si="1"/>
        <v>0</v>
      </c>
    </row>
    <row r="59" spans="1:5" ht="20.100000000000001" hidden="1" customHeight="1">
      <c r="A59" s="37">
        <f>'INTERNAL TEST-1  '!A58</f>
        <v>0</v>
      </c>
      <c r="B59" s="37">
        <f>'INTERNAL TEST-1  '!B58</f>
        <v>0</v>
      </c>
      <c r="C59" s="103">
        <f>'INTERNAL TEST-1  '!C58</f>
        <v>0</v>
      </c>
      <c r="D59" s="57"/>
      <c r="E59" s="37">
        <f t="shared" si="1"/>
        <v>0</v>
      </c>
    </row>
    <row r="60" spans="1:5" ht="20.100000000000001" hidden="1" customHeight="1">
      <c r="A60" s="37">
        <f>'INTERNAL TEST-1  '!A59</f>
        <v>0</v>
      </c>
      <c r="B60" s="37">
        <f>'INTERNAL TEST-1  '!B59</f>
        <v>0</v>
      </c>
      <c r="C60" s="103">
        <f>'INTERNAL TEST-1  '!C59</f>
        <v>0</v>
      </c>
      <c r="D60" s="57"/>
      <c r="E60" s="37">
        <f t="shared" si="1"/>
        <v>0</v>
      </c>
    </row>
    <row r="61" spans="1:5" ht="20.100000000000001" hidden="1" customHeight="1">
      <c r="A61" s="37">
        <f>'INTERNAL TEST-1  '!A60</f>
        <v>0</v>
      </c>
      <c r="B61" s="37">
        <f>'INTERNAL TEST-1  '!B60</f>
        <v>0</v>
      </c>
      <c r="C61" s="103">
        <f>'INTERNAL TEST-1  '!C60</f>
        <v>0</v>
      </c>
      <c r="D61" s="57"/>
      <c r="E61" s="37">
        <f t="shared" si="1"/>
        <v>0</v>
      </c>
    </row>
    <row r="62" spans="1:5" ht="20.100000000000001" hidden="1" customHeight="1">
      <c r="A62" s="37">
        <f>'INTERNAL TEST-1  '!A61</f>
        <v>0</v>
      </c>
      <c r="B62" s="37">
        <f>'INTERNAL TEST-1  '!B61</f>
        <v>0</v>
      </c>
      <c r="C62" s="103">
        <f>'INTERNAL TEST-1  '!C61</f>
        <v>0</v>
      </c>
      <c r="D62" s="57"/>
      <c r="E62" s="37">
        <f t="shared" si="1"/>
        <v>0</v>
      </c>
    </row>
    <row r="63" spans="1:5" ht="20.100000000000001" hidden="1" customHeight="1">
      <c r="A63" s="37">
        <f>'INTERNAL TEST-1  '!A62</f>
        <v>0</v>
      </c>
      <c r="B63" s="37">
        <f>'INTERNAL TEST-1  '!B62</f>
        <v>0</v>
      </c>
      <c r="C63" s="103">
        <f>'INTERNAL TEST-1  '!C62</f>
        <v>0</v>
      </c>
      <c r="D63" s="57"/>
      <c r="E63" s="37">
        <f t="shared" si="1"/>
        <v>0</v>
      </c>
    </row>
    <row r="64" spans="1:5" ht="20.100000000000001" hidden="1" customHeight="1">
      <c r="A64" s="37">
        <f>'INTERNAL TEST-1  '!A63</f>
        <v>0</v>
      </c>
      <c r="B64" s="37">
        <f>'INTERNAL TEST-1  '!B63</f>
        <v>0</v>
      </c>
      <c r="C64" s="103">
        <f>'INTERNAL TEST-1  '!C63</f>
        <v>0</v>
      </c>
      <c r="D64" s="57"/>
      <c r="E64" s="37">
        <f t="shared" si="1"/>
        <v>0</v>
      </c>
    </row>
    <row r="65" spans="1:5" ht="20.100000000000001" hidden="1" customHeight="1">
      <c r="A65" s="37">
        <f>'INTERNAL TEST-1  '!A64</f>
        <v>0</v>
      </c>
      <c r="B65" s="37">
        <f>'INTERNAL TEST-1  '!B64</f>
        <v>0</v>
      </c>
      <c r="C65" s="103">
        <f>'INTERNAL TEST-1  '!C64</f>
        <v>0</v>
      </c>
      <c r="D65" s="57"/>
      <c r="E65" s="37">
        <f t="shared" si="1"/>
        <v>0</v>
      </c>
    </row>
    <row r="66" spans="1:5" ht="20.100000000000001" hidden="1" customHeight="1">
      <c r="A66" s="37">
        <f>'INTERNAL TEST-1  '!A65</f>
        <v>0</v>
      </c>
      <c r="B66" s="37">
        <f>'INTERNAL TEST-1  '!B65</f>
        <v>0</v>
      </c>
      <c r="C66" s="103">
        <f>'INTERNAL TEST-1  '!C65</f>
        <v>0</v>
      </c>
      <c r="D66" s="57"/>
      <c r="E66" s="37">
        <f t="shared" si="1"/>
        <v>0</v>
      </c>
    </row>
    <row r="67" spans="1:5" ht="20.100000000000001" hidden="1" customHeight="1">
      <c r="A67" s="37">
        <f>'INTERNAL TEST-1  '!A66</f>
        <v>0</v>
      </c>
      <c r="B67" s="37">
        <f>'INTERNAL TEST-1  '!B66</f>
        <v>0</v>
      </c>
      <c r="C67" s="103">
        <f>'INTERNAL TEST-1  '!C66</f>
        <v>0</v>
      </c>
      <c r="D67" s="57"/>
      <c r="E67" s="37">
        <f t="shared" si="1"/>
        <v>0</v>
      </c>
    </row>
    <row r="68" spans="1:5" ht="20.100000000000001" hidden="1" customHeight="1">
      <c r="A68" s="37">
        <f>'INTERNAL TEST-1  '!A67</f>
        <v>0</v>
      </c>
      <c r="B68" s="37">
        <f>'INTERNAL TEST-1  '!B67</f>
        <v>0</v>
      </c>
      <c r="C68" s="103">
        <f>'INTERNAL TEST-1  '!C67</f>
        <v>0</v>
      </c>
      <c r="D68" s="57"/>
      <c r="E68" s="37">
        <f t="shared" si="1"/>
        <v>0</v>
      </c>
    </row>
    <row r="69" spans="1:5" ht="20.100000000000001" hidden="1" customHeight="1">
      <c r="A69" s="37">
        <f>'INTERNAL TEST-1  '!A68</f>
        <v>0</v>
      </c>
      <c r="B69" s="37">
        <f>'INTERNAL TEST-1  '!B68</f>
        <v>0</v>
      </c>
      <c r="C69" s="103">
        <f>'INTERNAL TEST-1  '!C68</f>
        <v>0</v>
      </c>
      <c r="D69" s="57"/>
      <c r="E69" s="37">
        <f t="shared" si="1"/>
        <v>0</v>
      </c>
    </row>
    <row r="70" spans="1:5" ht="20.100000000000001" hidden="1" customHeight="1">
      <c r="A70" s="37">
        <f>'INTERNAL TEST-1  '!A69</f>
        <v>0</v>
      </c>
      <c r="B70" s="37">
        <f>'INTERNAL TEST-1  '!B69</f>
        <v>0</v>
      </c>
      <c r="C70" s="103">
        <f>'INTERNAL TEST-1  '!C69</f>
        <v>0</v>
      </c>
      <c r="D70" s="57"/>
      <c r="E70" s="37">
        <f t="shared" si="1"/>
        <v>0</v>
      </c>
    </row>
    <row r="71" spans="1:5" ht="20.100000000000001" hidden="1" customHeight="1">
      <c r="A71" s="37">
        <f>'INTERNAL TEST-1  '!A70</f>
        <v>0</v>
      </c>
      <c r="B71" s="37">
        <f>'INTERNAL TEST-1  '!B70</f>
        <v>0</v>
      </c>
      <c r="C71" s="103">
        <f>'INTERNAL TEST-1  '!C70</f>
        <v>0</v>
      </c>
      <c r="D71" s="57"/>
      <c r="E71" s="37">
        <f t="shared" si="1"/>
        <v>0</v>
      </c>
    </row>
    <row r="72" spans="1:5" ht="20.100000000000001" hidden="1" customHeight="1">
      <c r="A72" s="37">
        <f>'INTERNAL TEST-1  '!A71</f>
        <v>0</v>
      </c>
      <c r="B72" s="37">
        <f>'INTERNAL TEST-1  '!B71</f>
        <v>0</v>
      </c>
      <c r="C72" s="103">
        <f>'INTERNAL TEST-1  '!C71</f>
        <v>0</v>
      </c>
      <c r="D72" s="57"/>
      <c r="E72" s="37">
        <f t="shared" si="1"/>
        <v>0</v>
      </c>
    </row>
    <row r="73" spans="1:5" ht="20.100000000000001" hidden="1" customHeight="1">
      <c r="A73" s="37">
        <f>'INTERNAL TEST-1  '!A72</f>
        <v>0</v>
      </c>
      <c r="B73" s="37">
        <f>'INTERNAL TEST-1  '!B72</f>
        <v>0</v>
      </c>
      <c r="C73" s="103">
        <f>'INTERNAL TEST-1  '!C72</f>
        <v>0</v>
      </c>
      <c r="D73" s="57"/>
      <c r="E73" s="37">
        <f t="shared" si="1"/>
        <v>0</v>
      </c>
    </row>
    <row r="74" spans="1:5" ht="20.100000000000001" hidden="1" customHeight="1">
      <c r="A74" s="37">
        <f>'INTERNAL TEST-1  '!A73</f>
        <v>0</v>
      </c>
      <c r="B74" s="37">
        <f>'INTERNAL TEST-1  '!B73</f>
        <v>0</v>
      </c>
      <c r="C74" s="103">
        <f>'INTERNAL TEST-1  '!C73</f>
        <v>0</v>
      </c>
      <c r="D74" s="57"/>
      <c r="E74" s="37">
        <f t="shared" si="1"/>
        <v>0</v>
      </c>
    </row>
    <row r="75" spans="1:5" ht="20.100000000000001" hidden="1" customHeight="1">
      <c r="A75" s="37">
        <f>'INTERNAL TEST-1  '!A74</f>
        <v>0</v>
      </c>
      <c r="B75" s="37">
        <f>'INTERNAL TEST-1  '!B74</f>
        <v>0</v>
      </c>
      <c r="C75" s="103">
        <f>'INTERNAL TEST-1  '!C74</f>
        <v>0</v>
      </c>
      <c r="D75" s="57"/>
      <c r="E75" s="37">
        <f t="shared" si="1"/>
        <v>0</v>
      </c>
    </row>
    <row r="76" spans="1:5" ht="20.100000000000001" hidden="1" customHeight="1">
      <c r="A76" s="37">
        <f>'INTERNAL TEST-1  '!A75</f>
        <v>0</v>
      </c>
      <c r="B76" s="37">
        <f>'INTERNAL TEST-1  '!B75</f>
        <v>0</v>
      </c>
      <c r="C76" s="103">
        <f>'INTERNAL TEST-1  '!C75</f>
        <v>0</v>
      </c>
      <c r="D76" s="57"/>
      <c r="E76" s="37">
        <f t="shared" si="1"/>
        <v>0</v>
      </c>
    </row>
    <row r="77" spans="1:5" ht="20.100000000000001" hidden="1" customHeight="1">
      <c r="A77" s="37">
        <f>'INTERNAL TEST-1  '!A76</f>
        <v>0</v>
      </c>
      <c r="B77" s="37">
        <f>'INTERNAL TEST-1  '!B76</f>
        <v>0</v>
      </c>
      <c r="C77" s="103">
        <f>'INTERNAL TEST-1  '!C76</f>
        <v>0</v>
      </c>
      <c r="D77" s="57"/>
      <c r="E77" s="37">
        <f t="shared" si="1"/>
        <v>0</v>
      </c>
    </row>
    <row r="78" spans="1:5" ht="20.100000000000001" hidden="1" customHeight="1">
      <c r="A78" s="37">
        <f>'INTERNAL TEST-1  '!A77</f>
        <v>0</v>
      </c>
      <c r="B78" s="37">
        <f>'INTERNAL TEST-1  '!B77</f>
        <v>0</v>
      </c>
      <c r="C78" s="103">
        <f>'INTERNAL TEST-1  '!C77</f>
        <v>0</v>
      </c>
      <c r="D78" s="57"/>
      <c r="E78" s="37">
        <f t="shared" si="1"/>
        <v>0</v>
      </c>
    </row>
    <row r="79" spans="1:5" ht="20.100000000000001" hidden="1" customHeight="1">
      <c r="A79" s="37">
        <f>'INTERNAL TEST-1  '!A78</f>
        <v>0</v>
      </c>
      <c r="B79" s="37">
        <f>'INTERNAL TEST-1  '!B78</f>
        <v>0</v>
      </c>
      <c r="C79" s="103">
        <f>'INTERNAL TEST-1  '!C78</f>
        <v>0</v>
      </c>
      <c r="D79" s="57"/>
      <c r="E79" s="37">
        <f t="shared" ref="E79:E98" si="2">IF(D79="S",95,IF(D79="O",95,IF(D79="A+",87,IF(D79="A",82,IF(D79="B+",IF($E$8="R_2015",75,77),IF(D79="B",IF($E$8="R_2015",65,72),IF(D79="C+",67,IF(D79="C",IF($E$8="R_2015",55,62),IF(D79="D",57,IF(D79="P",IF($E$8="R_2015",45,50),0))))))))))</f>
        <v>0</v>
      </c>
    </row>
    <row r="80" spans="1:5" ht="20.100000000000001" hidden="1" customHeight="1">
      <c r="A80" s="37">
        <f>'INTERNAL TEST-1  '!A79</f>
        <v>0</v>
      </c>
      <c r="B80" s="37">
        <f>'INTERNAL TEST-1  '!B79</f>
        <v>0</v>
      </c>
      <c r="C80" s="103">
        <f>'INTERNAL TEST-1  '!C79</f>
        <v>0</v>
      </c>
      <c r="D80" s="57"/>
      <c r="E80" s="37">
        <f t="shared" si="2"/>
        <v>0</v>
      </c>
    </row>
    <row r="81" spans="1:5" ht="20.100000000000001" hidden="1" customHeight="1">
      <c r="A81" s="37">
        <f>'INTERNAL TEST-1  '!A80</f>
        <v>0</v>
      </c>
      <c r="B81" s="37">
        <f>'INTERNAL TEST-1  '!B80</f>
        <v>0</v>
      </c>
      <c r="C81" s="103">
        <f>'INTERNAL TEST-1  '!C80</f>
        <v>0</v>
      </c>
      <c r="D81" s="57"/>
      <c r="E81" s="37">
        <f t="shared" si="2"/>
        <v>0</v>
      </c>
    </row>
    <row r="82" spans="1:5" ht="20.100000000000001" hidden="1" customHeight="1">
      <c r="A82" s="37">
        <f>'INTERNAL TEST-1  '!A81</f>
        <v>0</v>
      </c>
      <c r="B82" s="37">
        <f>'INTERNAL TEST-1  '!B81</f>
        <v>0</v>
      </c>
      <c r="C82" s="103">
        <f>'INTERNAL TEST-1  '!C81</f>
        <v>0</v>
      </c>
      <c r="D82" s="57"/>
      <c r="E82" s="37">
        <f t="shared" si="2"/>
        <v>0</v>
      </c>
    </row>
    <row r="83" spans="1:5" ht="20.100000000000001" hidden="1" customHeight="1">
      <c r="A83" s="37">
        <f>'INTERNAL TEST-1  '!A82</f>
        <v>0</v>
      </c>
      <c r="B83" s="37">
        <f>'INTERNAL TEST-1  '!B82</f>
        <v>0</v>
      </c>
      <c r="C83" s="103">
        <f>'INTERNAL TEST-1  '!C82</f>
        <v>0</v>
      </c>
      <c r="D83" s="57"/>
      <c r="E83" s="37">
        <f t="shared" si="2"/>
        <v>0</v>
      </c>
    </row>
    <row r="84" spans="1:5" ht="20.100000000000001" hidden="1" customHeight="1">
      <c r="A84" s="37">
        <f>'INTERNAL TEST-1  '!A83</f>
        <v>0</v>
      </c>
      <c r="B84" s="37">
        <f>'INTERNAL TEST-1  '!B83</f>
        <v>0</v>
      </c>
      <c r="C84" s="103">
        <f>'INTERNAL TEST-1  '!C83</f>
        <v>0</v>
      </c>
      <c r="D84" s="57"/>
      <c r="E84" s="37">
        <f t="shared" si="2"/>
        <v>0</v>
      </c>
    </row>
    <row r="85" spans="1:5" ht="20.100000000000001" hidden="1" customHeight="1">
      <c r="A85" s="37">
        <f>'INTERNAL TEST-1  '!A84</f>
        <v>0</v>
      </c>
      <c r="B85" s="37">
        <f>'INTERNAL TEST-1  '!B84</f>
        <v>0</v>
      </c>
      <c r="C85" s="103">
        <f>'INTERNAL TEST-1  '!C84</f>
        <v>0</v>
      </c>
      <c r="D85" s="57"/>
      <c r="E85" s="37">
        <f t="shared" si="2"/>
        <v>0</v>
      </c>
    </row>
    <row r="86" spans="1:5" ht="20.100000000000001" hidden="1" customHeight="1">
      <c r="A86" s="37">
        <f>'INTERNAL TEST-1  '!A85</f>
        <v>0</v>
      </c>
      <c r="B86" s="37">
        <f>'INTERNAL TEST-1  '!B85</f>
        <v>0</v>
      </c>
      <c r="C86" s="103">
        <f>'INTERNAL TEST-1  '!C85</f>
        <v>0</v>
      </c>
      <c r="D86" s="57"/>
      <c r="E86" s="37">
        <f t="shared" si="2"/>
        <v>0</v>
      </c>
    </row>
    <row r="87" spans="1:5" ht="20.100000000000001" hidden="1" customHeight="1">
      <c r="A87" s="37">
        <f>'INTERNAL TEST-1  '!A86</f>
        <v>0</v>
      </c>
      <c r="B87" s="37">
        <f>'INTERNAL TEST-1  '!B86</f>
        <v>0</v>
      </c>
      <c r="C87" s="103">
        <f>'INTERNAL TEST-1  '!C86</f>
        <v>0</v>
      </c>
      <c r="D87" s="57"/>
      <c r="E87" s="37">
        <f t="shared" si="2"/>
        <v>0</v>
      </c>
    </row>
    <row r="88" spans="1:5" ht="20.100000000000001" hidden="1" customHeight="1">
      <c r="A88" s="37">
        <f>'INTERNAL TEST-1  '!A87</f>
        <v>0</v>
      </c>
      <c r="B88" s="37">
        <f>'INTERNAL TEST-1  '!B87</f>
        <v>0</v>
      </c>
      <c r="C88" s="103">
        <f>'INTERNAL TEST-1  '!C87</f>
        <v>0</v>
      </c>
      <c r="D88" s="57"/>
      <c r="E88" s="37">
        <f t="shared" si="2"/>
        <v>0</v>
      </c>
    </row>
    <row r="89" spans="1:5" ht="20.100000000000001" hidden="1" customHeight="1">
      <c r="A89" s="37">
        <f>'INTERNAL TEST-1  '!A88</f>
        <v>0</v>
      </c>
      <c r="B89" s="37">
        <f>'INTERNAL TEST-1  '!B88</f>
        <v>0</v>
      </c>
      <c r="C89" s="103">
        <f>'INTERNAL TEST-1  '!C88</f>
        <v>0</v>
      </c>
      <c r="D89" s="57"/>
      <c r="E89" s="37">
        <f t="shared" si="2"/>
        <v>0</v>
      </c>
    </row>
    <row r="90" spans="1:5" ht="20.100000000000001" hidden="1" customHeight="1">
      <c r="A90" s="37">
        <f>'INTERNAL TEST-1  '!A89</f>
        <v>0</v>
      </c>
      <c r="B90" s="37">
        <f>'INTERNAL TEST-1  '!B89</f>
        <v>0</v>
      </c>
      <c r="C90" s="103">
        <f>'INTERNAL TEST-1  '!C89</f>
        <v>0</v>
      </c>
      <c r="D90" s="57"/>
      <c r="E90" s="37">
        <f t="shared" si="2"/>
        <v>0</v>
      </c>
    </row>
    <row r="91" spans="1:5" ht="20.100000000000001" hidden="1" customHeight="1">
      <c r="A91" s="37">
        <f>'INTERNAL TEST-1  '!A90</f>
        <v>0</v>
      </c>
      <c r="B91" s="37">
        <f>'INTERNAL TEST-1  '!B90</f>
        <v>0</v>
      </c>
      <c r="C91" s="103">
        <f>'INTERNAL TEST-1  '!C90</f>
        <v>0</v>
      </c>
      <c r="D91" s="57"/>
      <c r="E91" s="37">
        <f t="shared" si="2"/>
        <v>0</v>
      </c>
    </row>
    <row r="92" spans="1:5" ht="20.100000000000001" hidden="1" customHeight="1">
      <c r="A92" s="37">
        <f>'INTERNAL TEST-1  '!A91</f>
        <v>0</v>
      </c>
      <c r="B92" s="37">
        <f>'INTERNAL TEST-1  '!B91</f>
        <v>0</v>
      </c>
      <c r="C92" s="103">
        <f>'INTERNAL TEST-1  '!C91</f>
        <v>0</v>
      </c>
      <c r="D92" s="57"/>
      <c r="E92" s="37">
        <f t="shared" si="2"/>
        <v>0</v>
      </c>
    </row>
    <row r="93" spans="1:5" ht="20.100000000000001" hidden="1" customHeight="1">
      <c r="A93" s="37">
        <f>'INTERNAL TEST-1  '!A92</f>
        <v>0</v>
      </c>
      <c r="B93" s="37">
        <f>'INTERNAL TEST-1  '!B92</f>
        <v>0</v>
      </c>
      <c r="C93" s="103">
        <f>'INTERNAL TEST-1  '!C92</f>
        <v>0</v>
      </c>
      <c r="D93" s="57"/>
      <c r="E93" s="37">
        <f t="shared" si="2"/>
        <v>0</v>
      </c>
    </row>
    <row r="94" spans="1:5" ht="20.100000000000001" hidden="1" customHeight="1">
      <c r="A94" s="37">
        <f>'INTERNAL TEST-1  '!A93</f>
        <v>0</v>
      </c>
      <c r="B94" s="37">
        <f>'INTERNAL TEST-1  '!B93</f>
        <v>0</v>
      </c>
      <c r="C94" s="103">
        <f>'INTERNAL TEST-1  '!C93</f>
        <v>0</v>
      </c>
      <c r="D94" s="57"/>
      <c r="E94" s="37">
        <f t="shared" si="2"/>
        <v>0</v>
      </c>
    </row>
    <row r="95" spans="1:5" ht="20.100000000000001" hidden="1" customHeight="1">
      <c r="A95" s="37">
        <f>'INTERNAL TEST-1  '!A94</f>
        <v>0</v>
      </c>
      <c r="B95" s="37">
        <f>'INTERNAL TEST-1  '!B94</f>
        <v>0</v>
      </c>
      <c r="C95" s="103">
        <f>'INTERNAL TEST-1  '!C94</f>
        <v>0</v>
      </c>
      <c r="D95" s="57"/>
      <c r="E95" s="37">
        <f t="shared" si="2"/>
        <v>0</v>
      </c>
    </row>
    <row r="96" spans="1:5" ht="20.100000000000001" hidden="1" customHeight="1">
      <c r="A96" s="37">
        <f>'INTERNAL TEST-1  '!A95</f>
        <v>0</v>
      </c>
      <c r="B96" s="37">
        <f>'INTERNAL TEST-1  '!B95</f>
        <v>0</v>
      </c>
      <c r="C96" s="103">
        <f>'INTERNAL TEST-1  '!C95</f>
        <v>0</v>
      </c>
      <c r="D96" s="57"/>
      <c r="E96" s="37">
        <f t="shared" si="2"/>
        <v>0</v>
      </c>
    </row>
    <row r="97" spans="1:5" ht="20.100000000000001" hidden="1" customHeight="1">
      <c r="A97" s="37">
        <f>'INTERNAL TEST-1  '!A96</f>
        <v>0</v>
      </c>
      <c r="B97" s="37">
        <f>'INTERNAL TEST-1  '!B96</f>
        <v>0</v>
      </c>
      <c r="C97" s="103">
        <f>'INTERNAL TEST-1  '!C96</f>
        <v>0</v>
      </c>
      <c r="D97" s="57"/>
      <c r="E97" s="37">
        <f t="shared" si="2"/>
        <v>0</v>
      </c>
    </row>
    <row r="98" spans="1:5" ht="20.100000000000001" hidden="1" customHeight="1">
      <c r="A98" s="37">
        <f>'INTERNAL TEST-1  '!A97</f>
        <v>0</v>
      </c>
      <c r="B98" s="37">
        <f>'INTERNAL TEST-1  '!B97</f>
        <v>0</v>
      </c>
      <c r="C98" s="103">
        <f>'INTERNAL TEST-1  '!C97</f>
        <v>0</v>
      </c>
      <c r="D98" s="57"/>
      <c r="E98" s="37">
        <f t="shared" si="2"/>
        <v>0</v>
      </c>
    </row>
    <row r="99" spans="1:5" ht="20.100000000000001" hidden="1" customHeight="1">
      <c r="A99" s="37">
        <f>'INTERNAL TEST-1  '!A98</f>
        <v>0</v>
      </c>
      <c r="B99" s="37">
        <f>'INTERNAL TEST-1  '!B98</f>
        <v>0</v>
      </c>
      <c r="C99" s="103">
        <f>'INTERNAL TEST-1  '!C98</f>
        <v>0</v>
      </c>
      <c r="D99" s="57"/>
      <c r="E99" s="37">
        <f t="shared" ref="E99:E110" si="3">IF(D99="S",95,IF(D99="O",95,IF(D99="A+",87,IF(D99="A",82,IF(D99="B+",IF($E$8="R_2015",75,77),IF(D99="B",IF($E$8="R_2015",65,72),IF(D99="C+",67,IF(D99="C",IF($E$8="R_2015",55,62),IF(D99="D",57,IF(D99="P",IF($E$8="R_2015",45,50),0))))))))))</f>
        <v>0</v>
      </c>
    </row>
    <row r="100" spans="1:5" ht="20.100000000000001" hidden="1" customHeight="1">
      <c r="A100" s="37">
        <f>'INTERNAL TEST-1  '!A99</f>
        <v>0</v>
      </c>
      <c r="B100" s="37">
        <f>'INTERNAL TEST-1  '!B99</f>
        <v>0</v>
      </c>
      <c r="C100" s="103">
        <f>'INTERNAL TEST-1  '!C99</f>
        <v>0</v>
      </c>
      <c r="D100" s="57"/>
      <c r="E100" s="37">
        <f t="shared" si="3"/>
        <v>0</v>
      </c>
    </row>
    <row r="101" spans="1:5" ht="20.100000000000001" hidden="1" customHeight="1">
      <c r="A101" s="37">
        <f>'INTERNAL TEST-1  '!A100</f>
        <v>0</v>
      </c>
      <c r="B101" s="37">
        <f>'INTERNAL TEST-1  '!B100</f>
        <v>0</v>
      </c>
      <c r="C101" s="103">
        <f>'INTERNAL TEST-1  '!C100</f>
        <v>0</v>
      </c>
      <c r="D101" s="57"/>
      <c r="E101" s="37">
        <f t="shared" si="3"/>
        <v>0</v>
      </c>
    </row>
    <row r="102" spans="1:5" ht="20.100000000000001" hidden="1" customHeight="1">
      <c r="A102" s="37">
        <f>'INTERNAL TEST-1  '!A101</f>
        <v>0</v>
      </c>
      <c r="B102" s="37">
        <f>'INTERNAL TEST-1  '!B101</f>
        <v>0</v>
      </c>
      <c r="C102" s="103">
        <f>'INTERNAL TEST-1  '!C101</f>
        <v>0</v>
      </c>
      <c r="D102" s="57"/>
      <c r="E102" s="37">
        <f t="shared" si="3"/>
        <v>0</v>
      </c>
    </row>
    <row r="103" spans="1:5" ht="20.100000000000001" hidden="1" customHeight="1">
      <c r="A103" s="37">
        <f>'INTERNAL TEST-1  '!A102</f>
        <v>0</v>
      </c>
      <c r="B103" s="37">
        <f>'INTERNAL TEST-1  '!B102</f>
        <v>0</v>
      </c>
      <c r="C103" s="103">
        <f>'INTERNAL TEST-1  '!C102</f>
        <v>0</v>
      </c>
      <c r="D103" s="57"/>
      <c r="E103" s="37">
        <f t="shared" si="3"/>
        <v>0</v>
      </c>
    </row>
    <row r="104" spans="1:5" ht="20.100000000000001" hidden="1" customHeight="1">
      <c r="A104" s="37">
        <f>'INTERNAL TEST-1  '!A103</f>
        <v>0</v>
      </c>
      <c r="B104" s="37">
        <f>'INTERNAL TEST-1  '!B103</f>
        <v>0</v>
      </c>
      <c r="C104" s="103">
        <f>'INTERNAL TEST-1  '!C103</f>
        <v>0</v>
      </c>
      <c r="D104" s="57"/>
      <c r="E104" s="37">
        <f t="shared" si="3"/>
        <v>0</v>
      </c>
    </row>
    <row r="105" spans="1:5" ht="20.100000000000001" hidden="1" customHeight="1">
      <c r="A105" s="37">
        <f>'INTERNAL TEST-1  '!A104</f>
        <v>0</v>
      </c>
      <c r="B105" s="37">
        <f>'INTERNAL TEST-1  '!B104</f>
        <v>0</v>
      </c>
      <c r="C105" s="103">
        <f>'INTERNAL TEST-1  '!C104</f>
        <v>0</v>
      </c>
      <c r="D105" s="57"/>
      <c r="E105" s="37">
        <f t="shared" si="3"/>
        <v>0</v>
      </c>
    </row>
    <row r="106" spans="1:5" ht="20.100000000000001" hidden="1" customHeight="1">
      <c r="A106" s="37">
        <f>'INTERNAL TEST-1  '!A105</f>
        <v>0</v>
      </c>
      <c r="B106" s="37">
        <f>'INTERNAL TEST-1  '!B105</f>
        <v>0</v>
      </c>
      <c r="C106" s="103">
        <f>'INTERNAL TEST-1  '!C105</f>
        <v>0</v>
      </c>
      <c r="D106" s="57"/>
      <c r="E106" s="37">
        <f t="shared" si="3"/>
        <v>0</v>
      </c>
    </row>
    <row r="107" spans="1:5" ht="20.100000000000001" hidden="1" customHeight="1">
      <c r="A107" s="37">
        <f>'INTERNAL TEST-1  '!A106</f>
        <v>0</v>
      </c>
      <c r="B107" s="37">
        <f>'INTERNAL TEST-1  '!B106</f>
        <v>0</v>
      </c>
      <c r="C107" s="103">
        <f>'INTERNAL TEST-1  '!C106</f>
        <v>0</v>
      </c>
      <c r="D107" s="57"/>
      <c r="E107" s="37">
        <f t="shared" si="3"/>
        <v>0</v>
      </c>
    </row>
    <row r="108" spans="1:5" ht="20.100000000000001" hidden="1" customHeight="1">
      <c r="A108" s="37">
        <f>'INTERNAL TEST-1  '!A107</f>
        <v>0</v>
      </c>
      <c r="B108" s="37">
        <f>'INTERNAL TEST-1  '!B107</f>
        <v>0</v>
      </c>
      <c r="C108" s="103">
        <f>'INTERNAL TEST-1  '!C107</f>
        <v>0</v>
      </c>
      <c r="D108" s="57"/>
      <c r="E108" s="37">
        <f t="shared" si="3"/>
        <v>0</v>
      </c>
    </row>
    <row r="109" spans="1:5" ht="20.100000000000001" hidden="1" customHeight="1">
      <c r="A109" s="37">
        <f>'INTERNAL TEST-1  '!A108</f>
        <v>0</v>
      </c>
      <c r="B109" s="37">
        <f>'INTERNAL TEST-1  '!B108</f>
        <v>0</v>
      </c>
      <c r="C109" s="103">
        <f>'INTERNAL TEST-1  '!C108</f>
        <v>0</v>
      </c>
      <c r="D109" s="57"/>
      <c r="E109" s="37">
        <f t="shared" si="3"/>
        <v>0</v>
      </c>
    </row>
    <row r="110" spans="1:5" ht="20.100000000000001" hidden="1" customHeight="1">
      <c r="A110" s="37">
        <f>'INTERNAL TEST-1  '!A109</f>
        <v>0</v>
      </c>
      <c r="B110" s="37">
        <f>'INTERNAL TEST-1  '!B109</f>
        <v>0</v>
      </c>
      <c r="C110" s="103">
        <f>'INTERNAL TEST-1  '!C109</f>
        <v>0</v>
      </c>
      <c r="D110" s="57"/>
      <c r="E110" s="37">
        <f t="shared" si="3"/>
        <v>0</v>
      </c>
    </row>
    <row r="111" spans="1:5" ht="20.100000000000001" hidden="1" customHeight="1">
      <c r="A111" s="37">
        <f>'INTERNAL TEST-1  '!A110</f>
        <v>0</v>
      </c>
      <c r="B111" s="37">
        <f>'INTERNAL TEST-1  '!B110</f>
        <v>0</v>
      </c>
      <c r="C111" s="103">
        <f>'INTERNAL TEST-1  '!C110</f>
        <v>0</v>
      </c>
      <c r="D111" s="57"/>
      <c r="E111" s="37">
        <f t="shared" ref="E111:E139" si="4">IF(D111="S",95,IF(D111="O",95,IF(D111="A+",87,IF(D111="A",82,IF(D111="B+",IF($E$8="R_2015",75,77),IF(D111="B",IF($E$8="R_2015",65,72),IF(D111="C+",67,IF(D111="C",IF($E$8="R_2015",55,62),IF(D111="D",57,IF(D111="P",IF($E$8="R_2015",45,50),0))))))))))</f>
        <v>0</v>
      </c>
    </row>
    <row r="112" spans="1:5" ht="20.100000000000001" hidden="1" customHeight="1">
      <c r="A112" s="37">
        <f>'INTERNAL TEST-1  '!A111</f>
        <v>0</v>
      </c>
      <c r="B112" s="37">
        <f>'INTERNAL TEST-1  '!B111</f>
        <v>0</v>
      </c>
      <c r="C112" s="103">
        <f>'INTERNAL TEST-1  '!C111</f>
        <v>0</v>
      </c>
      <c r="D112" s="57"/>
      <c r="E112" s="37">
        <f t="shared" si="4"/>
        <v>0</v>
      </c>
    </row>
    <row r="113" spans="1:5" ht="20.100000000000001" hidden="1" customHeight="1">
      <c r="A113" s="37">
        <f>'INTERNAL TEST-1  '!A112</f>
        <v>0</v>
      </c>
      <c r="B113" s="37">
        <f>'INTERNAL TEST-1  '!B112</f>
        <v>0</v>
      </c>
      <c r="C113" s="103">
        <f>'INTERNAL TEST-1  '!C112</f>
        <v>0</v>
      </c>
      <c r="D113" s="57"/>
      <c r="E113" s="37">
        <f t="shared" si="4"/>
        <v>0</v>
      </c>
    </row>
    <row r="114" spans="1:5" ht="20.100000000000001" hidden="1" customHeight="1">
      <c r="A114" s="37">
        <f>'INTERNAL TEST-1  '!A113</f>
        <v>0</v>
      </c>
      <c r="B114" s="37">
        <f>'INTERNAL TEST-1  '!B113</f>
        <v>0</v>
      </c>
      <c r="C114" s="103">
        <f>'INTERNAL TEST-1  '!C113</f>
        <v>0</v>
      </c>
      <c r="D114" s="57"/>
      <c r="E114" s="37">
        <f t="shared" si="4"/>
        <v>0</v>
      </c>
    </row>
    <row r="115" spans="1:5" ht="20.100000000000001" hidden="1" customHeight="1">
      <c r="A115" s="37">
        <f>'INTERNAL TEST-1  '!A114</f>
        <v>0</v>
      </c>
      <c r="B115" s="37">
        <f>'INTERNAL TEST-1  '!B114</f>
        <v>0</v>
      </c>
      <c r="C115" s="103">
        <f>'INTERNAL TEST-1  '!C114</f>
        <v>0</v>
      </c>
      <c r="D115" s="57"/>
      <c r="E115" s="37">
        <f t="shared" si="4"/>
        <v>0</v>
      </c>
    </row>
    <row r="116" spans="1:5" ht="20.100000000000001" hidden="1" customHeight="1">
      <c r="A116" s="37">
        <f>'INTERNAL TEST-1  '!A115</f>
        <v>0</v>
      </c>
      <c r="B116" s="37">
        <f>'INTERNAL TEST-1  '!B115</f>
        <v>0</v>
      </c>
      <c r="C116" s="103">
        <f>'INTERNAL TEST-1  '!C115</f>
        <v>0</v>
      </c>
      <c r="D116" s="57"/>
      <c r="E116" s="37">
        <f t="shared" si="4"/>
        <v>0</v>
      </c>
    </row>
    <row r="117" spans="1:5" ht="20.100000000000001" hidden="1" customHeight="1">
      <c r="A117" s="37">
        <f>'INTERNAL TEST-1  '!A116</f>
        <v>0</v>
      </c>
      <c r="B117" s="37">
        <f>'INTERNAL TEST-1  '!B116</f>
        <v>0</v>
      </c>
      <c r="C117" s="103">
        <f>'INTERNAL TEST-1  '!C116</f>
        <v>0</v>
      </c>
      <c r="D117" s="57"/>
      <c r="E117" s="37">
        <f t="shared" si="4"/>
        <v>0</v>
      </c>
    </row>
    <row r="118" spans="1:5" ht="20.100000000000001" hidden="1" customHeight="1">
      <c r="A118" s="37">
        <f>'INTERNAL TEST-1  '!A117</f>
        <v>0</v>
      </c>
      <c r="B118" s="37">
        <f>'INTERNAL TEST-1  '!B117</f>
        <v>0</v>
      </c>
      <c r="C118" s="103">
        <f>'INTERNAL TEST-1  '!C117</f>
        <v>0</v>
      </c>
      <c r="D118" s="57"/>
      <c r="E118" s="37">
        <f t="shared" si="4"/>
        <v>0</v>
      </c>
    </row>
    <row r="119" spans="1:5" ht="20.100000000000001" hidden="1" customHeight="1">
      <c r="A119" s="37">
        <f>'INTERNAL TEST-1  '!A118</f>
        <v>0</v>
      </c>
      <c r="B119" s="37">
        <f>'INTERNAL TEST-1  '!B118</f>
        <v>0</v>
      </c>
      <c r="C119" s="103">
        <f>'INTERNAL TEST-1  '!C118</f>
        <v>0</v>
      </c>
      <c r="D119" s="57"/>
      <c r="E119" s="37">
        <f t="shared" si="4"/>
        <v>0</v>
      </c>
    </row>
    <row r="120" spans="1:5" ht="20.100000000000001" hidden="1" customHeight="1">
      <c r="A120" s="37">
        <f>'INTERNAL TEST-1  '!A119</f>
        <v>0</v>
      </c>
      <c r="B120" s="37">
        <f>'INTERNAL TEST-1  '!B119</f>
        <v>0</v>
      </c>
      <c r="C120" s="103">
        <f>'INTERNAL TEST-1  '!C119</f>
        <v>0</v>
      </c>
      <c r="D120" s="57"/>
      <c r="E120" s="37">
        <f t="shared" si="4"/>
        <v>0</v>
      </c>
    </row>
    <row r="121" spans="1:5" ht="20.100000000000001" hidden="1" customHeight="1">
      <c r="A121" s="37">
        <f>'INTERNAL TEST-1  '!A120</f>
        <v>0</v>
      </c>
      <c r="B121" s="37">
        <f>'INTERNAL TEST-1  '!B120</f>
        <v>0</v>
      </c>
      <c r="C121" s="103">
        <f>'INTERNAL TEST-1  '!C120</f>
        <v>0</v>
      </c>
      <c r="D121" s="57"/>
      <c r="E121" s="37">
        <f t="shared" si="4"/>
        <v>0</v>
      </c>
    </row>
    <row r="122" spans="1:5" ht="20.100000000000001" hidden="1" customHeight="1">
      <c r="A122" s="37">
        <f>'INTERNAL TEST-1  '!A121</f>
        <v>0</v>
      </c>
      <c r="B122" s="37">
        <f>'INTERNAL TEST-1  '!B121</f>
        <v>0</v>
      </c>
      <c r="C122" s="103">
        <f>'INTERNAL TEST-1  '!C121</f>
        <v>0</v>
      </c>
      <c r="D122" s="57"/>
      <c r="E122" s="37">
        <f t="shared" si="4"/>
        <v>0</v>
      </c>
    </row>
    <row r="123" spans="1:5" ht="20.100000000000001" hidden="1" customHeight="1">
      <c r="A123" s="37">
        <f>'INTERNAL TEST-1  '!A122</f>
        <v>0</v>
      </c>
      <c r="B123" s="37">
        <f>'INTERNAL TEST-1  '!B122</f>
        <v>0</v>
      </c>
      <c r="C123" s="103">
        <f>'INTERNAL TEST-1  '!C122</f>
        <v>0</v>
      </c>
      <c r="D123" s="57"/>
      <c r="E123" s="37">
        <f t="shared" si="4"/>
        <v>0</v>
      </c>
    </row>
    <row r="124" spans="1:5" ht="20.100000000000001" hidden="1" customHeight="1">
      <c r="A124" s="37">
        <f>'INTERNAL TEST-1  '!A123</f>
        <v>0</v>
      </c>
      <c r="B124" s="37">
        <f>'INTERNAL TEST-1  '!B123</f>
        <v>0</v>
      </c>
      <c r="C124" s="103">
        <f>'INTERNAL TEST-1  '!C123</f>
        <v>0</v>
      </c>
      <c r="D124" s="57"/>
      <c r="E124" s="37">
        <f t="shared" si="4"/>
        <v>0</v>
      </c>
    </row>
    <row r="125" spans="1:5" ht="20.100000000000001" hidden="1" customHeight="1">
      <c r="A125" s="37">
        <f>'INTERNAL TEST-1  '!A124</f>
        <v>0</v>
      </c>
      <c r="B125" s="37">
        <f>'INTERNAL TEST-1  '!B124</f>
        <v>0</v>
      </c>
      <c r="C125" s="103">
        <f>'INTERNAL TEST-1  '!C124</f>
        <v>0</v>
      </c>
      <c r="D125" s="57"/>
      <c r="E125" s="37">
        <f t="shared" si="4"/>
        <v>0</v>
      </c>
    </row>
    <row r="126" spans="1:5" ht="20.100000000000001" hidden="1" customHeight="1">
      <c r="A126" s="37">
        <f>'INTERNAL TEST-1  '!A125</f>
        <v>0</v>
      </c>
      <c r="B126" s="37">
        <f>'INTERNAL TEST-1  '!B125</f>
        <v>0</v>
      </c>
      <c r="C126" s="103">
        <f>'INTERNAL TEST-1  '!C125</f>
        <v>0</v>
      </c>
      <c r="D126" s="57"/>
      <c r="E126" s="37">
        <f t="shared" si="4"/>
        <v>0</v>
      </c>
    </row>
    <row r="127" spans="1:5" ht="20.100000000000001" hidden="1" customHeight="1">
      <c r="A127" s="37">
        <f>'INTERNAL TEST-1  '!A126</f>
        <v>0</v>
      </c>
      <c r="B127" s="37">
        <f>'INTERNAL TEST-1  '!B126</f>
        <v>0</v>
      </c>
      <c r="C127" s="103">
        <f>'INTERNAL TEST-1  '!C126</f>
        <v>0</v>
      </c>
      <c r="D127" s="57"/>
      <c r="E127" s="37">
        <f t="shared" si="4"/>
        <v>0</v>
      </c>
    </row>
    <row r="128" spans="1:5" ht="20.100000000000001" hidden="1" customHeight="1">
      <c r="A128" s="37">
        <f>'INTERNAL TEST-1  '!A127</f>
        <v>0</v>
      </c>
      <c r="B128" s="37">
        <f>'INTERNAL TEST-1  '!B127</f>
        <v>0</v>
      </c>
      <c r="C128" s="103">
        <f>'INTERNAL TEST-1  '!C127</f>
        <v>0</v>
      </c>
      <c r="D128" s="57"/>
      <c r="E128" s="37">
        <f t="shared" si="4"/>
        <v>0</v>
      </c>
    </row>
    <row r="129" spans="1:5" ht="20.100000000000001" hidden="1" customHeight="1">
      <c r="A129" s="37">
        <f>'INTERNAL TEST-1  '!A128</f>
        <v>0</v>
      </c>
      <c r="B129" s="37">
        <f>'INTERNAL TEST-1  '!B128</f>
        <v>0</v>
      </c>
      <c r="C129" s="103">
        <f>'INTERNAL TEST-1  '!C128</f>
        <v>0</v>
      </c>
      <c r="D129" s="57"/>
      <c r="E129" s="37">
        <f t="shared" si="4"/>
        <v>0</v>
      </c>
    </row>
    <row r="130" spans="1:5" ht="20.100000000000001" hidden="1" customHeight="1">
      <c r="A130" s="37">
        <f>'INTERNAL TEST-1  '!A129</f>
        <v>0</v>
      </c>
      <c r="B130" s="37">
        <f>'INTERNAL TEST-1  '!B129</f>
        <v>0</v>
      </c>
      <c r="C130" s="103">
        <f>'INTERNAL TEST-1  '!C129</f>
        <v>0</v>
      </c>
      <c r="D130" s="57"/>
      <c r="E130" s="37">
        <f t="shared" si="4"/>
        <v>0</v>
      </c>
    </row>
    <row r="131" spans="1:5" ht="20.100000000000001" hidden="1" customHeight="1">
      <c r="A131" s="37">
        <f>'INTERNAL TEST-1  '!A130</f>
        <v>0</v>
      </c>
      <c r="B131" s="37">
        <f>'INTERNAL TEST-1  '!B130</f>
        <v>0</v>
      </c>
      <c r="C131" s="103">
        <f>'INTERNAL TEST-1  '!C130</f>
        <v>0</v>
      </c>
      <c r="D131" s="57"/>
      <c r="E131" s="37">
        <f t="shared" si="4"/>
        <v>0</v>
      </c>
    </row>
    <row r="132" spans="1:5" ht="20.100000000000001" hidden="1" customHeight="1">
      <c r="A132" s="37">
        <f>'INTERNAL TEST-1  '!A131</f>
        <v>0</v>
      </c>
      <c r="B132" s="37">
        <f>'INTERNAL TEST-1  '!B131</f>
        <v>0</v>
      </c>
      <c r="C132" s="103">
        <f>'INTERNAL TEST-1  '!C131</f>
        <v>0</v>
      </c>
      <c r="D132" s="57"/>
      <c r="E132" s="37">
        <f t="shared" si="4"/>
        <v>0</v>
      </c>
    </row>
    <row r="133" spans="1:5" ht="20.100000000000001" hidden="1" customHeight="1">
      <c r="A133" s="37">
        <f>'INTERNAL TEST-1  '!A132</f>
        <v>0</v>
      </c>
      <c r="B133" s="37">
        <f>'INTERNAL TEST-1  '!B132</f>
        <v>0</v>
      </c>
      <c r="C133" s="103">
        <f>'INTERNAL TEST-1  '!C132</f>
        <v>0</v>
      </c>
      <c r="D133" s="57"/>
      <c r="E133" s="37">
        <f t="shared" si="4"/>
        <v>0</v>
      </c>
    </row>
    <row r="134" spans="1:5" ht="20.100000000000001" hidden="1" customHeight="1">
      <c r="A134" s="37">
        <f>'INTERNAL TEST-1  '!A133</f>
        <v>0</v>
      </c>
      <c r="B134" s="37">
        <f>'INTERNAL TEST-1  '!B133</f>
        <v>0</v>
      </c>
      <c r="C134" s="103">
        <f>'INTERNAL TEST-1  '!C133</f>
        <v>0</v>
      </c>
      <c r="D134" s="57"/>
      <c r="E134" s="37">
        <f t="shared" si="4"/>
        <v>0</v>
      </c>
    </row>
    <row r="135" spans="1:5" ht="20.100000000000001" hidden="1" customHeight="1">
      <c r="A135" s="37">
        <f>'INTERNAL TEST-1  '!A134</f>
        <v>0</v>
      </c>
      <c r="B135" s="37">
        <f>'INTERNAL TEST-1  '!B134</f>
        <v>0</v>
      </c>
      <c r="C135" s="103">
        <f>'INTERNAL TEST-1  '!C134</f>
        <v>0</v>
      </c>
      <c r="D135" s="57"/>
      <c r="E135" s="37">
        <f t="shared" si="4"/>
        <v>0</v>
      </c>
    </row>
    <row r="136" spans="1:5" ht="20.100000000000001" hidden="1" customHeight="1">
      <c r="A136" s="37">
        <f>'INTERNAL TEST-1  '!A135</f>
        <v>0</v>
      </c>
      <c r="B136" s="37">
        <f>'INTERNAL TEST-1  '!B135</f>
        <v>0</v>
      </c>
      <c r="C136" s="103">
        <f>'INTERNAL TEST-1  '!C135</f>
        <v>0</v>
      </c>
      <c r="D136" s="57"/>
      <c r="E136" s="37">
        <f t="shared" si="4"/>
        <v>0</v>
      </c>
    </row>
    <row r="137" spans="1:5" ht="20.100000000000001" hidden="1" customHeight="1">
      <c r="A137" s="37">
        <f>'INTERNAL TEST-1  '!A136</f>
        <v>0</v>
      </c>
      <c r="B137" s="37">
        <f>'INTERNAL TEST-1  '!B136</f>
        <v>0</v>
      </c>
      <c r="C137" s="103">
        <f>'INTERNAL TEST-1  '!C136</f>
        <v>0</v>
      </c>
      <c r="D137" s="57"/>
      <c r="E137" s="37">
        <f t="shared" si="4"/>
        <v>0</v>
      </c>
    </row>
    <row r="138" spans="1:5" ht="20.100000000000001" hidden="1" customHeight="1">
      <c r="A138" s="37">
        <f>'INTERNAL TEST-1  '!A137</f>
        <v>0</v>
      </c>
      <c r="B138" s="37">
        <f>'INTERNAL TEST-1  '!B137</f>
        <v>0</v>
      </c>
      <c r="C138" s="103">
        <f>'INTERNAL TEST-1  '!C137</f>
        <v>0</v>
      </c>
      <c r="D138" s="57"/>
      <c r="E138" s="37">
        <f t="shared" si="4"/>
        <v>0</v>
      </c>
    </row>
    <row r="139" spans="1:5" ht="20.100000000000001" hidden="1" customHeight="1">
      <c r="A139" s="37">
        <f>'INTERNAL TEST-1  '!A138</f>
        <v>0</v>
      </c>
      <c r="B139" s="37">
        <f>'INTERNAL TEST-1  '!B138</f>
        <v>0</v>
      </c>
      <c r="C139" s="103">
        <f>'INTERNAL TEST-1  '!C138</f>
        <v>0</v>
      </c>
      <c r="D139" s="57"/>
      <c r="E139" s="37">
        <f t="shared" si="4"/>
        <v>0</v>
      </c>
    </row>
    <row r="140" spans="1:5" ht="20.100000000000001" hidden="1" customHeight="1">
      <c r="A140" s="37">
        <f>'INTERNAL TEST-1  '!A139</f>
        <v>0</v>
      </c>
      <c r="B140" s="37">
        <f>'INTERNAL TEST-1  '!B139</f>
        <v>0</v>
      </c>
      <c r="C140" s="103">
        <f>'INTERNAL TEST-1  '!C139</f>
        <v>0</v>
      </c>
      <c r="D140" s="57"/>
      <c r="E140" s="37">
        <f t="shared" ref="E140" si="5">IF(D140="S",95,IF(D140="O",95,IF(D140="A+",87,IF(D140="A",82,IF(D140="B+",IF($E$8="R_2015",75,77),IF(D140="B",IF($E$8="R_2015",65,72),IF(D140="C+",67,IF(D140="C",IF($E$8="R_2015",55,62),IF(D140="D",57,IF(D140="P",IF($E$8="R_2015",45,50),0))))))))))</f>
        <v>0</v>
      </c>
    </row>
    <row r="141" spans="1:5">
      <c r="A141" s="174" t="s">
        <v>94</v>
      </c>
      <c r="B141" s="174"/>
      <c r="C141" s="174"/>
      <c r="D141" s="174"/>
      <c r="E141" s="74">
        <f>COUNTIF(E15:E140,"&gt;="&amp;L4)</f>
        <v>0</v>
      </c>
    </row>
    <row r="142" spans="1:5">
      <c r="A142" s="174" t="s">
        <v>95</v>
      </c>
      <c r="B142" s="174"/>
      <c r="C142" s="174"/>
      <c r="D142" s="174"/>
      <c r="E142" s="74" t="e">
        <f>ROUND(E141/INPUT!B8*100,2)</f>
        <v>#DIV/0!</v>
      </c>
    </row>
    <row r="143" spans="1:5">
      <c r="A143" s="174" t="s">
        <v>77</v>
      </c>
      <c r="B143" s="174"/>
      <c r="C143" s="174"/>
      <c r="D143" s="174"/>
      <c r="E143" s="70" t="e">
        <f>IF(E142&gt;=INPUT!A27,3,IF(AND(E142&gt;=INPUT!A28,E142&lt;INPUT!A27),2,IF(AND(E142&gt;=INPUT!A29,E142&lt;INPUT!A28),1,0)))</f>
        <v>#DIV/0!</v>
      </c>
    </row>
    <row r="145" spans="1:4">
      <c r="A145" s="159" t="s">
        <v>93</v>
      </c>
      <c r="B145" s="159"/>
      <c r="C145" s="159"/>
      <c r="D145" s="75" t="str">
        <f>K4</f>
        <v>C</v>
      </c>
    </row>
  </sheetData>
  <sheetProtection algorithmName="SHA-512" hashValue="l2jToyU4k9bIGb7bLuQot1Js82b5qCwC7qBjGSjtVY4ekztlODg3Jp5UmRP3sz84IpMRBvWcaFH1fA8xYXSaZQ==" saltValue="Y0XmNhuAPEdHA7QJ0VBsVg==" spinCount="100000" sheet="1" objects="1" scenarios="1"/>
  <mergeCells count="17">
    <mergeCell ref="A145:C145"/>
    <mergeCell ref="H4:J4"/>
    <mergeCell ref="A143:D143"/>
    <mergeCell ref="A142:D142"/>
    <mergeCell ref="A3:E3"/>
    <mergeCell ref="A141:D141"/>
    <mergeCell ref="A2:E2"/>
    <mergeCell ref="A5:C5"/>
    <mergeCell ref="D10:D14"/>
    <mergeCell ref="E10:E14"/>
    <mergeCell ref="A10:A14"/>
    <mergeCell ref="C10:C14"/>
    <mergeCell ref="B10:B14"/>
    <mergeCell ref="A4:E4"/>
    <mergeCell ref="D6:E6"/>
    <mergeCell ref="D7:E7"/>
    <mergeCell ref="B8:C8"/>
  </mergeCells>
  <dataValidations count="2">
    <dataValidation type="list" allowBlank="1" showInputMessage="1" showErrorMessage="1" sqref="E8:E9">
      <formula1>Regulation</formula1>
    </dataValidation>
    <dataValidation type="list" allowBlank="1" showInputMessage="1" showErrorMessage="1" sqref="D15:D140 K4">
      <formula1>INDIRECT($E$8)</formula1>
    </dataValidation>
  </dataValidations>
  <pageMargins left="0.70866141732283472" right="0.70866141732283472" top="0.35433070866141736" bottom="0.47244094488188981" header="0.31496062992125984" footer="0.31496062992125984"/>
  <pageSetup paperSize="9"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141"/>
  <sheetViews>
    <sheetView workbookViewId="0">
      <selection activeCell="E14" sqref="E14"/>
    </sheetView>
  </sheetViews>
  <sheetFormatPr defaultRowHeight="14.4"/>
  <cols>
    <col min="1" max="1" width="8" customWidth="1"/>
    <col min="2" max="2" width="18" customWidth="1"/>
    <col min="3" max="3" width="24.21875" customWidth="1"/>
    <col min="4" max="4" width="14.21875" customWidth="1"/>
    <col min="5" max="5" width="10.88671875" customWidth="1"/>
    <col min="6" max="6" width="10.77734375" customWidth="1"/>
    <col min="7" max="7" width="12.88671875" customWidth="1"/>
    <col min="8" max="8" width="25" bestFit="1" customWidth="1"/>
    <col min="10" max="10" width="11.6640625" customWidth="1"/>
  </cols>
  <sheetData>
    <row r="1" spans="1:11">
      <c r="A1" s="21"/>
      <c r="B1" s="21"/>
      <c r="C1" s="21"/>
      <c r="D1" s="21"/>
      <c r="E1" s="21"/>
      <c r="F1" s="21"/>
    </row>
    <row r="2" spans="1:11" ht="16.8">
      <c r="A2" s="183" t="s">
        <v>0</v>
      </c>
      <c r="B2" s="183"/>
      <c r="C2" s="183"/>
      <c r="D2" s="183"/>
      <c r="E2" s="183"/>
      <c r="F2" s="183"/>
    </row>
    <row r="3" spans="1:11" ht="17.399999999999999">
      <c r="A3" s="184">
        <f>INPUT!B2</f>
        <v>0</v>
      </c>
      <c r="B3" s="184"/>
      <c r="C3" s="184"/>
      <c r="D3" s="184"/>
      <c r="E3" s="184"/>
      <c r="F3" s="184"/>
      <c r="H3" s="1" t="s">
        <v>38</v>
      </c>
      <c r="I3" s="1" t="s">
        <v>35</v>
      </c>
    </row>
    <row r="4" spans="1:11" ht="17.399999999999999">
      <c r="A4" s="184" t="s">
        <v>51</v>
      </c>
      <c r="B4" s="184"/>
      <c r="C4" s="184"/>
      <c r="D4" s="184"/>
      <c r="E4" s="184"/>
      <c r="F4" s="184"/>
      <c r="H4" s="1" t="s">
        <v>39</v>
      </c>
      <c r="I4" s="16">
        <v>50</v>
      </c>
    </row>
    <row r="5" spans="1:11" ht="21">
      <c r="A5" s="185" t="s">
        <v>62</v>
      </c>
      <c r="B5" s="185"/>
      <c r="C5" s="28">
        <f>INPUT!B3</f>
        <v>0</v>
      </c>
      <c r="D5" s="28" t="s">
        <v>68</v>
      </c>
      <c r="E5" s="28">
        <f>INPUT!B5</f>
        <v>0</v>
      </c>
      <c r="F5" s="24"/>
      <c r="H5" s="1" t="s">
        <v>40</v>
      </c>
      <c r="I5" s="16">
        <v>80</v>
      </c>
    </row>
    <row r="6" spans="1:11" ht="21" customHeight="1">
      <c r="A6" s="186" t="s">
        <v>37</v>
      </c>
      <c r="B6" s="186"/>
      <c r="C6" s="25">
        <f>INPUT!B4</f>
        <v>0</v>
      </c>
      <c r="D6" s="28" t="s">
        <v>67</v>
      </c>
      <c r="E6" s="185">
        <f>INPUT!B6</f>
        <v>0</v>
      </c>
      <c r="F6" s="185"/>
      <c r="H6" s="1"/>
      <c r="I6" s="19"/>
    </row>
    <row r="7" spans="1:11" ht="21" customHeight="1">
      <c r="A7" s="164" t="s">
        <v>63</v>
      </c>
      <c r="B7" s="164"/>
      <c r="C7" s="164">
        <f>INPUT!B7</f>
        <v>0</v>
      </c>
      <c r="D7" s="164"/>
      <c r="E7" s="26"/>
      <c r="F7" s="26"/>
      <c r="H7" s="1"/>
      <c r="I7" s="19"/>
    </row>
    <row r="8" spans="1:11" ht="21">
      <c r="A8" s="163"/>
      <c r="B8" s="163"/>
      <c r="C8" s="163"/>
      <c r="D8" s="163"/>
      <c r="E8" s="163"/>
      <c r="F8" s="163"/>
      <c r="H8" s="1" t="s">
        <v>41</v>
      </c>
      <c r="I8" s="16">
        <v>60</v>
      </c>
    </row>
    <row r="9" spans="1:11" ht="15.75" customHeight="1">
      <c r="A9" s="177" t="s">
        <v>2</v>
      </c>
      <c r="B9" s="181" t="s">
        <v>55</v>
      </c>
      <c r="C9" s="177" t="s">
        <v>1</v>
      </c>
      <c r="D9" s="180" t="s">
        <v>18</v>
      </c>
      <c r="E9" s="180" t="s">
        <v>36</v>
      </c>
      <c r="F9" s="180" t="s">
        <v>74</v>
      </c>
      <c r="H9" s="182" t="s">
        <v>42</v>
      </c>
      <c r="I9" s="182"/>
      <c r="J9" s="182"/>
      <c r="K9" s="19">
        <v>3</v>
      </c>
    </row>
    <row r="10" spans="1:11">
      <c r="A10" s="177"/>
      <c r="B10" s="181"/>
      <c r="C10" s="177"/>
      <c r="D10" s="180"/>
      <c r="E10" s="180"/>
      <c r="F10" s="180"/>
      <c r="H10" s="182" t="s">
        <v>43</v>
      </c>
      <c r="I10" s="182"/>
      <c r="J10" s="182"/>
      <c r="K10" s="19">
        <v>2</v>
      </c>
    </row>
    <row r="11" spans="1:11">
      <c r="A11" s="177"/>
      <c r="B11" s="181"/>
      <c r="C11" s="177"/>
      <c r="D11" s="180"/>
      <c r="E11" s="180"/>
      <c r="F11" s="180"/>
      <c r="H11" s="182" t="s">
        <v>44</v>
      </c>
      <c r="I11" s="182"/>
      <c r="J11" s="182"/>
      <c r="K11" s="19">
        <v>1</v>
      </c>
    </row>
    <row r="12" spans="1:11">
      <c r="A12" s="177"/>
      <c r="B12" s="181"/>
      <c r="C12" s="177"/>
      <c r="D12" s="180"/>
      <c r="E12" s="180"/>
      <c r="F12" s="180"/>
      <c r="H12" s="182" t="s">
        <v>45</v>
      </c>
      <c r="I12" s="182"/>
      <c r="J12" s="182"/>
      <c r="K12" s="19">
        <v>0</v>
      </c>
    </row>
    <row r="13" spans="1:11">
      <c r="A13" s="177"/>
      <c r="B13" s="181"/>
      <c r="C13" s="177"/>
      <c r="D13" s="180"/>
      <c r="E13" s="180"/>
      <c r="F13" s="180"/>
    </row>
    <row r="14" spans="1:11" ht="20.100000000000001" customHeight="1">
      <c r="A14" s="19">
        <v>1</v>
      </c>
      <c r="B14" s="19">
        <f>'INTERNAL TEST-1  '!B14</f>
        <v>0</v>
      </c>
      <c r="C14" s="3">
        <f>'INTERNAL TEST-1  '!C14</f>
        <v>0</v>
      </c>
      <c r="D14" s="19" t="e">
        <f>'INTERNAL TEST-1  '!U14+#REF!</f>
        <v>#REF!</v>
      </c>
      <c r="E14" s="19" t="e">
        <f>#REF!*10</f>
        <v>#REF!</v>
      </c>
      <c r="F14" s="19">
        <f>'SEMESTER EXAM RESULT'!E15</f>
        <v>0</v>
      </c>
    </row>
    <row r="15" spans="1:11" ht="20.100000000000001" customHeight="1">
      <c r="A15" s="19">
        <v>2</v>
      </c>
      <c r="B15" s="19">
        <f>'INTERNAL TEST-1  '!B15</f>
        <v>0</v>
      </c>
      <c r="C15" s="3">
        <f>'INTERNAL TEST-1  '!C15</f>
        <v>0</v>
      </c>
      <c r="D15" s="19" t="e">
        <f>'INTERNAL TEST-1  '!U15+#REF!</f>
        <v>#REF!</v>
      </c>
      <c r="E15" s="19" t="e">
        <f>#REF!*10</f>
        <v>#REF!</v>
      </c>
      <c r="F15" s="19">
        <f>'SEMESTER EXAM RESULT'!E16</f>
        <v>0</v>
      </c>
    </row>
    <row r="16" spans="1:11" ht="20.100000000000001" customHeight="1">
      <c r="A16" s="19">
        <v>3</v>
      </c>
      <c r="B16" s="19">
        <f>'INTERNAL TEST-1  '!B16</f>
        <v>0</v>
      </c>
      <c r="C16" s="3">
        <f>'INTERNAL TEST-1  '!C16</f>
        <v>0</v>
      </c>
      <c r="D16" s="19" t="e">
        <f>'INTERNAL TEST-1  '!U16+#REF!</f>
        <v>#REF!</v>
      </c>
      <c r="E16" s="19" t="e">
        <f>#REF!*10</f>
        <v>#REF!</v>
      </c>
      <c r="F16" s="19">
        <f>'SEMESTER EXAM RESULT'!E17</f>
        <v>0</v>
      </c>
    </row>
    <row r="17" spans="1:6" ht="20.100000000000001" customHeight="1">
      <c r="A17" s="19">
        <v>4</v>
      </c>
      <c r="B17" s="19">
        <f>'INTERNAL TEST-1  '!B17</f>
        <v>0</v>
      </c>
      <c r="C17" s="3">
        <f>'INTERNAL TEST-1  '!C17</f>
        <v>0</v>
      </c>
      <c r="D17" s="19" t="e">
        <f>'INTERNAL TEST-1  '!U17+#REF!</f>
        <v>#REF!</v>
      </c>
      <c r="E17" s="19" t="e">
        <f>#REF!*10</f>
        <v>#REF!</v>
      </c>
      <c r="F17" s="19">
        <f>'SEMESTER EXAM RESULT'!E18</f>
        <v>0</v>
      </c>
    </row>
    <row r="18" spans="1:6" ht="20.100000000000001" customHeight="1">
      <c r="A18" s="19">
        <v>5</v>
      </c>
      <c r="B18" s="19">
        <f>'INTERNAL TEST-1  '!B18</f>
        <v>0</v>
      </c>
      <c r="C18" s="3">
        <f>'INTERNAL TEST-1  '!C18</f>
        <v>0</v>
      </c>
      <c r="D18" s="19" t="e">
        <f>'INTERNAL TEST-1  '!U18+#REF!</f>
        <v>#REF!</v>
      </c>
      <c r="E18" s="19" t="e">
        <f>#REF!*10</f>
        <v>#REF!</v>
      </c>
      <c r="F18" s="19">
        <f>'SEMESTER EXAM RESULT'!E19</f>
        <v>0</v>
      </c>
    </row>
    <row r="19" spans="1:6" ht="20.100000000000001" customHeight="1">
      <c r="A19" s="19">
        <v>6</v>
      </c>
      <c r="B19" s="19">
        <f>'INTERNAL TEST-1  '!B19</f>
        <v>0</v>
      </c>
      <c r="C19" s="3">
        <f>'INTERNAL TEST-1  '!C19</f>
        <v>0</v>
      </c>
      <c r="D19" s="19" t="e">
        <f>'INTERNAL TEST-1  '!U19+#REF!</f>
        <v>#REF!</v>
      </c>
      <c r="E19" s="19" t="e">
        <f>#REF!*10</f>
        <v>#REF!</v>
      </c>
      <c r="F19" s="19">
        <f>'SEMESTER EXAM RESULT'!E20</f>
        <v>0</v>
      </c>
    </row>
    <row r="20" spans="1:6" ht="20.100000000000001" customHeight="1">
      <c r="A20" s="19">
        <v>7</v>
      </c>
      <c r="B20" s="19">
        <f>'INTERNAL TEST-1  '!B20</f>
        <v>0</v>
      </c>
      <c r="C20" s="3">
        <f>'INTERNAL TEST-1  '!C20</f>
        <v>0</v>
      </c>
      <c r="D20" s="19" t="e">
        <f>'INTERNAL TEST-1  '!U20+#REF!</f>
        <v>#REF!</v>
      </c>
      <c r="E20" s="19" t="e">
        <f>#REF!*10</f>
        <v>#REF!</v>
      </c>
      <c r="F20" s="19">
        <f>'SEMESTER EXAM RESULT'!E81</f>
        <v>0</v>
      </c>
    </row>
    <row r="21" spans="1:6" ht="20.100000000000001" customHeight="1">
      <c r="A21" s="19">
        <v>8</v>
      </c>
      <c r="B21" s="19">
        <f>'INTERNAL TEST-1  '!B21</f>
        <v>0</v>
      </c>
      <c r="C21" s="3">
        <f>'INTERNAL TEST-1  '!C21</f>
        <v>0</v>
      </c>
      <c r="D21" s="19" t="e">
        <f>'INTERNAL TEST-1  '!U21+#REF!</f>
        <v>#REF!</v>
      </c>
      <c r="E21" s="19" t="e">
        <f>#REF!*10</f>
        <v>#REF!</v>
      </c>
      <c r="F21" s="19">
        <f>'SEMESTER EXAM RESULT'!E82</f>
        <v>0</v>
      </c>
    </row>
    <row r="22" spans="1:6" ht="20.100000000000001" customHeight="1">
      <c r="A22" s="19">
        <v>9</v>
      </c>
      <c r="B22" s="19">
        <f>'INTERNAL TEST-1  '!B22</f>
        <v>0</v>
      </c>
      <c r="C22" s="3">
        <f>'INTERNAL TEST-1  '!C22</f>
        <v>0</v>
      </c>
      <c r="D22" s="19" t="e">
        <f>'INTERNAL TEST-1  '!U22+#REF!</f>
        <v>#REF!</v>
      </c>
      <c r="E22" s="19" t="e">
        <f>#REF!*10</f>
        <v>#REF!</v>
      </c>
      <c r="F22" s="19">
        <f>'SEMESTER EXAM RESULT'!E83</f>
        <v>0</v>
      </c>
    </row>
    <row r="23" spans="1:6" ht="20.100000000000001" customHeight="1">
      <c r="A23" s="19">
        <v>10</v>
      </c>
      <c r="B23" s="19">
        <f>'INTERNAL TEST-1  '!B23</f>
        <v>0</v>
      </c>
      <c r="C23" s="3">
        <f>'INTERNAL TEST-1  '!C23</f>
        <v>0</v>
      </c>
      <c r="D23" s="19" t="e">
        <f>'INTERNAL TEST-1  '!U23+#REF!</f>
        <v>#REF!</v>
      </c>
      <c r="E23" s="19" t="e">
        <f>#REF!*10</f>
        <v>#REF!</v>
      </c>
      <c r="F23" s="19">
        <f>'SEMESTER EXAM RESULT'!E84</f>
        <v>0</v>
      </c>
    </row>
    <row r="24" spans="1:6" ht="20.100000000000001" customHeight="1">
      <c r="A24" s="19">
        <v>11</v>
      </c>
      <c r="B24" s="19">
        <f>'INTERNAL TEST-1  '!B24</f>
        <v>0</v>
      </c>
      <c r="C24" s="3">
        <f>'INTERNAL TEST-1  '!C24</f>
        <v>0</v>
      </c>
      <c r="D24" s="19" t="e">
        <f>'INTERNAL TEST-1  '!U24+#REF!</f>
        <v>#REF!</v>
      </c>
      <c r="E24" s="19" t="e">
        <f>#REF!*10</f>
        <v>#REF!</v>
      </c>
      <c r="F24" s="19">
        <f>'SEMESTER EXAM RESULT'!E85</f>
        <v>0</v>
      </c>
    </row>
    <row r="25" spans="1:6" ht="20.100000000000001" customHeight="1">
      <c r="A25" s="19">
        <v>12</v>
      </c>
      <c r="B25" s="19">
        <f>'INTERNAL TEST-1  '!B25</f>
        <v>0</v>
      </c>
      <c r="C25" s="3">
        <f>'INTERNAL TEST-1  '!C25</f>
        <v>0</v>
      </c>
      <c r="D25" s="19" t="e">
        <f>'INTERNAL TEST-1  '!U25+#REF!</f>
        <v>#REF!</v>
      </c>
      <c r="E25" s="19" t="e">
        <f>#REF!*10</f>
        <v>#REF!</v>
      </c>
      <c r="F25" s="19">
        <f>'SEMESTER EXAM RESULT'!E86</f>
        <v>0</v>
      </c>
    </row>
    <row r="26" spans="1:6" ht="20.100000000000001" customHeight="1">
      <c r="A26" s="19">
        <v>13</v>
      </c>
      <c r="B26" s="19">
        <f>'INTERNAL TEST-1  '!B26</f>
        <v>0</v>
      </c>
      <c r="C26" s="3">
        <f>'INTERNAL TEST-1  '!C26</f>
        <v>0</v>
      </c>
      <c r="D26" s="19" t="e">
        <f>'INTERNAL TEST-1  '!U26+#REF!</f>
        <v>#REF!</v>
      </c>
      <c r="E26" s="19" t="e">
        <f>#REF!*10</f>
        <v>#REF!</v>
      </c>
      <c r="F26" s="19">
        <f>'SEMESTER EXAM RESULT'!E87</f>
        <v>0</v>
      </c>
    </row>
    <row r="27" spans="1:6" ht="20.100000000000001" customHeight="1">
      <c r="A27" s="19">
        <v>14</v>
      </c>
      <c r="B27" s="19">
        <f>'INTERNAL TEST-1  '!B27</f>
        <v>0</v>
      </c>
      <c r="C27" s="3">
        <f>'INTERNAL TEST-1  '!C27</f>
        <v>0</v>
      </c>
      <c r="D27" s="19" t="e">
        <f>'INTERNAL TEST-1  '!U27+#REF!</f>
        <v>#REF!</v>
      </c>
      <c r="E27" s="19" t="e">
        <f>#REF!*10</f>
        <v>#REF!</v>
      </c>
      <c r="F27" s="19">
        <f>'SEMESTER EXAM RESULT'!E88</f>
        <v>0</v>
      </c>
    </row>
    <row r="28" spans="1:6" ht="20.100000000000001" customHeight="1">
      <c r="A28" s="19">
        <v>15</v>
      </c>
      <c r="B28" s="19">
        <f>'INTERNAL TEST-1  '!B28</f>
        <v>0</v>
      </c>
      <c r="C28" s="3">
        <f>'INTERNAL TEST-1  '!C28</f>
        <v>0</v>
      </c>
      <c r="D28" s="19" t="e">
        <f>'INTERNAL TEST-1  '!U28+#REF!</f>
        <v>#REF!</v>
      </c>
      <c r="E28" s="19" t="e">
        <f>#REF!*10</f>
        <v>#REF!</v>
      </c>
      <c r="F28" s="19">
        <f>'SEMESTER EXAM RESULT'!E89</f>
        <v>0</v>
      </c>
    </row>
    <row r="29" spans="1:6" ht="20.100000000000001" customHeight="1">
      <c r="A29" s="19">
        <v>16</v>
      </c>
      <c r="B29" s="19">
        <f>'INTERNAL TEST-1  '!B29</f>
        <v>0</v>
      </c>
      <c r="C29" s="3">
        <f>'INTERNAL TEST-1  '!C29</f>
        <v>0</v>
      </c>
      <c r="D29" s="19" t="e">
        <f>'INTERNAL TEST-1  '!U29+#REF!</f>
        <v>#REF!</v>
      </c>
      <c r="E29" s="19" t="e">
        <f>#REF!*10</f>
        <v>#REF!</v>
      </c>
      <c r="F29" s="19">
        <f>'SEMESTER EXAM RESULT'!E90</f>
        <v>0</v>
      </c>
    </row>
    <row r="30" spans="1:6" ht="20.100000000000001" customHeight="1">
      <c r="A30" s="19">
        <v>17</v>
      </c>
      <c r="B30" s="19">
        <f>'INTERNAL TEST-1  '!B30</f>
        <v>0</v>
      </c>
      <c r="C30" s="3">
        <f>'INTERNAL TEST-1  '!C30</f>
        <v>0</v>
      </c>
      <c r="D30" s="19" t="e">
        <f>'INTERNAL TEST-1  '!U30+#REF!</f>
        <v>#REF!</v>
      </c>
      <c r="E30" s="19" t="e">
        <f>#REF!*10</f>
        <v>#REF!</v>
      </c>
      <c r="F30" s="19">
        <f>'SEMESTER EXAM RESULT'!E91</f>
        <v>0</v>
      </c>
    </row>
    <row r="31" spans="1:6" ht="20.100000000000001" customHeight="1">
      <c r="A31" s="19">
        <v>18</v>
      </c>
      <c r="B31" s="19">
        <f>'INTERNAL TEST-1  '!B31</f>
        <v>0</v>
      </c>
      <c r="C31" s="3">
        <f>'INTERNAL TEST-1  '!C31</f>
        <v>0</v>
      </c>
      <c r="D31" s="19" t="e">
        <f>'INTERNAL TEST-1  '!U31+#REF!</f>
        <v>#REF!</v>
      </c>
      <c r="E31" s="19" t="e">
        <f>#REF!*10</f>
        <v>#REF!</v>
      </c>
      <c r="F31" s="19">
        <f>'SEMESTER EXAM RESULT'!E92</f>
        <v>0</v>
      </c>
    </row>
    <row r="32" spans="1:6" ht="20.100000000000001" customHeight="1">
      <c r="A32" s="19">
        <v>19</v>
      </c>
      <c r="B32" s="19">
        <f>'INTERNAL TEST-1  '!B32</f>
        <v>0</v>
      </c>
      <c r="C32" s="3">
        <f>'INTERNAL TEST-1  '!C32</f>
        <v>0</v>
      </c>
      <c r="D32" s="19" t="e">
        <f>'INTERNAL TEST-1  '!U32+#REF!</f>
        <v>#REF!</v>
      </c>
      <c r="E32" s="19" t="e">
        <f>#REF!*10</f>
        <v>#REF!</v>
      </c>
      <c r="F32" s="19">
        <f>'SEMESTER EXAM RESULT'!E93</f>
        <v>0</v>
      </c>
    </row>
    <row r="33" spans="1:6" ht="20.100000000000001" customHeight="1">
      <c r="A33" s="19">
        <v>20</v>
      </c>
      <c r="B33" s="19">
        <f>'INTERNAL TEST-1  '!B33</f>
        <v>0</v>
      </c>
      <c r="C33" s="3">
        <f>'INTERNAL TEST-1  '!C33</f>
        <v>0</v>
      </c>
      <c r="D33" s="19" t="e">
        <f>'INTERNAL TEST-1  '!U33+#REF!</f>
        <v>#REF!</v>
      </c>
      <c r="E33" s="19" t="e">
        <f>#REF!*10</f>
        <v>#REF!</v>
      </c>
      <c r="F33" s="19">
        <f>'SEMESTER EXAM RESULT'!E94</f>
        <v>0</v>
      </c>
    </row>
    <row r="34" spans="1:6" ht="20.100000000000001" customHeight="1">
      <c r="A34" s="19">
        <v>21</v>
      </c>
      <c r="B34" s="19">
        <f>'INTERNAL TEST-1  '!B34</f>
        <v>0</v>
      </c>
      <c r="C34" s="3">
        <f>'INTERNAL TEST-1  '!C34</f>
        <v>0</v>
      </c>
      <c r="D34" s="19" t="e">
        <f>'INTERNAL TEST-1  '!U34+#REF!</f>
        <v>#REF!</v>
      </c>
      <c r="E34" s="19" t="e">
        <f>#REF!*10</f>
        <v>#REF!</v>
      </c>
      <c r="F34" s="19">
        <f>'SEMESTER EXAM RESULT'!E95</f>
        <v>0</v>
      </c>
    </row>
    <row r="35" spans="1:6" ht="20.100000000000001" customHeight="1">
      <c r="A35" s="19">
        <v>22</v>
      </c>
      <c r="B35" s="19">
        <f>'INTERNAL TEST-1  '!B35</f>
        <v>0</v>
      </c>
      <c r="C35" s="3">
        <f>'INTERNAL TEST-1  '!C35</f>
        <v>0</v>
      </c>
      <c r="D35" s="19" t="e">
        <f>'INTERNAL TEST-1  '!U35+#REF!</f>
        <v>#REF!</v>
      </c>
      <c r="E35" s="19" t="e">
        <f>#REF!*10</f>
        <v>#REF!</v>
      </c>
      <c r="F35" s="19">
        <f>'SEMESTER EXAM RESULT'!E96</f>
        <v>0</v>
      </c>
    </row>
    <row r="36" spans="1:6" ht="20.100000000000001" customHeight="1">
      <c r="A36" s="19">
        <v>23</v>
      </c>
      <c r="B36" s="19">
        <f>'INTERNAL TEST-1  '!B36</f>
        <v>0</v>
      </c>
      <c r="C36" s="3">
        <f>'INTERNAL TEST-1  '!C36</f>
        <v>0</v>
      </c>
      <c r="D36" s="19" t="e">
        <f>'INTERNAL TEST-1  '!U36+#REF!</f>
        <v>#REF!</v>
      </c>
      <c r="E36" s="19" t="e">
        <f>#REF!*10</f>
        <v>#REF!</v>
      </c>
      <c r="F36" s="19">
        <f>'SEMESTER EXAM RESULT'!E97</f>
        <v>0</v>
      </c>
    </row>
    <row r="37" spans="1:6" ht="20.100000000000001" customHeight="1">
      <c r="A37" s="19">
        <v>24</v>
      </c>
      <c r="B37" s="19">
        <f>'INTERNAL TEST-1  '!B37</f>
        <v>0</v>
      </c>
      <c r="C37" s="3">
        <f>'INTERNAL TEST-1  '!C37</f>
        <v>0</v>
      </c>
      <c r="D37" s="19" t="e">
        <f>'INTERNAL TEST-1  '!U37+#REF!</f>
        <v>#REF!</v>
      </c>
      <c r="E37" s="19" t="e">
        <f>#REF!*10</f>
        <v>#REF!</v>
      </c>
      <c r="F37" s="19">
        <f>'SEMESTER EXAM RESULT'!E98</f>
        <v>0</v>
      </c>
    </row>
    <row r="38" spans="1:6" ht="20.100000000000001" customHeight="1">
      <c r="A38" s="19">
        <v>25</v>
      </c>
      <c r="B38" s="19">
        <f>'INTERNAL TEST-1  '!B38</f>
        <v>0</v>
      </c>
      <c r="C38" s="3">
        <f>'INTERNAL TEST-1  '!C38</f>
        <v>0</v>
      </c>
      <c r="D38" s="19" t="e">
        <f>'INTERNAL TEST-1  '!U38+#REF!</f>
        <v>#REF!</v>
      </c>
      <c r="E38" s="19" t="e">
        <f>#REF!*10</f>
        <v>#REF!</v>
      </c>
      <c r="F38" s="19">
        <f>'SEMESTER EXAM RESULT'!E99</f>
        <v>0</v>
      </c>
    </row>
    <row r="39" spans="1:6" ht="20.100000000000001" customHeight="1">
      <c r="A39" s="19">
        <v>26</v>
      </c>
      <c r="B39" s="19">
        <f>'INTERNAL TEST-1  '!B39</f>
        <v>0</v>
      </c>
      <c r="C39" s="3">
        <f>'INTERNAL TEST-1  '!C39</f>
        <v>0</v>
      </c>
      <c r="D39" s="19" t="e">
        <f>'INTERNAL TEST-1  '!U39+#REF!</f>
        <v>#REF!</v>
      </c>
      <c r="E39" s="19" t="e">
        <f>#REF!*10</f>
        <v>#REF!</v>
      </c>
      <c r="F39" s="19">
        <f>'SEMESTER EXAM RESULT'!E100</f>
        <v>0</v>
      </c>
    </row>
    <row r="40" spans="1:6" ht="20.100000000000001" customHeight="1">
      <c r="A40" s="19">
        <v>27</v>
      </c>
      <c r="B40" s="19">
        <f>'INTERNAL TEST-1  '!B40</f>
        <v>0</v>
      </c>
      <c r="C40" s="3">
        <f>'INTERNAL TEST-1  '!C40</f>
        <v>0</v>
      </c>
      <c r="D40" s="19" t="e">
        <f>'INTERNAL TEST-1  '!U40+#REF!</f>
        <v>#REF!</v>
      </c>
      <c r="E40" s="19" t="e">
        <f>#REF!*10</f>
        <v>#REF!</v>
      </c>
      <c r="F40" s="19">
        <f>'SEMESTER EXAM RESULT'!E101</f>
        <v>0</v>
      </c>
    </row>
    <row r="41" spans="1:6" ht="20.100000000000001" customHeight="1">
      <c r="A41" s="19">
        <v>28</v>
      </c>
      <c r="B41" s="19">
        <f>'INTERNAL TEST-1  '!B41</f>
        <v>0</v>
      </c>
      <c r="C41" s="3">
        <f>'INTERNAL TEST-1  '!C41</f>
        <v>0</v>
      </c>
      <c r="D41" s="19" t="e">
        <f>'INTERNAL TEST-1  '!U41+#REF!</f>
        <v>#REF!</v>
      </c>
      <c r="E41" s="19" t="e">
        <f>#REF!*10</f>
        <v>#REF!</v>
      </c>
      <c r="F41" s="19">
        <f>'SEMESTER EXAM RESULT'!E102</f>
        <v>0</v>
      </c>
    </row>
    <row r="42" spans="1:6" ht="20.100000000000001" customHeight="1">
      <c r="A42" s="19">
        <v>29</v>
      </c>
      <c r="B42" s="19">
        <f>'INTERNAL TEST-1  '!B42</f>
        <v>0</v>
      </c>
      <c r="C42" s="3">
        <f>'INTERNAL TEST-1  '!C42</f>
        <v>0</v>
      </c>
      <c r="D42" s="19" t="e">
        <f>'INTERNAL TEST-1  '!U42+#REF!</f>
        <v>#REF!</v>
      </c>
      <c r="E42" s="19" t="e">
        <f>#REF!*10</f>
        <v>#REF!</v>
      </c>
      <c r="F42" s="19">
        <f>'SEMESTER EXAM RESULT'!E103</f>
        <v>0</v>
      </c>
    </row>
    <row r="43" spans="1:6" ht="20.100000000000001" customHeight="1">
      <c r="A43" s="19">
        <v>30</v>
      </c>
      <c r="B43" s="19">
        <f>'INTERNAL TEST-1  '!B43</f>
        <v>0</v>
      </c>
      <c r="C43" s="3">
        <f>'INTERNAL TEST-1  '!C43</f>
        <v>0</v>
      </c>
      <c r="D43" s="19" t="e">
        <f>'INTERNAL TEST-1  '!U43+#REF!</f>
        <v>#REF!</v>
      </c>
      <c r="E43" s="19" t="e">
        <f>#REF!*10</f>
        <v>#REF!</v>
      </c>
      <c r="F43" s="19">
        <f>'SEMESTER EXAM RESULT'!E104</f>
        <v>0</v>
      </c>
    </row>
    <row r="44" spans="1:6" ht="20.100000000000001" customHeight="1">
      <c r="A44" s="19">
        <v>31</v>
      </c>
      <c r="B44" s="19">
        <f>'INTERNAL TEST-1  '!B44</f>
        <v>0</v>
      </c>
      <c r="C44" s="3">
        <f>'INTERNAL TEST-1  '!C44</f>
        <v>0</v>
      </c>
      <c r="D44" s="19" t="e">
        <f>'INTERNAL TEST-1  '!U44+#REF!</f>
        <v>#REF!</v>
      </c>
      <c r="E44" s="19" t="e">
        <f>#REF!*10</f>
        <v>#REF!</v>
      </c>
      <c r="F44" s="19">
        <f>'SEMESTER EXAM RESULT'!E105</f>
        <v>0</v>
      </c>
    </row>
    <row r="45" spans="1:6" ht="20.100000000000001" customHeight="1">
      <c r="A45" s="19">
        <v>32</v>
      </c>
      <c r="B45" s="19">
        <f>'INTERNAL TEST-1  '!B45</f>
        <v>0</v>
      </c>
      <c r="C45" s="3">
        <f>'INTERNAL TEST-1  '!C45</f>
        <v>0</v>
      </c>
      <c r="D45" s="19" t="e">
        <f>'INTERNAL TEST-1  '!U45+#REF!</f>
        <v>#REF!</v>
      </c>
      <c r="E45" s="19" t="e">
        <f>#REF!*10</f>
        <v>#REF!</v>
      </c>
      <c r="F45" s="19">
        <f>'SEMESTER EXAM RESULT'!E106</f>
        <v>0</v>
      </c>
    </row>
    <row r="46" spans="1:6" ht="20.100000000000001" customHeight="1">
      <c r="A46" s="19">
        <v>33</v>
      </c>
      <c r="B46" s="19">
        <f>'INTERNAL TEST-1  '!B46</f>
        <v>0</v>
      </c>
      <c r="C46" s="3">
        <f>'INTERNAL TEST-1  '!C46</f>
        <v>0</v>
      </c>
      <c r="D46" s="19" t="e">
        <f>'INTERNAL TEST-1  '!U46+#REF!</f>
        <v>#REF!</v>
      </c>
      <c r="E46" s="19" t="e">
        <f>#REF!*10</f>
        <v>#REF!</v>
      </c>
      <c r="F46" s="19">
        <f>'SEMESTER EXAM RESULT'!E107</f>
        <v>0</v>
      </c>
    </row>
    <row r="47" spans="1:6" ht="20.100000000000001" customHeight="1">
      <c r="A47" s="19">
        <v>34</v>
      </c>
      <c r="B47" s="19">
        <f>'INTERNAL TEST-1  '!B47</f>
        <v>0</v>
      </c>
      <c r="C47" s="3">
        <f>'INTERNAL TEST-1  '!C47</f>
        <v>0</v>
      </c>
      <c r="D47" s="19" t="e">
        <f>'INTERNAL TEST-1  '!U47+#REF!</f>
        <v>#REF!</v>
      </c>
      <c r="E47" s="19" t="e">
        <f>#REF!*10</f>
        <v>#REF!</v>
      </c>
      <c r="F47" s="19">
        <f>'SEMESTER EXAM RESULT'!E108</f>
        <v>0</v>
      </c>
    </row>
    <row r="48" spans="1:6" ht="20.100000000000001" customHeight="1">
      <c r="A48" s="19">
        <v>35</v>
      </c>
      <c r="B48" s="19">
        <f>'INTERNAL TEST-1  '!B48</f>
        <v>0</v>
      </c>
      <c r="C48" s="3">
        <f>'INTERNAL TEST-1  '!C48</f>
        <v>0</v>
      </c>
      <c r="D48" s="19" t="e">
        <f>'INTERNAL TEST-1  '!U48+#REF!</f>
        <v>#REF!</v>
      </c>
      <c r="E48" s="19" t="e">
        <f>#REF!*10</f>
        <v>#REF!</v>
      </c>
      <c r="F48" s="19">
        <f>'SEMESTER EXAM RESULT'!E109</f>
        <v>0</v>
      </c>
    </row>
    <row r="49" spans="1:6" ht="20.100000000000001" customHeight="1">
      <c r="A49" s="19">
        <v>36</v>
      </c>
      <c r="B49" s="19">
        <f>'INTERNAL TEST-1  '!B49</f>
        <v>0</v>
      </c>
      <c r="C49" s="3">
        <f>'INTERNAL TEST-1  '!C49</f>
        <v>0</v>
      </c>
      <c r="D49" s="19" t="e">
        <f>'INTERNAL TEST-1  '!U49+#REF!</f>
        <v>#REF!</v>
      </c>
      <c r="E49" s="19" t="e">
        <f>#REF!*10</f>
        <v>#REF!</v>
      </c>
      <c r="F49" s="19">
        <f>'SEMESTER EXAM RESULT'!E110</f>
        <v>0</v>
      </c>
    </row>
    <row r="50" spans="1:6" ht="20.100000000000001" customHeight="1">
      <c r="A50" s="19">
        <v>37</v>
      </c>
      <c r="B50" s="19">
        <f>'INTERNAL TEST-1  '!B50</f>
        <v>0</v>
      </c>
      <c r="C50" s="3">
        <f>'INTERNAL TEST-1  '!C50</f>
        <v>0</v>
      </c>
      <c r="D50" s="19" t="e">
        <f>'INTERNAL TEST-1  '!U50+#REF!</f>
        <v>#REF!</v>
      </c>
      <c r="E50" s="19" t="e">
        <f>#REF!*10</f>
        <v>#REF!</v>
      </c>
      <c r="F50" s="19">
        <f>'SEMESTER EXAM RESULT'!E111</f>
        <v>0</v>
      </c>
    </row>
    <row r="51" spans="1:6" ht="20.100000000000001" customHeight="1">
      <c r="A51" s="19">
        <v>38</v>
      </c>
      <c r="B51" s="19">
        <f>'INTERNAL TEST-1  '!B51</f>
        <v>0</v>
      </c>
      <c r="C51" s="3">
        <f>'INTERNAL TEST-1  '!C51</f>
        <v>0</v>
      </c>
      <c r="D51" s="19" t="e">
        <f>'INTERNAL TEST-1  '!U51+#REF!</f>
        <v>#REF!</v>
      </c>
      <c r="E51" s="19" t="e">
        <f>#REF!*10</f>
        <v>#REF!</v>
      </c>
      <c r="F51" s="19">
        <f>'SEMESTER EXAM RESULT'!E112</f>
        <v>0</v>
      </c>
    </row>
    <row r="52" spans="1:6" ht="20.100000000000001" customHeight="1">
      <c r="A52" s="19">
        <v>39</v>
      </c>
      <c r="B52" s="19">
        <f>'INTERNAL TEST-1  '!B52</f>
        <v>0</v>
      </c>
      <c r="C52" s="3">
        <f>'INTERNAL TEST-1  '!C52</f>
        <v>0</v>
      </c>
      <c r="D52" s="19" t="e">
        <f>'INTERNAL TEST-1  '!U52+#REF!</f>
        <v>#REF!</v>
      </c>
      <c r="E52" s="19" t="e">
        <f>#REF!*10</f>
        <v>#REF!</v>
      </c>
      <c r="F52" s="19">
        <f>'SEMESTER EXAM RESULT'!E113</f>
        <v>0</v>
      </c>
    </row>
    <row r="53" spans="1:6" ht="20.100000000000001" customHeight="1">
      <c r="A53" s="19">
        <v>40</v>
      </c>
      <c r="B53" s="19">
        <f>'INTERNAL TEST-1  '!B53</f>
        <v>0</v>
      </c>
      <c r="C53" s="3">
        <f>'INTERNAL TEST-1  '!C53</f>
        <v>0</v>
      </c>
      <c r="D53" s="19" t="e">
        <f>'INTERNAL TEST-1  '!U53+#REF!</f>
        <v>#REF!</v>
      </c>
      <c r="E53" s="19" t="e">
        <f>#REF!*10</f>
        <v>#REF!</v>
      </c>
      <c r="F53" s="19">
        <f>'SEMESTER EXAM RESULT'!E114</f>
        <v>0</v>
      </c>
    </row>
    <row r="54" spans="1:6" ht="20.100000000000001" customHeight="1">
      <c r="A54" s="19">
        <v>41</v>
      </c>
      <c r="B54" s="19">
        <f>'INTERNAL TEST-1  '!B54</f>
        <v>0</v>
      </c>
      <c r="C54" s="3">
        <f>'INTERNAL TEST-1  '!C54</f>
        <v>0</v>
      </c>
      <c r="D54" s="19" t="e">
        <f>'INTERNAL TEST-1  '!U54+#REF!</f>
        <v>#REF!</v>
      </c>
      <c r="E54" s="19" t="e">
        <f>#REF!*10</f>
        <v>#REF!</v>
      </c>
      <c r="F54" s="19">
        <f>'SEMESTER EXAM RESULT'!E115</f>
        <v>0</v>
      </c>
    </row>
    <row r="55" spans="1:6" ht="20.100000000000001" customHeight="1">
      <c r="A55" s="19">
        <v>42</v>
      </c>
      <c r="B55" s="19">
        <f>'INTERNAL TEST-1  '!B55</f>
        <v>0</v>
      </c>
      <c r="C55" s="3">
        <f>'INTERNAL TEST-1  '!C55</f>
        <v>0</v>
      </c>
      <c r="D55" s="19" t="e">
        <f>'INTERNAL TEST-1  '!U55+#REF!</f>
        <v>#REF!</v>
      </c>
      <c r="E55" s="19" t="e">
        <f>#REF!*10</f>
        <v>#REF!</v>
      </c>
      <c r="F55" s="19">
        <f>'SEMESTER EXAM RESULT'!E116</f>
        <v>0</v>
      </c>
    </row>
    <row r="56" spans="1:6" ht="20.100000000000001" customHeight="1">
      <c r="A56" s="19">
        <v>43</v>
      </c>
      <c r="B56" s="19">
        <f>'INTERNAL TEST-1  '!B56</f>
        <v>0</v>
      </c>
      <c r="C56" s="3">
        <f>'INTERNAL TEST-1  '!C56</f>
        <v>0</v>
      </c>
      <c r="D56" s="19" t="e">
        <f>'INTERNAL TEST-1  '!U56+#REF!</f>
        <v>#REF!</v>
      </c>
      <c r="E56" s="19" t="e">
        <f>#REF!*10</f>
        <v>#REF!</v>
      </c>
      <c r="F56" s="19">
        <f>'SEMESTER EXAM RESULT'!E117</f>
        <v>0</v>
      </c>
    </row>
    <row r="57" spans="1:6" ht="20.100000000000001" customHeight="1">
      <c r="A57" s="19">
        <v>44</v>
      </c>
      <c r="B57" s="19">
        <f>'INTERNAL TEST-1  '!B57</f>
        <v>0</v>
      </c>
      <c r="C57" s="3">
        <f>'INTERNAL TEST-1  '!C57</f>
        <v>0</v>
      </c>
      <c r="D57" s="19" t="e">
        <f>'INTERNAL TEST-1  '!U57+#REF!</f>
        <v>#REF!</v>
      </c>
      <c r="E57" s="19" t="e">
        <f>#REF!*10</f>
        <v>#REF!</v>
      </c>
      <c r="F57" s="19">
        <f>'SEMESTER EXAM RESULT'!E118</f>
        <v>0</v>
      </c>
    </row>
    <row r="58" spans="1:6" ht="30" customHeight="1">
      <c r="A58" s="19">
        <v>45</v>
      </c>
      <c r="B58" s="19">
        <f>'INTERNAL TEST-1  '!B58</f>
        <v>0</v>
      </c>
      <c r="C58" s="3">
        <f>'INTERNAL TEST-1  '!C58</f>
        <v>0</v>
      </c>
      <c r="D58" s="19" t="e">
        <f>'INTERNAL TEST-1  '!U58+#REF!</f>
        <v>#REF!</v>
      </c>
      <c r="E58" s="19" t="e">
        <f>#REF!*10</f>
        <v>#REF!</v>
      </c>
      <c r="F58" s="19">
        <f>'SEMESTER EXAM RESULT'!E119</f>
        <v>0</v>
      </c>
    </row>
    <row r="59" spans="1:6" ht="20.100000000000001" customHeight="1">
      <c r="A59" s="19">
        <v>46</v>
      </c>
      <c r="B59" s="19">
        <f>'INTERNAL TEST-1  '!B59</f>
        <v>0</v>
      </c>
      <c r="C59" s="3">
        <f>'INTERNAL TEST-1  '!C59</f>
        <v>0</v>
      </c>
      <c r="D59" s="19" t="e">
        <f>'INTERNAL TEST-1  '!U59+#REF!</f>
        <v>#REF!</v>
      </c>
      <c r="E59" s="19" t="e">
        <f>#REF!*10</f>
        <v>#REF!</v>
      </c>
      <c r="F59" s="19">
        <f>'SEMESTER EXAM RESULT'!E120</f>
        <v>0</v>
      </c>
    </row>
    <row r="60" spans="1:6" ht="20.100000000000001" customHeight="1">
      <c r="A60" s="19">
        <v>47</v>
      </c>
      <c r="B60" s="19">
        <f>'INTERNAL TEST-1  '!B60</f>
        <v>0</v>
      </c>
      <c r="C60" s="3">
        <f>'INTERNAL TEST-1  '!C60</f>
        <v>0</v>
      </c>
      <c r="D60" s="19" t="e">
        <f>'INTERNAL TEST-1  '!U60+#REF!</f>
        <v>#REF!</v>
      </c>
      <c r="E60" s="19" t="e">
        <f>#REF!*10</f>
        <v>#REF!</v>
      </c>
      <c r="F60" s="19">
        <f>'SEMESTER EXAM RESULT'!E121</f>
        <v>0</v>
      </c>
    </row>
    <row r="61" spans="1:6" ht="20.100000000000001" customHeight="1">
      <c r="A61" s="19">
        <v>48</v>
      </c>
      <c r="B61" s="19">
        <f>'INTERNAL TEST-1  '!B61</f>
        <v>0</v>
      </c>
      <c r="C61" s="3">
        <f>'INTERNAL TEST-1  '!C61</f>
        <v>0</v>
      </c>
      <c r="D61" s="19" t="e">
        <f>'INTERNAL TEST-1  '!U61+#REF!</f>
        <v>#REF!</v>
      </c>
      <c r="E61" s="19" t="e">
        <f>#REF!*10</f>
        <v>#REF!</v>
      </c>
      <c r="F61" s="19">
        <f>'SEMESTER EXAM RESULT'!E122</f>
        <v>0</v>
      </c>
    </row>
    <row r="62" spans="1:6" ht="20.100000000000001" customHeight="1">
      <c r="A62" s="19">
        <v>49</v>
      </c>
      <c r="B62" s="19">
        <f>'INTERNAL TEST-1  '!B62</f>
        <v>0</v>
      </c>
      <c r="C62" s="3">
        <f>'INTERNAL TEST-1  '!C62</f>
        <v>0</v>
      </c>
      <c r="D62" s="19" t="e">
        <f>'INTERNAL TEST-1  '!U62+#REF!</f>
        <v>#REF!</v>
      </c>
      <c r="E62" s="19" t="e">
        <f>#REF!*10</f>
        <v>#REF!</v>
      </c>
      <c r="F62" s="19">
        <f>'SEMESTER EXAM RESULT'!E123</f>
        <v>0</v>
      </c>
    </row>
    <row r="63" spans="1:6" ht="20.100000000000001" customHeight="1">
      <c r="A63" s="19">
        <v>50</v>
      </c>
      <c r="B63" s="19">
        <f>'INTERNAL TEST-1  '!B63</f>
        <v>0</v>
      </c>
      <c r="C63" s="3">
        <f>'INTERNAL TEST-1  '!C63</f>
        <v>0</v>
      </c>
      <c r="D63" s="19" t="e">
        <f>'INTERNAL TEST-1  '!U63+#REF!</f>
        <v>#REF!</v>
      </c>
      <c r="E63" s="19" t="e">
        <f>#REF!*10</f>
        <v>#REF!</v>
      </c>
      <c r="F63" s="19">
        <f>'SEMESTER EXAM RESULT'!E124</f>
        <v>0</v>
      </c>
    </row>
    <row r="64" spans="1:6" ht="20.100000000000001" customHeight="1">
      <c r="A64" s="19">
        <v>51</v>
      </c>
      <c r="B64" s="19">
        <f>'INTERNAL TEST-1  '!B64</f>
        <v>0</v>
      </c>
      <c r="C64" s="3">
        <f>'INTERNAL TEST-1  '!C64</f>
        <v>0</v>
      </c>
      <c r="D64" s="19" t="e">
        <f>'INTERNAL TEST-1  '!U64+#REF!</f>
        <v>#REF!</v>
      </c>
      <c r="E64" s="19" t="e">
        <f>#REF!*10</f>
        <v>#REF!</v>
      </c>
      <c r="F64" s="19">
        <f>'SEMESTER EXAM RESULT'!E125</f>
        <v>0</v>
      </c>
    </row>
    <row r="65" spans="1:6" ht="20.100000000000001" customHeight="1">
      <c r="A65" s="19">
        <v>52</v>
      </c>
      <c r="B65" s="19">
        <f>'INTERNAL TEST-1  '!B65</f>
        <v>0</v>
      </c>
      <c r="C65" s="3">
        <f>'INTERNAL TEST-1  '!C65</f>
        <v>0</v>
      </c>
      <c r="D65" s="19" t="e">
        <f>'INTERNAL TEST-1  '!U65+#REF!</f>
        <v>#REF!</v>
      </c>
      <c r="E65" s="19" t="e">
        <f>#REF!*10</f>
        <v>#REF!</v>
      </c>
      <c r="F65" s="19">
        <f>'SEMESTER EXAM RESULT'!E126</f>
        <v>0</v>
      </c>
    </row>
    <row r="66" spans="1:6" ht="20.100000000000001" customHeight="1">
      <c r="A66" s="19">
        <v>53</v>
      </c>
      <c r="B66" s="19">
        <f>'INTERNAL TEST-1  '!B66</f>
        <v>0</v>
      </c>
      <c r="C66" s="3">
        <f>'INTERNAL TEST-1  '!C66</f>
        <v>0</v>
      </c>
      <c r="D66" s="19" t="e">
        <f>'INTERNAL TEST-1  '!U66+#REF!</f>
        <v>#REF!</v>
      </c>
      <c r="E66" s="19" t="e">
        <f>#REF!*10</f>
        <v>#REF!</v>
      </c>
      <c r="F66" s="19">
        <f>'SEMESTER EXAM RESULT'!E127</f>
        <v>0</v>
      </c>
    </row>
    <row r="67" spans="1:6" ht="20.100000000000001" customHeight="1">
      <c r="A67" s="19">
        <v>54</v>
      </c>
      <c r="B67" s="19">
        <f>'INTERNAL TEST-1  '!B67</f>
        <v>0</v>
      </c>
      <c r="C67" s="3">
        <f>'INTERNAL TEST-1  '!C67</f>
        <v>0</v>
      </c>
      <c r="D67" s="19" t="e">
        <f>'INTERNAL TEST-1  '!U67+#REF!</f>
        <v>#REF!</v>
      </c>
      <c r="E67" s="19" t="e">
        <f>#REF!*10</f>
        <v>#REF!</v>
      </c>
      <c r="F67" s="19">
        <f>'SEMESTER EXAM RESULT'!E128</f>
        <v>0</v>
      </c>
    </row>
    <row r="68" spans="1:6" ht="20.100000000000001" customHeight="1">
      <c r="A68" s="19">
        <v>55</v>
      </c>
      <c r="B68" s="19">
        <f>'INTERNAL TEST-1  '!B68</f>
        <v>0</v>
      </c>
      <c r="C68" s="3">
        <f>'INTERNAL TEST-1  '!C68</f>
        <v>0</v>
      </c>
      <c r="D68" s="19" t="e">
        <f>'INTERNAL TEST-1  '!U68+#REF!</f>
        <v>#REF!</v>
      </c>
      <c r="E68" s="19" t="e">
        <f>#REF!*10</f>
        <v>#REF!</v>
      </c>
      <c r="F68" s="19">
        <f>'SEMESTER EXAM RESULT'!E129</f>
        <v>0</v>
      </c>
    </row>
    <row r="69" spans="1:6" ht="20.100000000000001" customHeight="1">
      <c r="A69" s="19">
        <v>56</v>
      </c>
      <c r="B69" s="19">
        <f>'INTERNAL TEST-1  '!B69</f>
        <v>0</v>
      </c>
      <c r="C69" s="3">
        <f>'INTERNAL TEST-1  '!C69</f>
        <v>0</v>
      </c>
      <c r="D69" s="19" t="e">
        <f>'INTERNAL TEST-1  '!U69+#REF!</f>
        <v>#REF!</v>
      </c>
      <c r="E69" s="19" t="e">
        <f>#REF!*10</f>
        <v>#REF!</v>
      </c>
      <c r="F69" s="19">
        <f>'SEMESTER EXAM RESULT'!E130</f>
        <v>0</v>
      </c>
    </row>
    <row r="70" spans="1:6" ht="20.100000000000001" customHeight="1">
      <c r="A70" s="19">
        <v>57</v>
      </c>
      <c r="B70" s="19">
        <f>'INTERNAL TEST-1  '!B70</f>
        <v>0</v>
      </c>
      <c r="C70" s="3">
        <f>'INTERNAL TEST-1  '!C70</f>
        <v>0</v>
      </c>
      <c r="D70" s="19" t="e">
        <f>'INTERNAL TEST-1  '!U70+#REF!</f>
        <v>#REF!</v>
      </c>
      <c r="E70" s="19" t="e">
        <f>#REF!*10</f>
        <v>#REF!</v>
      </c>
      <c r="F70" s="19">
        <f>'SEMESTER EXAM RESULT'!E131</f>
        <v>0</v>
      </c>
    </row>
    <row r="71" spans="1:6" ht="20.100000000000001" customHeight="1">
      <c r="A71" s="19">
        <v>58</v>
      </c>
      <c r="B71" s="19">
        <f>'INTERNAL TEST-1  '!B71</f>
        <v>0</v>
      </c>
      <c r="C71" s="3">
        <f>'INTERNAL TEST-1  '!C71</f>
        <v>0</v>
      </c>
      <c r="D71" s="19" t="e">
        <f>'INTERNAL TEST-1  '!U71+#REF!</f>
        <v>#REF!</v>
      </c>
      <c r="E71" s="19" t="e">
        <f>#REF!*10</f>
        <v>#REF!</v>
      </c>
      <c r="F71" s="19">
        <f>'SEMESTER EXAM RESULT'!E132</f>
        <v>0</v>
      </c>
    </row>
    <row r="72" spans="1:6" ht="20.100000000000001" customHeight="1">
      <c r="A72" s="19">
        <v>59</v>
      </c>
      <c r="B72" s="19">
        <f>'INTERNAL TEST-1  '!B72</f>
        <v>0</v>
      </c>
      <c r="C72" s="3">
        <f>'INTERNAL TEST-1  '!C72</f>
        <v>0</v>
      </c>
      <c r="D72" s="19" t="e">
        <f>'INTERNAL TEST-1  '!U72+#REF!</f>
        <v>#REF!</v>
      </c>
      <c r="E72" s="19" t="e">
        <f>#REF!*10</f>
        <v>#REF!</v>
      </c>
      <c r="F72" s="19">
        <f>'SEMESTER EXAM RESULT'!E133</f>
        <v>0</v>
      </c>
    </row>
    <row r="73" spans="1:6" ht="20.100000000000001" customHeight="1">
      <c r="A73" s="19">
        <v>60</v>
      </c>
      <c r="B73" s="19">
        <f>'INTERNAL TEST-1  '!B73</f>
        <v>0</v>
      </c>
      <c r="C73" s="3">
        <f>'INTERNAL TEST-1  '!C73</f>
        <v>0</v>
      </c>
      <c r="D73" s="19" t="e">
        <f>'INTERNAL TEST-1  '!U73+#REF!</f>
        <v>#REF!</v>
      </c>
      <c r="E73" s="19" t="e">
        <f>#REF!*10</f>
        <v>#REF!</v>
      </c>
      <c r="F73" s="19">
        <f>'SEMESTER EXAM RESULT'!E134</f>
        <v>0</v>
      </c>
    </row>
    <row r="74" spans="1:6" ht="20.100000000000001" customHeight="1">
      <c r="A74" s="19">
        <v>61</v>
      </c>
      <c r="B74" s="19">
        <f>'INTERNAL TEST-1  '!B74</f>
        <v>0</v>
      </c>
      <c r="C74" s="3">
        <f>'INTERNAL TEST-1  '!C74</f>
        <v>0</v>
      </c>
      <c r="D74" s="19" t="e">
        <f>'INTERNAL TEST-1  '!U74+#REF!</f>
        <v>#REF!</v>
      </c>
      <c r="E74" s="19" t="e">
        <f>#REF!*10</f>
        <v>#REF!</v>
      </c>
      <c r="F74" s="19">
        <f>'SEMESTER EXAM RESULT'!E135</f>
        <v>0</v>
      </c>
    </row>
    <row r="75" spans="1:6" ht="20.100000000000001" customHeight="1">
      <c r="A75" s="19">
        <v>62</v>
      </c>
      <c r="B75" s="19">
        <f>'INTERNAL TEST-1  '!B75</f>
        <v>0</v>
      </c>
      <c r="C75" s="3">
        <f>'INTERNAL TEST-1  '!C75</f>
        <v>0</v>
      </c>
      <c r="D75" s="19" t="e">
        <f>'INTERNAL TEST-1  '!U75+#REF!</f>
        <v>#REF!</v>
      </c>
      <c r="E75" s="19" t="e">
        <f>#REF!*10</f>
        <v>#REF!</v>
      </c>
      <c r="F75" s="19">
        <f>'SEMESTER EXAM RESULT'!E136</f>
        <v>0</v>
      </c>
    </row>
    <row r="76" spans="1:6" ht="20.100000000000001" customHeight="1">
      <c r="A76" s="19">
        <v>63</v>
      </c>
      <c r="B76" s="19">
        <f>'INTERNAL TEST-1  '!B76</f>
        <v>0</v>
      </c>
      <c r="C76" s="3">
        <f>'INTERNAL TEST-1  '!C76</f>
        <v>0</v>
      </c>
      <c r="D76" s="19" t="e">
        <f>'INTERNAL TEST-1  '!U76+#REF!</f>
        <v>#REF!</v>
      </c>
      <c r="E76" s="19" t="e">
        <f>#REF!*10</f>
        <v>#REF!</v>
      </c>
      <c r="F76" s="19">
        <f>'SEMESTER EXAM RESULT'!E137</f>
        <v>0</v>
      </c>
    </row>
    <row r="77" spans="1:6" ht="20.100000000000001" customHeight="1">
      <c r="A77" s="19">
        <v>64</v>
      </c>
      <c r="B77" s="19">
        <f>'INTERNAL TEST-1  '!B77</f>
        <v>0</v>
      </c>
      <c r="C77" s="3">
        <f>'INTERNAL TEST-1  '!C77</f>
        <v>0</v>
      </c>
      <c r="D77" s="19" t="e">
        <f>'INTERNAL TEST-1  '!U77+#REF!</f>
        <v>#REF!</v>
      </c>
      <c r="E77" s="19" t="e">
        <f>#REF!*10</f>
        <v>#REF!</v>
      </c>
      <c r="F77" s="19">
        <f>'SEMESTER EXAM RESULT'!E138</f>
        <v>0</v>
      </c>
    </row>
    <row r="78" spans="1:6" ht="20.100000000000001" customHeight="1">
      <c r="A78" s="19">
        <v>65</v>
      </c>
      <c r="B78" s="19">
        <f>'INTERNAL TEST-1  '!B78</f>
        <v>0</v>
      </c>
      <c r="C78" s="3">
        <f>'INTERNAL TEST-1  '!C78</f>
        <v>0</v>
      </c>
      <c r="D78" s="19" t="e">
        <f>'INTERNAL TEST-1  '!U78+#REF!</f>
        <v>#REF!</v>
      </c>
      <c r="E78" s="19" t="e">
        <f>#REF!*10</f>
        <v>#REF!</v>
      </c>
      <c r="F78" s="19">
        <f>'SEMESTER EXAM RESULT'!E139</f>
        <v>0</v>
      </c>
    </row>
    <row r="79" spans="1:6" ht="20.100000000000001" customHeight="1">
      <c r="A79" s="19">
        <v>66</v>
      </c>
      <c r="B79" s="19">
        <f>'INTERNAL TEST-1  '!B79</f>
        <v>0</v>
      </c>
      <c r="C79" s="3">
        <f>'INTERNAL TEST-1  '!C79</f>
        <v>0</v>
      </c>
      <c r="D79" s="19" t="e">
        <f>'INTERNAL TEST-1  '!U79+#REF!</f>
        <v>#REF!</v>
      </c>
      <c r="E79" s="19" t="e">
        <f>#REF!*10</f>
        <v>#REF!</v>
      </c>
      <c r="F79" s="19">
        <f>'SEMESTER EXAM RESULT'!E140</f>
        <v>0</v>
      </c>
    </row>
    <row r="80" spans="1:6" ht="20.100000000000001" customHeight="1">
      <c r="A80" s="19">
        <v>67</v>
      </c>
      <c r="B80" s="19">
        <f>'INTERNAL TEST-1  '!B80</f>
        <v>0</v>
      </c>
      <c r="C80" s="3">
        <f>'INTERNAL TEST-1  '!C80</f>
        <v>0</v>
      </c>
      <c r="D80" s="19" t="e">
        <f>'INTERNAL TEST-1  '!U80+#REF!</f>
        <v>#REF!</v>
      </c>
      <c r="E80" s="19" t="e">
        <f>#REF!*10</f>
        <v>#REF!</v>
      </c>
      <c r="F80" s="19">
        <f>'SEMESTER EXAM RESULT'!E141</f>
        <v>0</v>
      </c>
    </row>
    <row r="81" spans="1:6" ht="20.100000000000001" customHeight="1">
      <c r="A81" s="19">
        <v>68</v>
      </c>
      <c r="B81" s="19">
        <f>'INTERNAL TEST-1  '!B81</f>
        <v>0</v>
      </c>
      <c r="C81" s="3">
        <f>'INTERNAL TEST-1  '!C81</f>
        <v>0</v>
      </c>
      <c r="D81" s="19" t="e">
        <f>'INTERNAL TEST-1  '!U81+#REF!</f>
        <v>#REF!</v>
      </c>
      <c r="E81" s="19" t="e">
        <f>#REF!*10</f>
        <v>#REF!</v>
      </c>
      <c r="F81" s="19" t="e">
        <f>'SEMESTER EXAM RESULT'!E142</f>
        <v>#DIV/0!</v>
      </c>
    </row>
    <row r="82" spans="1:6" ht="20.100000000000001" customHeight="1">
      <c r="A82" s="19">
        <v>69</v>
      </c>
      <c r="B82" s="19">
        <f>'INTERNAL TEST-1  '!B82</f>
        <v>0</v>
      </c>
      <c r="C82" s="3">
        <f>'INTERNAL TEST-1  '!C82</f>
        <v>0</v>
      </c>
      <c r="D82" s="19" t="e">
        <f>'INTERNAL TEST-1  '!U82+#REF!</f>
        <v>#REF!</v>
      </c>
      <c r="E82" s="19" t="e">
        <f>#REF!*10</f>
        <v>#REF!</v>
      </c>
      <c r="F82" s="19" t="e">
        <f>'SEMESTER EXAM RESULT'!E143</f>
        <v>#DIV/0!</v>
      </c>
    </row>
    <row r="83" spans="1:6" ht="32.4" customHeight="1">
      <c r="A83" s="19">
        <v>70</v>
      </c>
      <c r="B83" s="19">
        <f>'INTERNAL TEST-1  '!B83</f>
        <v>0</v>
      </c>
      <c r="C83" s="3">
        <f>'INTERNAL TEST-1  '!C83</f>
        <v>0</v>
      </c>
      <c r="D83" s="19" t="e">
        <f>'INTERNAL TEST-1  '!U83+#REF!</f>
        <v>#REF!</v>
      </c>
      <c r="E83" s="19" t="e">
        <f>#REF!*10</f>
        <v>#REF!</v>
      </c>
      <c r="F83" s="19">
        <f>'SEMESTER EXAM RESULT'!E144</f>
        <v>0</v>
      </c>
    </row>
    <row r="84" spans="1:6" ht="20.100000000000001" customHeight="1">
      <c r="A84" s="19">
        <v>71</v>
      </c>
      <c r="B84" s="19">
        <f>'INTERNAL TEST-1  '!B84</f>
        <v>0</v>
      </c>
      <c r="C84" s="3">
        <f>'INTERNAL TEST-1  '!C84</f>
        <v>0</v>
      </c>
      <c r="D84" s="19" t="e">
        <f>'INTERNAL TEST-1  '!U84+#REF!</f>
        <v>#REF!</v>
      </c>
      <c r="E84" s="19" t="e">
        <f>#REF!*10</f>
        <v>#REF!</v>
      </c>
      <c r="F84" s="19">
        <f>'SEMESTER EXAM RESULT'!E145</f>
        <v>0</v>
      </c>
    </row>
    <row r="85" spans="1:6" ht="20.100000000000001" customHeight="1">
      <c r="A85" s="19">
        <v>72</v>
      </c>
      <c r="B85" s="19">
        <f>'INTERNAL TEST-1  '!B85</f>
        <v>0</v>
      </c>
      <c r="C85" s="3">
        <f>'INTERNAL TEST-1  '!C85</f>
        <v>0</v>
      </c>
      <c r="D85" s="19" t="e">
        <f>'INTERNAL TEST-1  '!U85+#REF!</f>
        <v>#REF!</v>
      </c>
      <c r="E85" s="19" t="e">
        <f>#REF!*10</f>
        <v>#REF!</v>
      </c>
      <c r="F85" s="19">
        <f>'SEMESTER EXAM RESULT'!E146</f>
        <v>0</v>
      </c>
    </row>
    <row r="86" spans="1:6" ht="20.100000000000001" customHeight="1">
      <c r="A86" s="19">
        <v>73</v>
      </c>
      <c r="B86" s="19">
        <f>'INTERNAL TEST-1  '!B86</f>
        <v>0</v>
      </c>
      <c r="C86" s="3">
        <f>'INTERNAL TEST-1  '!C86</f>
        <v>0</v>
      </c>
      <c r="D86" s="19" t="e">
        <f>'INTERNAL TEST-1  '!U86+#REF!</f>
        <v>#REF!</v>
      </c>
      <c r="E86" s="19" t="e">
        <f>#REF!*10</f>
        <v>#REF!</v>
      </c>
      <c r="F86" s="19">
        <f>'SEMESTER EXAM RESULT'!E147</f>
        <v>0</v>
      </c>
    </row>
    <row r="87" spans="1:6" ht="20.100000000000001" customHeight="1">
      <c r="A87" s="19">
        <v>74</v>
      </c>
      <c r="B87" s="19">
        <f>'INTERNAL TEST-1  '!B87</f>
        <v>0</v>
      </c>
      <c r="C87" s="3">
        <f>'INTERNAL TEST-1  '!C87</f>
        <v>0</v>
      </c>
      <c r="D87" s="19" t="e">
        <f>'INTERNAL TEST-1  '!U87+#REF!</f>
        <v>#REF!</v>
      </c>
      <c r="E87" s="19" t="e">
        <f>#REF!*10</f>
        <v>#REF!</v>
      </c>
      <c r="F87" s="19">
        <f>'SEMESTER EXAM RESULT'!E148</f>
        <v>0</v>
      </c>
    </row>
    <row r="88" spans="1:6" ht="20.100000000000001" customHeight="1">
      <c r="A88" s="19">
        <v>75</v>
      </c>
      <c r="B88" s="19">
        <f>'INTERNAL TEST-1  '!B88</f>
        <v>0</v>
      </c>
      <c r="C88" s="3">
        <f>'INTERNAL TEST-1  '!C88</f>
        <v>0</v>
      </c>
      <c r="D88" s="19" t="e">
        <f>'INTERNAL TEST-1  '!U88+#REF!</f>
        <v>#REF!</v>
      </c>
      <c r="E88" s="19" t="e">
        <f>#REF!*10</f>
        <v>#REF!</v>
      </c>
      <c r="F88" s="19">
        <f>'SEMESTER EXAM RESULT'!E149</f>
        <v>0</v>
      </c>
    </row>
    <row r="89" spans="1:6" ht="20.100000000000001" customHeight="1">
      <c r="A89" s="19">
        <v>76</v>
      </c>
      <c r="B89" s="19">
        <f>'INTERNAL TEST-1  '!B89</f>
        <v>0</v>
      </c>
      <c r="C89" s="3">
        <f>'INTERNAL TEST-1  '!C89</f>
        <v>0</v>
      </c>
      <c r="D89" s="19" t="e">
        <f>'INTERNAL TEST-1  '!U89+#REF!</f>
        <v>#REF!</v>
      </c>
      <c r="E89" s="19" t="e">
        <f>#REF!*10</f>
        <v>#REF!</v>
      </c>
      <c r="F89" s="19">
        <f>'SEMESTER EXAM RESULT'!E150</f>
        <v>0</v>
      </c>
    </row>
    <row r="90" spans="1:6" ht="20.100000000000001" customHeight="1">
      <c r="A90" s="19">
        <v>77</v>
      </c>
      <c r="B90" s="19">
        <f>'INTERNAL TEST-1  '!B90</f>
        <v>0</v>
      </c>
      <c r="C90" s="3">
        <f>'INTERNAL TEST-1  '!C90</f>
        <v>0</v>
      </c>
      <c r="D90" s="19" t="e">
        <f>'INTERNAL TEST-1  '!U90+#REF!</f>
        <v>#REF!</v>
      </c>
      <c r="E90" s="19" t="e">
        <f>#REF!*10</f>
        <v>#REF!</v>
      </c>
      <c r="F90" s="19">
        <f>'SEMESTER EXAM RESULT'!E151</f>
        <v>0</v>
      </c>
    </row>
    <row r="91" spans="1:6" ht="20.100000000000001" customHeight="1">
      <c r="A91" s="19">
        <v>78</v>
      </c>
      <c r="B91" s="19">
        <f>'INTERNAL TEST-1  '!B91</f>
        <v>0</v>
      </c>
      <c r="C91" s="3">
        <f>'INTERNAL TEST-1  '!C91</f>
        <v>0</v>
      </c>
      <c r="D91" s="19" t="e">
        <f>'INTERNAL TEST-1  '!U91+#REF!</f>
        <v>#REF!</v>
      </c>
      <c r="E91" s="19" t="e">
        <f>#REF!*10</f>
        <v>#REF!</v>
      </c>
      <c r="F91" s="19">
        <f>'SEMESTER EXAM RESULT'!E152</f>
        <v>0</v>
      </c>
    </row>
    <row r="92" spans="1:6" ht="20.100000000000001" customHeight="1">
      <c r="A92" s="19">
        <v>79</v>
      </c>
      <c r="B92" s="19">
        <f>'INTERNAL TEST-1  '!B92</f>
        <v>0</v>
      </c>
      <c r="C92" s="3">
        <f>'INTERNAL TEST-1  '!C92</f>
        <v>0</v>
      </c>
      <c r="D92" s="19" t="e">
        <f>'INTERNAL TEST-1  '!U92+#REF!</f>
        <v>#REF!</v>
      </c>
      <c r="E92" s="19" t="e">
        <f>#REF!*10</f>
        <v>#REF!</v>
      </c>
      <c r="F92" s="19">
        <f>'SEMESTER EXAM RESULT'!E153</f>
        <v>0</v>
      </c>
    </row>
    <row r="93" spans="1:6" ht="20.100000000000001" customHeight="1">
      <c r="A93" s="19">
        <v>80</v>
      </c>
      <c r="B93" s="19">
        <f>'INTERNAL TEST-1  '!B93</f>
        <v>0</v>
      </c>
      <c r="C93" s="3">
        <f>'INTERNAL TEST-1  '!C93</f>
        <v>0</v>
      </c>
      <c r="D93" s="19" t="e">
        <f>'INTERNAL TEST-1  '!U93+#REF!</f>
        <v>#REF!</v>
      </c>
      <c r="E93" s="19" t="e">
        <f>#REF!*10</f>
        <v>#REF!</v>
      </c>
      <c r="F93" s="19">
        <f>'SEMESTER EXAM RESULT'!E154</f>
        <v>0</v>
      </c>
    </row>
    <row r="94" spans="1:6" ht="20.100000000000001" customHeight="1">
      <c r="A94" s="19">
        <v>81</v>
      </c>
      <c r="B94" s="19">
        <f>'INTERNAL TEST-1  '!B94</f>
        <v>0</v>
      </c>
      <c r="C94" s="3">
        <f>'INTERNAL TEST-1  '!C94</f>
        <v>0</v>
      </c>
      <c r="D94" s="19" t="e">
        <f>'INTERNAL TEST-1  '!U94+#REF!</f>
        <v>#REF!</v>
      </c>
      <c r="E94" s="19" t="e">
        <f>#REF!*10</f>
        <v>#REF!</v>
      </c>
      <c r="F94" s="19">
        <f>'SEMESTER EXAM RESULT'!E155</f>
        <v>0</v>
      </c>
    </row>
    <row r="95" spans="1:6" ht="20.100000000000001" customHeight="1">
      <c r="A95" s="19">
        <v>82</v>
      </c>
      <c r="B95" s="19">
        <f>'INTERNAL TEST-1  '!B95</f>
        <v>0</v>
      </c>
      <c r="C95" s="3">
        <f>'INTERNAL TEST-1  '!C95</f>
        <v>0</v>
      </c>
      <c r="D95" s="19" t="e">
        <f>'INTERNAL TEST-1  '!U95+#REF!</f>
        <v>#REF!</v>
      </c>
      <c r="E95" s="19" t="e">
        <f>#REF!*10</f>
        <v>#REF!</v>
      </c>
      <c r="F95" s="19">
        <f>'SEMESTER EXAM RESULT'!E156</f>
        <v>0</v>
      </c>
    </row>
    <row r="96" spans="1:6" ht="20.100000000000001" customHeight="1">
      <c r="A96" s="19">
        <v>83</v>
      </c>
      <c r="B96" s="19">
        <f>'INTERNAL TEST-1  '!B96</f>
        <v>0</v>
      </c>
      <c r="C96" s="3">
        <f>'INTERNAL TEST-1  '!C96</f>
        <v>0</v>
      </c>
      <c r="D96" s="19" t="e">
        <f>'INTERNAL TEST-1  '!U96+#REF!</f>
        <v>#REF!</v>
      </c>
      <c r="E96" s="19" t="e">
        <f>#REF!*10</f>
        <v>#REF!</v>
      </c>
      <c r="F96" s="19">
        <f>'SEMESTER EXAM RESULT'!E157</f>
        <v>0</v>
      </c>
    </row>
    <row r="97" spans="1:6" ht="20.100000000000001" customHeight="1">
      <c r="A97" s="19">
        <v>84</v>
      </c>
      <c r="B97" s="19">
        <f>'INTERNAL TEST-1  '!B97</f>
        <v>0</v>
      </c>
      <c r="C97" s="3">
        <f>'INTERNAL TEST-1  '!C97</f>
        <v>0</v>
      </c>
      <c r="D97" s="19" t="e">
        <f>'INTERNAL TEST-1  '!U97+#REF!</f>
        <v>#REF!</v>
      </c>
      <c r="E97" s="19" t="e">
        <f>#REF!*10</f>
        <v>#REF!</v>
      </c>
      <c r="F97" s="19">
        <f>'SEMESTER EXAM RESULT'!E158</f>
        <v>0</v>
      </c>
    </row>
    <row r="98" spans="1:6" ht="20.100000000000001" customHeight="1">
      <c r="A98" s="19">
        <v>85</v>
      </c>
      <c r="B98" s="19">
        <f>'INTERNAL TEST-1  '!B98</f>
        <v>0</v>
      </c>
      <c r="C98" s="3">
        <f>'INTERNAL TEST-1  '!C98</f>
        <v>0</v>
      </c>
      <c r="D98" s="19" t="e">
        <f>'INTERNAL TEST-1  '!U98+#REF!</f>
        <v>#REF!</v>
      </c>
      <c r="E98" s="19" t="e">
        <f>#REF!*10</f>
        <v>#REF!</v>
      </c>
      <c r="F98" s="19">
        <f>'SEMESTER EXAM RESULT'!E159</f>
        <v>0</v>
      </c>
    </row>
    <row r="99" spans="1:6" ht="20.100000000000001" customHeight="1">
      <c r="A99" s="19">
        <v>86</v>
      </c>
      <c r="B99" s="19">
        <f>'INTERNAL TEST-1  '!B99</f>
        <v>0</v>
      </c>
      <c r="C99" s="3">
        <f>'INTERNAL TEST-1  '!C99</f>
        <v>0</v>
      </c>
      <c r="D99" s="19" t="e">
        <f>'INTERNAL TEST-1  '!U99+#REF!</f>
        <v>#REF!</v>
      </c>
      <c r="E99" s="19" t="e">
        <f>#REF!*10</f>
        <v>#REF!</v>
      </c>
      <c r="F99" s="19">
        <f>'SEMESTER EXAM RESULT'!E160</f>
        <v>0</v>
      </c>
    </row>
    <row r="100" spans="1:6" ht="20.100000000000001" customHeight="1">
      <c r="A100" s="19">
        <v>87</v>
      </c>
      <c r="B100" s="19">
        <f>'INTERNAL TEST-1  '!B100</f>
        <v>0</v>
      </c>
      <c r="C100" s="3">
        <f>'INTERNAL TEST-1  '!C100</f>
        <v>0</v>
      </c>
      <c r="D100" s="19" t="e">
        <f>'INTERNAL TEST-1  '!U100+#REF!</f>
        <v>#REF!</v>
      </c>
      <c r="E100" s="19" t="e">
        <f>#REF!*10</f>
        <v>#REF!</v>
      </c>
      <c r="F100" s="19">
        <f>'SEMESTER EXAM RESULT'!E161</f>
        <v>0</v>
      </c>
    </row>
    <row r="101" spans="1:6" ht="20.100000000000001" customHeight="1">
      <c r="A101" s="19">
        <v>88</v>
      </c>
      <c r="B101" s="19">
        <f>'INTERNAL TEST-1  '!B101</f>
        <v>0</v>
      </c>
      <c r="C101" s="3">
        <f>'INTERNAL TEST-1  '!C101</f>
        <v>0</v>
      </c>
      <c r="D101" s="19" t="e">
        <f>'INTERNAL TEST-1  '!U101+#REF!</f>
        <v>#REF!</v>
      </c>
      <c r="E101" s="19" t="e">
        <f>#REF!*10</f>
        <v>#REF!</v>
      </c>
      <c r="F101" s="19">
        <f>'SEMESTER EXAM RESULT'!E162</f>
        <v>0</v>
      </c>
    </row>
    <row r="102" spans="1:6" ht="20.100000000000001" customHeight="1">
      <c r="A102" s="19">
        <v>89</v>
      </c>
      <c r="B102" s="19">
        <f>'INTERNAL TEST-1  '!B102</f>
        <v>0</v>
      </c>
      <c r="C102" s="3">
        <f>'INTERNAL TEST-1  '!C102</f>
        <v>0</v>
      </c>
      <c r="D102" s="19" t="e">
        <f>'INTERNAL TEST-1  '!U102+#REF!</f>
        <v>#REF!</v>
      </c>
      <c r="E102" s="19" t="e">
        <f>#REF!*10</f>
        <v>#REF!</v>
      </c>
      <c r="F102" s="19">
        <f>'SEMESTER EXAM RESULT'!E163</f>
        <v>0</v>
      </c>
    </row>
    <row r="103" spans="1:6" ht="20.100000000000001" customHeight="1">
      <c r="A103" s="19">
        <v>90</v>
      </c>
      <c r="B103" s="19">
        <f>'INTERNAL TEST-1  '!B103</f>
        <v>0</v>
      </c>
      <c r="C103" s="3">
        <f>'INTERNAL TEST-1  '!C103</f>
        <v>0</v>
      </c>
      <c r="D103" s="19" t="e">
        <f>'INTERNAL TEST-1  '!U103+#REF!</f>
        <v>#REF!</v>
      </c>
      <c r="E103" s="19" t="e">
        <f>#REF!*10</f>
        <v>#REF!</v>
      </c>
      <c r="F103" s="19">
        <f>'SEMESTER EXAM RESULT'!E164</f>
        <v>0</v>
      </c>
    </row>
    <row r="104" spans="1:6" ht="20.100000000000001" customHeight="1">
      <c r="A104" s="19">
        <v>91</v>
      </c>
      <c r="B104" s="19">
        <f>'INTERNAL TEST-1  '!B104</f>
        <v>0</v>
      </c>
      <c r="C104" s="3">
        <f>'INTERNAL TEST-1  '!C104</f>
        <v>0</v>
      </c>
      <c r="D104" s="19" t="e">
        <f>'INTERNAL TEST-1  '!U104+#REF!</f>
        <v>#REF!</v>
      </c>
      <c r="E104" s="19" t="e">
        <f>#REF!*10</f>
        <v>#REF!</v>
      </c>
      <c r="F104" s="19">
        <f>'SEMESTER EXAM RESULT'!E165</f>
        <v>0</v>
      </c>
    </row>
    <row r="105" spans="1:6" ht="20.100000000000001" customHeight="1">
      <c r="A105" s="19">
        <v>92</v>
      </c>
      <c r="B105" s="19">
        <f>'INTERNAL TEST-1  '!B105</f>
        <v>0</v>
      </c>
      <c r="C105" s="3">
        <f>'INTERNAL TEST-1  '!C105</f>
        <v>0</v>
      </c>
      <c r="D105" s="19" t="e">
        <f>'INTERNAL TEST-1  '!U105+#REF!</f>
        <v>#REF!</v>
      </c>
      <c r="E105" s="19" t="e">
        <f>#REF!*10</f>
        <v>#REF!</v>
      </c>
      <c r="F105" s="19">
        <f>'SEMESTER EXAM RESULT'!E166</f>
        <v>0</v>
      </c>
    </row>
    <row r="106" spans="1:6" ht="20.100000000000001" customHeight="1">
      <c r="A106" s="19">
        <v>93</v>
      </c>
      <c r="B106" s="19">
        <f>'INTERNAL TEST-1  '!B106</f>
        <v>0</v>
      </c>
      <c r="C106" s="3">
        <f>'INTERNAL TEST-1  '!C106</f>
        <v>0</v>
      </c>
      <c r="D106" s="19" t="e">
        <f>'INTERNAL TEST-1  '!U106+#REF!</f>
        <v>#REF!</v>
      </c>
      <c r="E106" s="19" t="e">
        <f>#REF!*10</f>
        <v>#REF!</v>
      </c>
      <c r="F106" s="19">
        <f>'SEMESTER EXAM RESULT'!E167</f>
        <v>0</v>
      </c>
    </row>
    <row r="107" spans="1:6" ht="20.100000000000001" customHeight="1">
      <c r="A107" s="19">
        <v>94</v>
      </c>
      <c r="B107" s="19">
        <f>'INTERNAL TEST-1  '!B107</f>
        <v>0</v>
      </c>
      <c r="C107" s="3">
        <f>'INTERNAL TEST-1  '!C107</f>
        <v>0</v>
      </c>
      <c r="D107" s="19" t="e">
        <f>'INTERNAL TEST-1  '!U107+#REF!</f>
        <v>#REF!</v>
      </c>
      <c r="E107" s="19" t="e">
        <f>#REF!*10</f>
        <v>#REF!</v>
      </c>
      <c r="F107" s="19">
        <f>'SEMESTER EXAM RESULT'!E168</f>
        <v>0</v>
      </c>
    </row>
    <row r="108" spans="1:6" ht="20.100000000000001" customHeight="1">
      <c r="A108" s="19">
        <v>95</v>
      </c>
      <c r="B108" s="19">
        <f>'INTERNAL TEST-1  '!B108</f>
        <v>0</v>
      </c>
      <c r="C108" s="3">
        <f>'INTERNAL TEST-1  '!C108</f>
        <v>0</v>
      </c>
      <c r="D108" s="19" t="e">
        <f>'INTERNAL TEST-1  '!U108+#REF!</f>
        <v>#REF!</v>
      </c>
      <c r="E108" s="19" t="e">
        <f>#REF!*10</f>
        <v>#REF!</v>
      </c>
      <c r="F108" s="19">
        <f>'SEMESTER EXAM RESULT'!E169</f>
        <v>0</v>
      </c>
    </row>
    <row r="109" spans="1:6" ht="20.100000000000001" customHeight="1">
      <c r="A109" s="19">
        <v>96</v>
      </c>
      <c r="B109" s="19">
        <f>'INTERNAL TEST-1  '!B109</f>
        <v>0</v>
      </c>
      <c r="C109" s="3">
        <f>'INTERNAL TEST-1  '!C109</f>
        <v>0</v>
      </c>
      <c r="D109" s="19" t="e">
        <f>'INTERNAL TEST-1  '!U109+#REF!</f>
        <v>#REF!</v>
      </c>
      <c r="E109" s="19" t="e">
        <f>#REF!*10</f>
        <v>#REF!</v>
      </c>
      <c r="F109" s="19">
        <f>'SEMESTER EXAM RESULT'!E170</f>
        <v>0</v>
      </c>
    </row>
    <row r="110" spans="1:6" ht="20.100000000000001" customHeight="1">
      <c r="A110" s="19">
        <v>97</v>
      </c>
      <c r="B110" s="19">
        <f>'INTERNAL TEST-1  '!B110</f>
        <v>0</v>
      </c>
      <c r="C110" s="3">
        <f>'INTERNAL TEST-1  '!C110</f>
        <v>0</v>
      </c>
      <c r="D110" s="19" t="e">
        <f>'INTERNAL TEST-1  '!U110+#REF!</f>
        <v>#REF!</v>
      </c>
      <c r="E110" s="19" t="e">
        <f>#REF!*10</f>
        <v>#REF!</v>
      </c>
      <c r="F110" s="19">
        <f>'SEMESTER EXAM RESULT'!E171</f>
        <v>0</v>
      </c>
    </row>
    <row r="111" spans="1:6" ht="20.100000000000001" customHeight="1">
      <c r="A111" s="19">
        <v>98</v>
      </c>
      <c r="B111" s="19">
        <f>'INTERNAL TEST-1  '!B111</f>
        <v>0</v>
      </c>
      <c r="C111" s="3">
        <f>'INTERNAL TEST-1  '!C111</f>
        <v>0</v>
      </c>
      <c r="D111" s="19" t="e">
        <f>'INTERNAL TEST-1  '!U111+#REF!</f>
        <v>#REF!</v>
      </c>
      <c r="E111" s="19" t="e">
        <f>#REF!*10</f>
        <v>#REF!</v>
      </c>
      <c r="F111" s="19">
        <f>'SEMESTER EXAM RESULT'!E172</f>
        <v>0</v>
      </c>
    </row>
    <row r="112" spans="1:6" ht="20.100000000000001" customHeight="1">
      <c r="A112" s="19">
        <v>99</v>
      </c>
      <c r="B112" s="19">
        <f>'INTERNAL TEST-1  '!B112</f>
        <v>0</v>
      </c>
      <c r="C112" s="3">
        <f>'INTERNAL TEST-1  '!C112</f>
        <v>0</v>
      </c>
      <c r="D112" s="19" t="e">
        <f>'INTERNAL TEST-1  '!U112+#REF!</f>
        <v>#REF!</v>
      </c>
      <c r="E112" s="19" t="e">
        <f>#REF!*10</f>
        <v>#REF!</v>
      </c>
      <c r="F112" s="19">
        <f>'SEMESTER EXAM RESULT'!E173</f>
        <v>0</v>
      </c>
    </row>
    <row r="113" spans="1:6" ht="20.100000000000001" customHeight="1">
      <c r="A113" s="19">
        <v>100</v>
      </c>
      <c r="B113" s="19">
        <f>'INTERNAL TEST-1  '!B113</f>
        <v>0</v>
      </c>
      <c r="C113" s="3">
        <f>'INTERNAL TEST-1  '!C113</f>
        <v>0</v>
      </c>
      <c r="D113" s="19" t="e">
        <f>'INTERNAL TEST-1  '!U113+#REF!</f>
        <v>#REF!</v>
      </c>
      <c r="E113" s="19" t="e">
        <f>#REF!*10</f>
        <v>#REF!</v>
      </c>
      <c r="F113" s="19">
        <f>'SEMESTER EXAM RESULT'!E174</f>
        <v>0</v>
      </c>
    </row>
    <row r="114" spans="1:6" ht="20.100000000000001" customHeight="1">
      <c r="A114" s="19">
        <v>101</v>
      </c>
      <c r="B114" s="19">
        <f>'INTERNAL TEST-1  '!B114</f>
        <v>0</v>
      </c>
      <c r="C114" s="3">
        <f>'INTERNAL TEST-1  '!C114</f>
        <v>0</v>
      </c>
      <c r="D114" s="19" t="e">
        <f>'INTERNAL TEST-1  '!U114+#REF!</f>
        <v>#REF!</v>
      </c>
      <c r="E114" s="19" t="e">
        <f>#REF!*10</f>
        <v>#REF!</v>
      </c>
      <c r="F114" s="19">
        <f>'SEMESTER EXAM RESULT'!E175</f>
        <v>0</v>
      </c>
    </row>
    <row r="115" spans="1:6" ht="20.100000000000001" customHeight="1">
      <c r="A115" s="19">
        <v>102</v>
      </c>
      <c r="B115" s="19">
        <f>'INTERNAL TEST-1  '!B115</f>
        <v>0</v>
      </c>
      <c r="C115" s="3">
        <f>'INTERNAL TEST-1  '!C115</f>
        <v>0</v>
      </c>
      <c r="D115" s="19" t="e">
        <f>'INTERNAL TEST-1  '!U115+#REF!</f>
        <v>#REF!</v>
      </c>
      <c r="E115" s="19" t="e">
        <f>#REF!*10</f>
        <v>#REF!</v>
      </c>
      <c r="F115" s="19">
        <f>'SEMESTER EXAM RESULT'!E176</f>
        <v>0</v>
      </c>
    </row>
    <row r="116" spans="1:6" ht="20.100000000000001" customHeight="1">
      <c r="A116" s="19">
        <v>103</v>
      </c>
      <c r="B116" s="19">
        <f>'INTERNAL TEST-1  '!B116</f>
        <v>0</v>
      </c>
      <c r="C116" s="3">
        <f>'INTERNAL TEST-1  '!C116</f>
        <v>0</v>
      </c>
      <c r="D116" s="19" t="e">
        <f>'INTERNAL TEST-1  '!U116+#REF!</f>
        <v>#REF!</v>
      </c>
      <c r="E116" s="19" t="e">
        <f>#REF!*10</f>
        <v>#REF!</v>
      </c>
      <c r="F116" s="19">
        <f>'SEMESTER EXAM RESULT'!E177</f>
        <v>0</v>
      </c>
    </row>
    <row r="117" spans="1:6" ht="20.100000000000001" customHeight="1">
      <c r="A117" s="19">
        <v>104</v>
      </c>
      <c r="B117" s="19">
        <f>'INTERNAL TEST-1  '!B117</f>
        <v>0</v>
      </c>
      <c r="C117" s="3">
        <f>'INTERNAL TEST-1  '!C117</f>
        <v>0</v>
      </c>
      <c r="D117" s="19" t="e">
        <f>'INTERNAL TEST-1  '!U117+#REF!</f>
        <v>#REF!</v>
      </c>
      <c r="E117" s="19" t="e">
        <f>#REF!*10</f>
        <v>#REF!</v>
      </c>
      <c r="F117" s="19">
        <f>'SEMESTER EXAM RESULT'!E178</f>
        <v>0</v>
      </c>
    </row>
    <row r="118" spans="1:6" ht="20.100000000000001" customHeight="1">
      <c r="A118" s="19">
        <v>105</v>
      </c>
      <c r="B118" s="19">
        <f>'INTERNAL TEST-1  '!B118</f>
        <v>0</v>
      </c>
      <c r="C118" s="3">
        <f>'INTERNAL TEST-1  '!C118</f>
        <v>0</v>
      </c>
      <c r="D118" s="19" t="e">
        <f>'INTERNAL TEST-1  '!U118+#REF!</f>
        <v>#REF!</v>
      </c>
      <c r="E118" s="19" t="e">
        <f>#REF!*10</f>
        <v>#REF!</v>
      </c>
      <c r="F118" s="19">
        <f>'SEMESTER EXAM RESULT'!E179</f>
        <v>0</v>
      </c>
    </row>
    <row r="119" spans="1:6" ht="20.100000000000001" customHeight="1">
      <c r="A119" s="19">
        <v>106</v>
      </c>
      <c r="B119" s="19">
        <f>'INTERNAL TEST-1  '!B119</f>
        <v>0</v>
      </c>
      <c r="C119" s="3">
        <f>'INTERNAL TEST-1  '!C119</f>
        <v>0</v>
      </c>
      <c r="D119" s="19" t="e">
        <f>'INTERNAL TEST-1  '!U119+#REF!</f>
        <v>#REF!</v>
      </c>
      <c r="E119" s="19" t="e">
        <f>#REF!*10</f>
        <v>#REF!</v>
      </c>
      <c r="F119" s="19">
        <f>'SEMESTER EXAM RESULT'!E180</f>
        <v>0</v>
      </c>
    </row>
    <row r="120" spans="1:6" ht="20.100000000000001" customHeight="1">
      <c r="A120" s="19">
        <v>107</v>
      </c>
      <c r="B120" s="19">
        <f>'INTERNAL TEST-1  '!B120</f>
        <v>0</v>
      </c>
      <c r="C120" s="3">
        <f>'INTERNAL TEST-1  '!C120</f>
        <v>0</v>
      </c>
      <c r="D120" s="19" t="e">
        <f>'INTERNAL TEST-1  '!U120+#REF!</f>
        <v>#REF!</v>
      </c>
      <c r="E120" s="19" t="e">
        <f>#REF!*10</f>
        <v>#REF!</v>
      </c>
      <c r="F120" s="19">
        <f>'SEMESTER EXAM RESULT'!E181</f>
        <v>0</v>
      </c>
    </row>
    <row r="121" spans="1:6" ht="20.100000000000001" customHeight="1">
      <c r="A121" s="19">
        <v>108</v>
      </c>
      <c r="B121" s="19">
        <f>'INTERNAL TEST-1  '!B121</f>
        <v>0</v>
      </c>
      <c r="C121" s="3">
        <f>'INTERNAL TEST-1  '!C121</f>
        <v>0</v>
      </c>
      <c r="D121" s="19" t="e">
        <f>'INTERNAL TEST-1  '!U121+#REF!</f>
        <v>#REF!</v>
      </c>
      <c r="E121" s="19" t="e">
        <f>#REF!*10</f>
        <v>#REF!</v>
      </c>
      <c r="F121" s="19">
        <f>'SEMESTER EXAM RESULT'!E182</f>
        <v>0</v>
      </c>
    </row>
    <row r="122" spans="1:6" ht="20.100000000000001" customHeight="1">
      <c r="A122" s="19">
        <v>109</v>
      </c>
      <c r="B122" s="19">
        <f>'INTERNAL TEST-1  '!B122</f>
        <v>0</v>
      </c>
      <c r="C122" s="3">
        <f>'INTERNAL TEST-1  '!C122</f>
        <v>0</v>
      </c>
      <c r="D122" s="19" t="e">
        <f>'INTERNAL TEST-1  '!U122+#REF!</f>
        <v>#REF!</v>
      </c>
      <c r="E122" s="19" t="e">
        <f>#REF!*10</f>
        <v>#REF!</v>
      </c>
      <c r="F122" s="19">
        <f>'SEMESTER EXAM RESULT'!E183</f>
        <v>0</v>
      </c>
    </row>
    <row r="123" spans="1:6" ht="20.100000000000001" customHeight="1">
      <c r="A123" s="19">
        <v>110</v>
      </c>
      <c r="B123" s="19">
        <f>'INTERNAL TEST-1  '!B123</f>
        <v>0</v>
      </c>
      <c r="C123" s="3">
        <f>'INTERNAL TEST-1  '!C123</f>
        <v>0</v>
      </c>
      <c r="D123" s="19" t="e">
        <f>'INTERNAL TEST-1  '!U123+#REF!</f>
        <v>#REF!</v>
      </c>
      <c r="E123" s="19" t="e">
        <f>#REF!*10</f>
        <v>#REF!</v>
      </c>
      <c r="F123" s="19">
        <f>'SEMESTER EXAM RESULT'!E184</f>
        <v>0</v>
      </c>
    </row>
    <row r="124" spans="1:6" ht="20.100000000000001" customHeight="1">
      <c r="A124" s="19">
        <v>111</v>
      </c>
      <c r="B124" s="19">
        <f>'INTERNAL TEST-1  '!B124</f>
        <v>0</v>
      </c>
      <c r="C124" s="3">
        <f>'INTERNAL TEST-1  '!C124</f>
        <v>0</v>
      </c>
      <c r="D124" s="19" t="e">
        <f>'INTERNAL TEST-1  '!U124+#REF!</f>
        <v>#REF!</v>
      </c>
      <c r="E124" s="19" t="e">
        <f>#REF!*10</f>
        <v>#REF!</v>
      </c>
      <c r="F124" s="19">
        <f>'SEMESTER EXAM RESULT'!E185</f>
        <v>0</v>
      </c>
    </row>
    <row r="125" spans="1:6" ht="20.100000000000001" customHeight="1">
      <c r="A125" s="19">
        <v>112</v>
      </c>
      <c r="B125" s="19">
        <f>'INTERNAL TEST-1  '!B125</f>
        <v>0</v>
      </c>
      <c r="C125" s="3">
        <f>'INTERNAL TEST-1  '!C125</f>
        <v>0</v>
      </c>
      <c r="D125" s="19" t="e">
        <f>'INTERNAL TEST-1  '!U125+#REF!</f>
        <v>#REF!</v>
      </c>
      <c r="E125" s="19" t="e">
        <f>#REF!*10</f>
        <v>#REF!</v>
      </c>
      <c r="F125" s="19">
        <f>'SEMESTER EXAM RESULT'!E186</f>
        <v>0</v>
      </c>
    </row>
    <row r="126" spans="1:6" ht="20.100000000000001" customHeight="1">
      <c r="A126" s="19">
        <v>113</v>
      </c>
      <c r="B126" s="19">
        <f>'INTERNAL TEST-1  '!B126</f>
        <v>0</v>
      </c>
      <c r="C126" s="3">
        <f>'INTERNAL TEST-1  '!C126</f>
        <v>0</v>
      </c>
      <c r="D126" s="19" t="e">
        <f>'INTERNAL TEST-1  '!U126+#REF!</f>
        <v>#REF!</v>
      </c>
      <c r="E126" s="19" t="e">
        <f>#REF!*10</f>
        <v>#REF!</v>
      </c>
      <c r="F126" s="19">
        <f>'SEMESTER EXAM RESULT'!E187</f>
        <v>0</v>
      </c>
    </row>
    <row r="127" spans="1:6" ht="20.100000000000001" hidden="1" customHeight="1">
      <c r="A127" s="19">
        <v>114</v>
      </c>
      <c r="B127" s="19">
        <f>'INTERNAL TEST-1  '!B127</f>
        <v>0</v>
      </c>
      <c r="C127" s="27">
        <f>'INTERNAL TEST-1  '!C127</f>
        <v>0</v>
      </c>
      <c r="D127" s="19" t="e">
        <f>'INTERNAL TEST-1  '!U127+#REF!</f>
        <v>#REF!</v>
      </c>
      <c r="E127" s="19" t="e">
        <f>#REF!*10</f>
        <v>#REF!</v>
      </c>
      <c r="F127" s="19">
        <f>'SEMESTER EXAM RESULT'!E128</f>
        <v>0</v>
      </c>
    </row>
    <row r="128" spans="1:6" ht="20.100000000000001" hidden="1" customHeight="1">
      <c r="A128" s="19">
        <v>115</v>
      </c>
      <c r="B128" s="19">
        <f>'INTERNAL TEST-1  '!B128</f>
        <v>0</v>
      </c>
      <c r="C128" s="27">
        <f>'INTERNAL TEST-1  '!C128</f>
        <v>0</v>
      </c>
      <c r="D128" s="19" t="e">
        <f>'INTERNAL TEST-1  '!U128+#REF!</f>
        <v>#REF!</v>
      </c>
      <c r="E128" s="19" t="e">
        <f>#REF!*10</f>
        <v>#REF!</v>
      </c>
      <c r="F128" s="19">
        <f>'SEMESTER EXAM RESULT'!E129</f>
        <v>0</v>
      </c>
    </row>
    <row r="129" spans="1:6" ht="20.100000000000001" hidden="1" customHeight="1">
      <c r="A129" s="19">
        <v>116</v>
      </c>
      <c r="B129" s="19">
        <f>'INTERNAL TEST-1  '!B129</f>
        <v>0</v>
      </c>
      <c r="C129" s="27">
        <f>'INTERNAL TEST-1  '!C129</f>
        <v>0</v>
      </c>
      <c r="D129" s="19" t="e">
        <f>'INTERNAL TEST-1  '!U129+#REF!</f>
        <v>#REF!</v>
      </c>
      <c r="E129" s="19" t="e">
        <f>#REF!*10</f>
        <v>#REF!</v>
      </c>
      <c r="F129" s="19">
        <f>'SEMESTER EXAM RESULT'!E130</f>
        <v>0</v>
      </c>
    </row>
    <row r="130" spans="1:6" ht="20.100000000000001" hidden="1" customHeight="1">
      <c r="A130" s="19">
        <v>117</v>
      </c>
      <c r="B130" s="19">
        <f>'INTERNAL TEST-1  '!B130</f>
        <v>0</v>
      </c>
      <c r="C130" s="27">
        <f>'INTERNAL TEST-1  '!C130</f>
        <v>0</v>
      </c>
      <c r="D130" s="19" t="e">
        <f>'INTERNAL TEST-1  '!U130+#REF!</f>
        <v>#REF!</v>
      </c>
      <c r="E130" s="19" t="e">
        <f>#REF!*10</f>
        <v>#REF!</v>
      </c>
      <c r="F130" s="19">
        <f>'SEMESTER EXAM RESULT'!E131</f>
        <v>0</v>
      </c>
    </row>
    <row r="131" spans="1:6" ht="20.100000000000001" hidden="1" customHeight="1">
      <c r="A131" s="19">
        <v>118</v>
      </c>
      <c r="B131" s="19">
        <f>'INTERNAL TEST-1  '!B131</f>
        <v>0</v>
      </c>
      <c r="C131" s="27">
        <f>'INTERNAL TEST-1  '!C131</f>
        <v>0</v>
      </c>
      <c r="D131" s="19" t="e">
        <f>'INTERNAL TEST-1  '!U131+#REF!</f>
        <v>#REF!</v>
      </c>
      <c r="E131" s="19" t="e">
        <f>#REF!*10</f>
        <v>#REF!</v>
      </c>
      <c r="F131" s="19">
        <f>'SEMESTER EXAM RESULT'!E132</f>
        <v>0</v>
      </c>
    </row>
    <row r="132" spans="1:6" ht="20.100000000000001" hidden="1" customHeight="1">
      <c r="A132" s="19">
        <v>119</v>
      </c>
      <c r="B132" s="19">
        <f>'INTERNAL TEST-1  '!B132</f>
        <v>0</v>
      </c>
      <c r="C132" s="27">
        <f>'INTERNAL TEST-1  '!C132</f>
        <v>0</v>
      </c>
      <c r="D132" s="19" t="e">
        <f>'INTERNAL TEST-1  '!U132+#REF!</f>
        <v>#REF!</v>
      </c>
      <c r="E132" s="19" t="e">
        <f>#REF!*10</f>
        <v>#REF!</v>
      </c>
      <c r="F132" s="19">
        <f>'SEMESTER EXAM RESULT'!E133</f>
        <v>0</v>
      </c>
    </row>
    <row r="133" spans="1:6" ht="20.100000000000001" hidden="1" customHeight="1">
      <c r="A133" s="19">
        <v>120</v>
      </c>
      <c r="B133" s="19">
        <f>'INTERNAL TEST-1  '!B133</f>
        <v>0</v>
      </c>
      <c r="C133" s="27">
        <f>'INTERNAL TEST-1  '!C133</f>
        <v>0</v>
      </c>
      <c r="D133" s="19" t="e">
        <f>'INTERNAL TEST-1  '!U133+#REF!</f>
        <v>#REF!</v>
      </c>
      <c r="E133" s="19" t="e">
        <f>#REF!*10</f>
        <v>#REF!</v>
      </c>
      <c r="F133" s="19">
        <f>'SEMESTER EXAM RESULT'!E134</f>
        <v>0</v>
      </c>
    </row>
    <row r="134" spans="1:6" ht="20.100000000000001" hidden="1" customHeight="1">
      <c r="A134" s="19">
        <v>121</v>
      </c>
      <c r="B134" s="19">
        <f>'INTERNAL TEST-1  '!B134</f>
        <v>0</v>
      </c>
      <c r="C134" s="27">
        <f>'INTERNAL TEST-1  '!C134</f>
        <v>0</v>
      </c>
      <c r="D134" s="19" t="e">
        <f>'INTERNAL TEST-1  '!U134+#REF!</f>
        <v>#REF!</v>
      </c>
      <c r="E134" s="19" t="e">
        <f>#REF!*10</f>
        <v>#REF!</v>
      </c>
      <c r="F134" s="19">
        <f>'SEMESTER EXAM RESULT'!E135</f>
        <v>0</v>
      </c>
    </row>
    <row r="135" spans="1:6" ht="20.100000000000001" hidden="1" customHeight="1">
      <c r="A135" s="19">
        <v>122</v>
      </c>
      <c r="B135" s="19">
        <f>'INTERNAL TEST-1  '!B135</f>
        <v>0</v>
      </c>
      <c r="C135" s="27">
        <f>'INTERNAL TEST-1  '!C135</f>
        <v>0</v>
      </c>
      <c r="D135" s="19" t="e">
        <f>'INTERNAL TEST-1  '!U135+#REF!</f>
        <v>#REF!</v>
      </c>
      <c r="E135" s="19" t="e">
        <f>#REF!*10</f>
        <v>#REF!</v>
      </c>
      <c r="F135" s="19">
        <f>'SEMESTER EXAM RESULT'!E136</f>
        <v>0</v>
      </c>
    </row>
    <row r="136" spans="1:6" ht="20.100000000000001" hidden="1" customHeight="1">
      <c r="A136" s="19">
        <v>123</v>
      </c>
      <c r="B136" s="19">
        <f>'INTERNAL TEST-1  '!B136</f>
        <v>0</v>
      </c>
      <c r="C136" s="27">
        <f>'INTERNAL TEST-1  '!C136</f>
        <v>0</v>
      </c>
      <c r="D136" s="19" t="e">
        <f>'INTERNAL TEST-1  '!U136+#REF!</f>
        <v>#REF!</v>
      </c>
      <c r="E136" s="19" t="e">
        <f>#REF!*10</f>
        <v>#REF!</v>
      </c>
      <c r="F136" s="19">
        <f>'SEMESTER EXAM RESULT'!E137</f>
        <v>0</v>
      </c>
    </row>
    <row r="137" spans="1:6" ht="20.100000000000001" hidden="1" customHeight="1">
      <c r="A137" s="19">
        <v>124</v>
      </c>
      <c r="B137" s="19">
        <f>'INTERNAL TEST-1  '!B137</f>
        <v>0</v>
      </c>
      <c r="C137" s="27">
        <f>'INTERNAL TEST-1  '!C137</f>
        <v>0</v>
      </c>
      <c r="D137" s="19" t="e">
        <f>'INTERNAL TEST-1  '!U137+#REF!</f>
        <v>#REF!</v>
      </c>
      <c r="E137" s="19" t="e">
        <f>#REF!*10</f>
        <v>#REF!</v>
      </c>
      <c r="F137" s="19">
        <f>'SEMESTER EXAM RESULT'!E138</f>
        <v>0</v>
      </c>
    </row>
    <row r="138" spans="1:6" ht="20.100000000000001" hidden="1" customHeight="1">
      <c r="A138" s="19">
        <v>125</v>
      </c>
      <c r="B138" s="19">
        <f>'INTERNAL TEST-1  '!B138</f>
        <v>0</v>
      </c>
      <c r="C138" s="27">
        <f>'INTERNAL TEST-1  '!C138</f>
        <v>0</v>
      </c>
      <c r="D138" s="19" t="e">
        <f>'INTERNAL TEST-1  '!U138+#REF!</f>
        <v>#REF!</v>
      </c>
      <c r="E138" s="19" t="e">
        <f>#REF!*10</f>
        <v>#REF!</v>
      </c>
      <c r="F138" s="19">
        <f>'SEMESTER EXAM RESULT'!E139</f>
        <v>0</v>
      </c>
    </row>
    <row r="139" spans="1:6" ht="20.100000000000001" hidden="1" customHeight="1">
      <c r="A139" s="19">
        <v>126</v>
      </c>
      <c r="B139" s="19">
        <f>'INTERNAL TEST-1  '!B139</f>
        <v>0</v>
      </c>
      <c r="C139" s="27">
        <f>'INTERNAL TEST-1  '!C139</f>
        <v>0</v>
      </c>
      <c r="D139" s="19" t="e">
        <f>'INTERNAL TEST-1  '!U139+#REF!</f>
        <v>#REF!</v>
      </c>
      <c r="E139" s="19" t="e">
        <f>#REF!*10</f>
        <v>#REF!</v>
      </c>
      <c r="F139" s="19">
        <f>'SEMESTER EXAM RESULT'!E140</f>
        <v>0</v>
      </c>
    </row>
    <row r="140" spans="1:6" ht="21.9" customHeight="1">
      <c r="A140" s="178" t="s">
        <v>46</v>
      </c>
      <c r="B140" s="178"/>
      <c r="C140" s="178"/>
      <c r="D140" s="18" t="e">
        <f>ROUND(((COUNTIF(D14:D139,"&gt;="&amp;I4))/INPUT!B8)*100,2)</f>
        <v>#DIV/0!</v>
      </c>
      <c r="E140" s="18" t="e">
        <f>ROUND(((COUNTIF(E14:E139,"&gt;="&amp;I5))/INPUT!B8)*100,2)</f>
        <v>#DIV/0!</v>
      </c>
      <c r="F140" s="18" t="e">
        <f>ROUND(((COUNTIF(F14:F139,"&gt;="&amp;I5))/INPUT!B8)*100,2)</f>
        <v>#DIV/0!</v>
      </c>
    </row>
    <row r="141" spans="1:6" ht="21.9" customHeight="1">
      <c r="A141" s="179" t="s">
        <v>47</v>
      </c>
      <c r="B141" s="179"/>
      <c r="C141" s="179"/>
      <c r="D141" s="20" t="e">
        <f>IF(D140&gt;=80,3,IF(AND(D140&gt;=70,D140&lt;80),2,IF(AND(D140&gt;=60,D140&lt;70),1,0)))</f>
        <v>#DIV/0!</v>
      </c>
      <c r="E141" s="20" t="e">
        <f>IF(E140&gt;=80,3,IF(AND(E140&gt;=70,E140&lt;80),2,IF(AND(E140&gt;=60,E140&lt;70),1,0)))</f>
        <v>#DIV/0!</v>
      </c>
      <c r="F141" s="20" t="e">
        <f>IF(F140&gt;=80,3,IF(AND(F140&gt;=70,F140&lt;80),2,IF(AND(F140&gt;=60,F140&lt;70),1,0)))</f>
        <v>#DIV/0!</v>
      </c>
    </row>
  </sheetData>
  <mergeCells count="21">
    <mergeCell ref="A2:F2"/>
    <mergeCell ref="A3:F3"/>
    <mergeCell ref="A4:F4"/>
    <mergeCell ref="A8:F8"/>
    <mergeCell ref="A5:B5"/>
    <mergeCell ref="E6:F6"/>
    <mergeCell ref="A6:B6"/>
    <mergeCell ref="A7:B7"/>
    <mergeCell ref="C7:D7"/>
    <mergeCell ref="E9:E13"/>
    <mergeCell ref="F9:F13"/>
    <mergeCell ref="H9:J9"/>
    <mergeCell ref="H10:J10"/>
    <mergeCell ref="H11:J11"/>
    <mergeCell ref="H12:J12"/>
    <mergeCell ref="A9:A13"/>
    <mergeCell ref="C9:C13"/>
    <mergeCell ref="A140:C140"/>
    <mergeCell ref="A141:C141"/>
    <mergeCell ref="D9:D13"/>
    <mergeCell ref="B9:B13"/>
  </mergeCells>
  <pageMargins left="0.70866141732283472" right="0.70866141732283472" top="0.35433070866141736" bottom="0.34" header="0.31496062992125984" footer="0.2"/>
  <pageSetup paperSize="9"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J27"/>
  <sheetViews>
    <sheetView topLeftCell="A5" workbookViewId="0">
      <selection activeCell="J22" sqref="J22"/>
    </sheetView>
  </sheetViews>
  <sheetFormatPr defaultRowHeight="14.4"/>
  <cols>
    <col min="1" max="1" width="3.109375" customWidth="1"/>
    <col min="2" max="2" width="8" customWidth="1"/>
    <col min="3" max="3" width="14.88671875" bestFit="1" customWidth="1"/>
    <col min="4" max="4" width="14.88671875" customWidth="1"/>
    <col min="5" max="6" width="13.44140625" customWidth="1"/>
    <col min="7" max="7" width="12.88671875" customWidth="1"/>
    <col min="8" max="8" width="14.109375" customWidth="1"/>
    <col min="9" max="9" width="12.6640625" customWidth="1"/>
    <col min="10" max="10" width="13.5546875" customWidth="1"/>
  </cols>
  <sheetData>
    <row r="1" spans="2:10" ht="20.399999999999999">
      <c r="B1" s="144" t="s">
        <v>0</v>
      </c>
      <c r="C1" s="144"/>
      <c r="D1" s="144"/>
      <c r="E1" s="144"/>
      <c r="F1" s="144"/>
      <c r="G1" s="144"/>
      <c r="H1" s="144"/>
      <c r="I1" s="144"/>
      <c r="J1" s="144"/>
    </row>
    <row r="2" spans="2:10" ht="21">
      <c r="B2" s="155">
        <f>INPUT!B2</f>
        <v>0</v>
      </c>
      <c r="C2" s="155"/>
      <c r="D2" s="155"/>
      <c r="E2" s="155"/>
      <c r="F2" s="155"/>
      <c r="G2" s="155"/>
      <c r="H2" s="155"/>
      <c r="I2" s="155"/>
      <c r="J2" s="155"/>
    </row>
    <row r="3" spans="2:10" ht="21">
      <c r="B3" s="145" t="s">
        <v>49</v>
      </c>
      <c r="C3" s="145"/>
      <c r="D3" s="145"/>
      <c r="E3" s="145"/>
      <c r="F3" s="145"/>
      <c r="G3" s="145"/>
      <c r="H3" s="145"/>
      <c r="I3" s="145"/>
      <c r="J3" s="145"/>
    </row>
    <row r="4" spans="2:10" ht="21">
      <c r="B4" s="143" t="s">
        <v>62</v>
      </c>
      <c r="C4" s="143"/>
      <c r="D4" s="63">
        <f>INPUT!B3</f>
        <v>0</v>
      </c>
      <c r="E4" s="4"/>
      <c r="F4" s="5" t="s">
        <v>75</v>
      </c>
      <c r="G4" s="63">
        <f>INPUT!B4</f>
        <v>0</v>
      </c>
      <c r="H4" s="5" t="s">
        <v>68</v>
      </c>
      <c r="I4" s="63">
        <f>INPUT!B5</f>
        <v>0</v>
      </c>
      <c r="J4" s="4"/>
    </row>
    <row r="5" spans="2:10" ht="15.6">
      <c r="B5" s="143" t="s">
        <v>63</v>
      </c>
      <c r="C5" s="143"/>
      <c r="D5" s="154">
        <f>INPUT!B7</f>
        <v>0</v>
      </c>
      <c r="E5" s="154"/>
      <c r="F5" s="154"/>
      <c r="G5" s="50"/>
      <c r="H5" s="71" t="s">
        <v>67</v>
      </c>
      <c r="I5" s="189">
        <f>INPUT!B6</f>
        <v>0</v>
      </c>
      <c r="J5" s="189"/>
    </row>
    <row r="6" spans="2:10" ht="15.75" customHeight="1">
      <c r="B6" s="159" t="s">
        <v>17</v>
      </c>
      <c r="C6" s="187" t="str">
        <f>INPUT!G1</f>
        <v>Internal Test 1</v>
      </c>
      <c r="D6" s="187" t="str">
        <f>INPUT!L1</f>
        <v>Internal Test 2</v>
      </c>
      <c r="E6" s="187" t="str">
        <f>INPUT!Q1</f>
        <v>Assignments</v>
      </c>
      <c r="F6" s="165" t="s">
        <v>52</v>
      </c>
      <c r="G6" s="165" t="s">
        <v>41</v>
      </c>
      <c r="H6" s="165" t="s">
        <v>51</v>
      </c>
      <c r="I6" s="165" t="s">
        <v>53</v>
      </c>
      <c r="J6" s="165" t="s">
        <v>49</v>
      </c>
    </row>
    <row r="7" spans="2:10">
      <c r="B7" s="159"/>
      <c r="C7" s="187"/>
      <c r="D7" s="187"/>
      <c r="E7" s="187"/>
      <c r="F7" s="165"/>
      <c r="G7" s="165"/>
      <c r="H7" s="165"/>
      <c r="I7" s="165"/>
      <c r="J7" s="165"/>
    </row>
    <row r="8" spans="2:10">
      <c r="B8" s="159"/>
      <c r="C8" s="187"/>
      <c r="D8" s="187"/>
      <c r="E8" s="187"/>
      <c r="F8" s="165"/>
      <c r="G8" s="165"/>
      <c r="H8" s="165"/>
      <c r="I8" s="165"/>
      <c r="J8" s="165"/>
    </row>
    <row r="9" spans="2:10">
      <c r="B9" s="159"/>
      <c r="C9" s="187"/>
      <c r="D9" s="187"/>
      <c r="E9" s="187"/>
      <c r="F9" s="165"/>
      <c r="G9" s="165"/>
      <c r="H9" s="165"/>
      <c r="I9" s="165"/>
      <c r="J9" s="165"/>
    </row>
    <row r="10" spans="2:10">
      <c r="B10" s="159"/>
      <c r="C10" s="187"/>
      <c r="D10" s="187"/>
      <c r="E10" s="187"/>
      <c r="F10" s="165"/>
      <c r="G10" s="165"/>
      <c r="H10" s="165"/>
      <c r="I10" s="165"/>
      <c r="J10" s="165"/>
    </row>
    <row r="11" spans="2:10" ht="20.100000000000001" hidden="1" customHeight="1">
      <c r="B11" s="37">
        <f>INPUT!A12</f>
        <v>0</v>
      </c>
      <c r="C11" s="37" t="str">
        <f>IFERROR('INTERNAL TEST-1  '!AH144,"-")</f>
        <v>-</v>
      </c>
      <c r="D11" s="37" t="str">
        <f>IFERROR('INTERNAL TEST-2'!AH144,"-")</f>
        <v>-</v>
      </c>
      <c r="E11" s="37" t="str">
        <f>IFERROR(ASSIGNMENT!AH144,"-")</f>
        <v>-</v>
      </c>
      <c r="F11" s="37" t="str">
        <f>IF(OR(C11&lt;&gt;"-",D11&lt;&gt;"-", E11&lt;&gt;"-"),IF(AND(INPUT!$J$1="Show",INPUT!$O$1="Show",INPUT!$T$1="Show"),ROUND(AVERAGE(C11:E11),2),C11),"-")</f>
        <v>-</v>
      </c>
      <c r="G11" s="73" t="str">
        <f>IF(B11&lt;&gt;0,'SEMESTER EXAM RESULT'!E143,"-")</f>
        <v>-</v>
      </c>
      <c r="H11" s="73" t="str">
        <f>IF(B11&lt;&gt;0,IF(INPUT!$E$8="Yes",ROUND(F11*(INPUT!$E$38/100)+G11*(INPUT!$E$39/100),2),'CO Attainment'!F11),"-")</f>
        <v>-</v>
      </c>
      <c r="I11" s="73" t="str">
        <f>IF(B11&lt;&gt;0,'Course Exit Survey'!P140,"-")</f>
        <v>-</v>
      </c>
      <c r="J11" s="73" t="e">
        <f>ROUND(H11*(INPUT!$E$40/100)+I11*(INPUT!$E$41/100),2)</f>
        <v>#VALUE!</v>
      </c>
    </row>
    <row r="12" spans="2:10" ht="20.100000000000001" hidden="1" customHeight="1">
      <c r="B12" s="37">
        <f>INPUT!A13</f>
        <v>0</v>
      </c>
      <c r="C12" s="37" t="str">
        <f>IFERROR('INTERNAL TEST-1  '!AI144,"-")</f>
        <v>-</v>
      </c>
      <c r="D12" s="37" t="str">
        <f>IFERROR('INTERNAL TEST-2'!AI144,"-")</f>
        <v>-</v>
      </c>
      <c r="E12" s="37" t="str">
        <f>IFERROR(ASSIGNMENT!AI144,"-")</f>
        <v>-</v>
      </c>
      <c r="F12" s="37" t="str">
        <f>IF(OR(C12&lt;&gt;"-",D12&lt;&gt;"-", E12&lt;&gt;"-"),IF(AND(INPUT!$J$1="Show",INPUT!$O$1="Show",INPUT!$T$1="Show"),ROUND(AVERAGE(C12:E12),2),C12),"-")</f>
        <v>-</v>
      </c>
      <c r="G12" s="73" t="str">
        <f>IF(B12&lt;&gt;0,'SEMESTER EXAM RESULT'!E143,"-")</f>
        <v>-</v>
      </c>
      <c r="H12" s="73" t="str">
        <f>IF(B12&lt;&gt;0,IF(INPUT!$E$8="Yes",ROUND(F12*(INPUT!$E$38/100)+G12*(INPUT!$E$39/100),2),'CO Attainment'!F12),"-")</f>
        <v>-</v>
      </c>
      <c r="I12" s="73" t="str">
        <f>IF(B12&lt;&gt;0,'Course Exit Survey'!Q140,"-")</f>
        <v>-</v>
      </c>
      <c r="J12" s="73" t="e">
        <f>ROUND(H12*(INPUT!$E$40/100)+I12*(INPUT!$E$41/100),2)</f>
        <v>#VALUE!</v>
      </c>
    </row>
    <row r="13" spans="2:10" ht="20.100000000000001" hidden="1" customHeight="1">
      <c r="B13" s="37">
        <f>INPUT!A14</f>
        <v>0</v>
      </c>
      <c r="C13" s="37" t="str">
        <f>IFERROR('INTERNAL TEST-1  '!AJ144,"-")</f>
        <v>-</v>
      </c>
      <c r="D13" s="37" t="str">
        <f>IFERROR('INTERNAL TEST-2'!AJ144,"-")</f>
        <v>-</v>
      </c>
      <c r="E13" s="37" t="str">
        <f>IFERROR(ASSIGNMENT!AJ144,"-")</f>
        <v>-</v>
      </c>
      <c r="F13" s="37" t="str">
        <f>IF(OR(C13&lt;&gt;"-",D13&lt;&gt;"-", E13&lt;&gt;"-"),IF(AND(INPUT!$J$1="Show",INPUT!$O$1="Show",INPUT!$T$1="Show"),ROUND(AVERAGE(C13:E13),2),C13),"-")</f>
        <v>-</v>
      </c>
      <c r="G13" s="73" t="str">
        <f>IF(B13&lt;&gt;0,'SEMESTER EXAM RESULT'!E143,"-")</f>
        <v>-</v>
      </c>
      <c r="H13" s="73" t="str">
        <f>IF(B13&lt;&gt;0,IF(INPUT!$E$8="Yes",ROUND(F13*(INPUT!$E$38/100)+G13*(INPUT!$E$39/100),2),'CO Attainment'!F13),"-")</f>
        <v>-</v>
      </c>
      <c r="I13" s="73" t="str">
        <f>IF(B13&lt;&gt;0,'Course Exit Survey'!R140,"-")</f>
        <v>-</v>
      </c>
      <c r="J13" s="73" t="e">
        <f>ROUND(H13*(INPUT!$E$40/100)+I13*(INPUT!$E$41/100),2)</f>
        <v>#VALUE!</v>
      </c>
    </row>
    <row r="14" spans="2:10" ht="20.100000000000001" hidden="1" customHeight="1">
      <c r="B14" s="37">
        <f>INPUT!A15</f>
        <v>0</v>
      </c>
      <c r="C14" s="37" t="str">
        <f>IFERROR('INTERNAL TEST-1  '!AK144,"-")</f>
        <v>-</v>
      </c>
      <c r="D14" s="37" t="str">
        <f>IFERROR('INTERNAL TEST-2'!AK144,"-")</f>
        <v>-</v>
      </c>
      <c r="E14" s="37" t="str">
        <f>IFERROR(ASSIGNMENT!AK144,"-")</f>
        <v>-</v>
      </c>
      <c r="F14" s="37" t="str">
        <f>IF(OR(C14&lt;&gt;"-",D14&lt;&gt;"-", E14&lt;&gt;"-"),IF(AND(INPUT!$J$1="Show",INPUT!$O$1="Show",INPUT!$T$1="Show"),ROUND(AVERAGE(C14:E14),2),C14),"-")</f>
        <v>-</v>
      </c>
      <c r="G14" s="73" t="str">
        <f>IF(B14&lt;&gt;0,'SEMESTER EXAM RESULT'!E143,"-")</f>
        <v>-</v>
      </c>
      <c r="H14" s="73" t="str">
        <f>IF(B14&lt;&gt;0,IF(INPUT!$E$8="Yes",ROUND(F14*(INPUT!$E$38/100)+G14*(INPUT!$E$39/100),2),'CO Attainment'!F14),"-")</f>
        <v>-</v>
      </c>
      <c r="I14" s="73" t="str">
        <f>IF(B14&lt;&gt;0,'Course Exit Survey'!S140,"-")</f>
        <v>-</v>
      </c>
      <c r="J14" s="73" t="e">
        <f>ROUND(H14*(INPUT!$E$40/100)+I14*(INPUT!$E$41/100),2)</f>
        <v>#VALUE!</v>
      </c>
    </row>
    <row r="15" spans="2:10" ht="20.100000000000001" hidden="1" customHeight="1">
      <c r="B15" s="37">
        <f>INPUT!A16</f>
        <v>0</v>
      </c>
      <c r="C15" s="37" t="str">
        <f>IFERROR('INTERNAL TEST-1  '!AL144,"-")</f>
        <v>-</v>
      </c>
      <c r="D15" s="37" t="str">
        <f>IFERROR('INTERNAL TEST-2'!AL144,"-")</f>
        <v>-</v>
      </c>
      <c r="E15" s="37" t="str">
        <f>IFERROR(ASSIGNMENT!AL144,"-")</f>
        <v>-</v>
      </c>
      <c r="F15" s="37" t="str">
        <f>IF(OR(C15&lt;&gt;"-",D15&lt;&gt;"-", E15&lt;&gt;"-"),IF(AND(INPUT!$J$1="Show",INPUT!$O$1="Show",INPUT!$T$1="Show"),ROUND(AVERAGE(C15:E15),2),C15),"-")</f>
        <v>-</v>
      </c>
      <c r="G15" s="73" t="str">
        <f>IF(B15&lt;&gt;0,'SEMESTER EXAM RESULT'!E143,"-")</f>
        <v>-</v>
      </c>
      <c r="H15" s="73" t="str">
        <f>IF(B15&lt;&gt;0,IF(INPUT!$E$8="Yes",ROUND(F15*(INPUT!$E$38/100)+G15*(INPUT!$E$39/100),2),'CO Attainment'!F15),"-")</f>
        <v>-</v>
      </c>
      <c r="I15" s="73" t="str">
        <f>IF(B15&lt;&gt;0,'Course Exit Survey'!T140,"-")</f>
        <v>-</v>
      </c>
      <c r="J15" s="73" t="e">
        <f>ROUND(H15*(INPUT!$E$40/100)+I15*(INPUT!$E$41/100),2)</f>
        <v>#VALUE!</v>
      </c>
    </row>
    <row r="16" spans="2:10" ht="20.100000000000001" hidden="1" customHeight="1">
      <c r="B16" s="37">
        <f>INPUT!A17</f>
        <v>0</v>
      </c>
      <c r="C16" s="37" t="str">
        <f>IFERROR('INTERNAL TEST-1  '!AM144,"-")</f>
        <v>-</v>
      </c>
      <c r="D16" s="37" t="str">
        <f>IFERROR('INTERNAL TEST-2'!AM144,"-")</f>
        <v>-</v>
      </c>
      <c r="E16" s="37" t="str">
        <f>IFERROR(ASSIGNMENT!AM144,"-")</f>
        <v>-</v>
      </c>
      <c r="F16" s="37" t="str">
        <f>IF(OR(C16&lt;&gt;"-",D16&lt;&gt;"-", E16&lt;&gt;"-"),IF(AND(INPUT!$J$1="Show",INPUT!$O$1="Show",INPUT!$T$1="Show"),ROUND(AVERAGE(C16:E16),2),C16),"-")</f>
        <v>-</v>
      </c>
      <c r="G16" s="73" t="str">
        <f>IF(B16&lt;&gt;0,'SEMESTER EXAM RESULT'!E143,"-")</f>
        <v>-</v>
      </c>
      <c r="H16" s="73" t="str">
        <f>IF(B16&lt;&gt;0,IF(INPUT!$E$8="Yes",ROUND(F16*(INPUT!$E$38/100)+G16*(INPUT!$E$39/100),2),'CO Attainment'!F16),"-")</f>
        <v>-</v>
      </c>
      <c r="I16" s="73" t="str">
        <f>IF(B16&lt;&gt;0,'Course Exit Survey'!U140,"-")</f>
        <v>-</v>
      </c>
      <c r="J16" s="73" t="e">
        <f>ROUND(H16*(INPUT!$E$40/100)+I16*(INPUT!$E$41/100),2)</f>
        <v>#VALUE!</v>
      </c>
    </row>
    <row r="17" spans="2:10" ht="20.100000000000001" hidden="1" customHeight="1">
      <c r="B17" s="37">
        <f>INPUT!A18</f>
        <v>0</v>
      </c>
      <c r="C17" s="37" t="str">
        <f>IFERROR('INTERNAL TEST-1  '!AN144,"-")</f>
        <v>-</v>
      </c>
      <c r="D17" s="37" t="str">
        <f>IFERROR('INTERNAL TEST-2'!AN144,"-")</f>
        <v>-</v>
      </c>
      <c r="E17" s="37" t="str">
        <f>IFERROR(ASSIGNMENT!AN144,"-")</f>
        <v>-</v>
      </c>
      <c r="F17" s="37" t="str">
        <f>IF(OR(C17&lt;&gt;"-",D17&lt;&gt;"-", E17&lt;&gt;"-"),IF(AND(INPUT!$J$1="Show",INPUT!$O$1="Show",INPUT!$T$1="Show"),ROUND(AVERAGE(C17:E17),2),C17),"-")</f>
        <v>-</v>
      </c>
      <c r="G17" s="73" t="str">
        <f>IF(B17&lt;&gt;0,'SEMESTER EXAM RESULT'!E143,"-")</f>
        <v>-</v>
      </c>
      <c r="H17" s="73" t="str">
        <f>IF(B17&lt;&gt;0,IF(INPUT!$E$8="Yes",ROUND(F17*(INPUT!$E$38/100)+G17*(INPUT!$E$39/100),2),'CO Attainment'!F17),"-")</f>
        <v>-</v>
      </c>
      <c r="I17" s="73" t="str">
        <f>IF(B17&lt;&gt;0,'Course Exit Survey'!V140,"-")</f>
        <v>-</v>
      </c>
      <c r="J17" s="73" t="e">
        <f>ROUND(H17*(INPUT!$E$40/100)+I17*(INPUT!$E$41/100),2)</f>
        <v>#VALUE!</v>
      </c>
    </row>
    <row r="18" spans="2:10" ht="20.100000000000001" hidden="1" customHeight="1">
      <c r="B18" s="37">
        <f>INPUT!A19</f>
        <v>0</v>
      </c>
      <c r="C18" s="37" t="str">
        <f>IFERROR('INTERNAL TEST-1  '!AO144,"-")</f>
        <v>-</v>
      </c>
      <c r="D18" s="37" t="str">
        <f>IFERROR('INTERNAL TEST-2'!AO144,"-")</f>
        <v>-</v>
      </c>
      <c r="E18" s="37" t="str">
        <f>IFERROR(ASSIGNMENT!AO144,"-")</f>
        <v>-</v>
      </c>
      <c r="F18" s="37" t="str">
        <f>IF(OR(C18&lt;&gt;"-",D18&lt;&gt;"-", E18&lt;&gt;"-"),IF(AND(INPUT!$J$1="Show",INPUT!$O$1="Show",INPUT!$T$1="Show"),ROUND(AVERAGE(C18:E18),2),C18),"-")</f>
        <v>-</v>
      </c>
      <c r="G18" s="73" t="str">
        <f>IF(B18&lt;&gt;0,'SEMESTER EXAM RESULT'!E143,"-")</f>
        <v>-</v>
      </c>
      <c r="H18" s="73" t="str">
        <f>IF(B18&lt;&gt;0,IF(INPUT!$E$8="Yes",ROUND(F18*(INPUT!$E$38/100)+G18*(INPUT!$E$39/100),2),'CO Attainment'!F18),"-")</f>
        <v>-</v>
      </c>
      <c r="I18" s="73" t="str">
        <f>IF(B18&lt;&gt;0,'Course Exit Survey'!W140,"-")</f>
        <v>-</v>
      </c>
      <c r="J18" s="73" t="e">
        <f>ROUND(H18*(INPUT!$E$40/100)+I18*(INPUT!$E$41/100),2)</f>
        <v>#VALUE!</v>
      </c>
    </row>
    <row r="19" spans="2:10" ht="20.100000000000001" hidden="1" customHeight="1">
      <c r="B19" s="37">
        <f>INPUT!A20</f>
        <v>0</v>
      </c>
      <c r="C19" s="37" t="str">
        <f>IFERROR('INTERNAL TEST-1  '!AP144,"-")</f>
        <v>-</v>
      </c>
      <c r="D19" s="37" t="str">
        <f>IFERROR('INTERNAL TEST-2'!AP144,"-")</f>
        <v>-</v>
      </c>
      <c r="E19" s="37" t="str">
        <f>IFERROR(ASSIGNMENT!AP144,"-")</f>
        <v>-</v>
      </c>
      <c r="F19" s="37" t="str">
        <f>IF(OR(C19&lt;&gt;"-",D19&lt;&gt;"-", E19&lt;&gt;"-"),IF(AND(INPUT!$J$1="Show",INPUT!$O$1="Show",INPUT!$T$1="Show"),ROUND(AVERAGE(C19:E19),2),C19),"-")</f>
        <v>-</v>
      </c>
      <c r="G19" s="73" t="str">
        <f>IF(B19&lt;&gt;0,'SEMESTER EXAM RESULT'!E143,"-")</f>
        <v>-</v>
      </c>
      <c r="H19" s="73" t="str">
        <f>IF(B19&lt;&gt;0,IF(INPUT!$E$8="Yes",ROUND(F19*(INPUT!$E$38/100)+G19*(INPUT!$E$39/100),2),'CO Attainment'!F19),"-")</f>
        <v>-</v>
      </c>
      <c r="I19" s="73" t="str">
        <f>IF(B19&lt;&gt;0,'Course Exit Survey'!X140,"-")</f>
        <v>-</v>
      </c>
      <c r="J19" s="73" t="e">
        <f>ROUND(H19*(INPUT!$E$40/100)+I19*(INPUT!$E$41/100),2)</f>
        <v>#VALUE!</v>
      </c>
    </row>
    <row r="20" spans="2:10" ht="20.100000000000001" hidden="1" customHeight="1">
      <c r="B20" s="37">
        <f>INPUT!A21</f>
        <v>0</v>
      </c>
      <c r="C20" s="37" t="str">
        <f>IFERROR('INTERNAL TEST-1  '!AQ144,"-")</f>
        <v>-</v>
      </c>
      <c r="D20" s="37" t="str">
        <f>IFERROR('INTERNAL TEST-2'!AQ144,"-")</f>
        <v>-</v>
      </c>
      <c r="E20" s="37" t="str">
        <f>IFERROR(ASSIGNMENT!AQ144,"-")</f>
        <v>-</v>
      </c>
      <c r="F20" s="37" t="str">
        <f>IF(OR(C20&lt;&gt;"-",D20&lt;&gt;"-", E20&lt;&gt;"-"),IF(AND(INPUT!$J$1="Show",INPUT!$O$1="Show",INPUT!$T$1="Show"),ROUND(AVERAGE(C20:E20),2),C20),"-")</f>
        <v>-</v>
      </c>
      <c r="G20" s="73" t="str">
        <f>IF(B20&lt;&gt;0,'SEMESTER EXAM RESULT'!E143,"-")</f>
        <v>-</v>
      </c>
      <c r="H20" s="73" t="str">
        <f>IF(B20&lt;&gt;0,IF(INPUT!$E$8="Yes",ROUND(F20*(INPUT!$E$38/100)+G20*(INPUT!$E$39/100),2),'CO Attainment'!F20),"-")</f>
        <v>-</v>
      </c>
      <c r="I20" s="73" t="str">
        <f>IF(B20&lt;&gt;0,'Course Exit Survey'!Y140,"-")</f>
        <v>-</v>
      </c>
      <c r="J20" s="73" t="e">
        <f>ROUND(H20*(INPUT!$E$40/100)+I20*(INPUT!$E$41/100),2)</f>
        <v>#VALUE!</v>
      </c>
    </row>
    <row r="21" spans="2:10" ht="19.2" hidden="1" customHeight="1">
      <c r="B21" s="37">
        <f>INPUT!A22</f>
        <v>0</v>
      </c>
      <c r="C21" s="37" t="str">
        <f>IFERROR('INTERNAL TEST-1  '!AR144,"-")</f>
        <v>-</v>
      </c>
      <c r="D21" s="37" t="str">
        <f>IFERROR('INTERNAL TEST-2'!AR144,"-")</f>
        <v>-</v>
      </c>
      <c r="E21" s="37" t="str">
        <f>IFERROR(ASSIGNMENT!AR144,"-")</f>
        <v>-</v>
      </c>
      <c r="F21" s="37" t="str">
        <f>IF(OR(C21&lt;&gt;"-",D21&lt;&gt;"-", E21&lt;&gt;"-"),IF(AND(INPUT!$J$1="Show",INPUT!$O$1="Show",INPUT!$T$1="Show"),ROUND(AVERAGE(C21:E21),2),C21),"-")</f>
        <v>-</v>
      </c>
      <c r="G21" s="73" t="str">
        <f>IF(B21&lt;&gt;0,'SEMESTER EXAM RESULT'!E143,"-")</f>
        <v>-</v>
      </c>
      <c r="H21" s="73" t="str">
        <f>IF(B21&lt;&gt;0,IF(INPUT!$E$8="Yes",ROUND(F21*(INPUT!$E$38/100)+G21*(INPUT!$E$39/100),2),'CO Attainment'!F21),"-")</f>
        <v>-</v>
      </c>
      <c r="I21" s="73" t="str">
        <f>IF(B21&lt;&gt;0,'Course Exit Survey'!Z140,"-")</f>
        <v>-</v>
      </c>
      <c r="J21" s="73" t="e">
        <f>ROUND(H21*(INPUT!$E$40/100)+I21*(INPUT!$E$41/100),2)</f>
        <v>#VALUE!</v>
      </c>
    </row>
    <row r="22" spans="2:10" ht="19.2" hidden="1" customHeight="1">
      <c r="B22" s="37">
        <f>INPUT!A23</f>
        <v>0</v>
      </c>
      <c r="C22" s="37" t="str">
        <f>IFERROR('INTERNAL TEST-1  '!AS144,"-")</f>
        <v>-</v>
      </c>
      <c r="D22" s="37" t="str">
        <f>IFERROR('INTERNAL TEST-2'!AS144,"-")</f>
        <v>-</v>
      </c>
      <c r="E22" s="37" t="str">
        <f>IFERROR(ASSIGNMENT!AS144,"-")</f>
        <v>-</v>
      </c>
      <c r="F22" s="37" t="str">
        <f>IF(OR(C22&lt;&gt;"-",D22&lt;&gt;"-", E22&lt;&gt;"-"),IF(AND(INPUT!$J$1="Show",INPUT!$O$1="Show",INPUT!$T$1="Show"),ROUND(AVERAGE(C22:E22),2),C22),"-")</f>
        <v>-</v>
      </c>
      <c r="G22" s="73" t="str">
        <f>IF(B22&lt;&gt;0,'SEMESTER EXAM RESULT'!E143,"-")</f>
        <v>-</v>
      </c>
      <c r="H22" s="73" t="str">
        <f>IF(B22&lt;&gt;0,IF(INPUT!$E$8="Yes",ROUND(F22*(INPUT!$E$38/100)+G22*(INPUT!$E$39/100),2),'CO Attainment'!F22),"-")</f>
        <v>-</v>
      </c>
      <c r="I22" s="73" t="str">
        <f>IF(B22&lt;&gt;0,'Course Exit Survey'!AA140,"-")</f>
        <v>-</v>
      </c>
      <c r="J22" s="73" t="e">
        <f>ROUND(H22*(INPUT!$E$40/100)+I22*(INPUT!$E$41/100),2)</f>
        <v>#VALUE!</v>
      </c>
    </row>
    <row r="23" spans="2:10">
      <c r="B23" s="174" t="s">
        <v>114</v>
      </c>
      <c r="C23" s="174"/>
      <c r="D23" s="174"/>
      <c r="E23" s="174"/>
      <c r="F23" s="74" t="e">
        <f>ROUND(SUM(F11:F22)/COUNTIF(B11:B22,"&lt;&gt;0"),2)</f>
        <v>#DIV/0!</v>
      </c>
      <c r="G23" s="74" t="e">
        <f>ROUND(SUM(G11:G22)/COUNTIF(B11:B22,"&lt;&gt;0"),2)</f>
        <v>#DIV/0!</v>
      </c>
      <c r="H23" s="74" t="e">
        <f>ROUND(SUM(H11:H22)/COUNTIF(B11:B22,"&lt;&gt;0"),2)</f>
        <v>#DIV/0!</v>
      </c>
      <c r="I23" s="74" t="e">
        <f>ROUND(SUM(I11:I22)/COUNTIF(B11:B22,"&lt;&gt;0"),2)</f>
        <v>#DIV/0!</v>
      </c>
      <c r="J23" s="70" t="e">
        <f>ROUND(H23*(INPUT!$E$40/100)+I23*(INPUT!$E$41/100),2)</f>
        <v>#DIV/0!</v>
      </c>
    </row>
    <row r="27" spans="2:10">
      <c r="H27" s="188" t="s">
        <v>115</v>
      </c>
      <c r="I27" s="188"/>
      <c r="J27" s="188"/>
    </row>
  </sheetData>
  <sheetProtection algorithmName="SHA-512" hashValue="MBxcRGqatHDQZUPQcdo3YhHZaidNKf0lxIpJpHVTHSn+r9dqi4ehjPQogrMuEqEpAIYh/izLHmB7nk9X2CsSWg==" saltValue="bUk5svWhkIlAPCA7WoFcfw==" spinCount="100000" sheet="1" objects="1" scenarios="1"/>
  <mergeCells count="18">
    <mergeCell ref="B1:J1"/>
    <mergeCell ref="B2:J2"/>
    <mergeCell ref="B3:J3"/>
    <mergeCell ref="B4:C4"/>
    <mergeCell ref="I5:J5"/>
    <mergeCell ref="B5:C5"/>
    <mergeCell ref="D5:F5"/>
    <mergeCell ref="D6:D10"/>
    <mergeCell ref="E6:E10"/>
    <mergeCell ref="G6:G10"/>
    <mergeCell ref="B23:E23"/>
    <mergeCell ref="H27:J27"/>
    <mergeCell ref="I6:I10"/>
    <mergeCell ref="J6:J10"/>
    <mergeCell ref="F6:F10"/>
    <mergeCell ref="H6:H10"/>
    <mergeCell ref="B6:B10"/>
    <mergeCell ref="C6:C10"/>
  </mergeCells>
  <pageMargins left="0.70866141732283472" right="0.70866141732283472" top="0.35433070866141736" bottom="0.74803149606299213" header="0.31496062992125984" footer="0.31496062992125984"/>
  <pageSetup paperSize="9"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25"/>
  <sheetViews>
    <sheetView workbookViewId="0">
      <selection activeCell="Q21" sqref="Q21"/>
    </sheetView>
  </sheetViews>
  <sheetFormatPr defaultRowHeight="14.4"/>
  <cols>
    <col min="1" max="1" width="10.77734375" style="2" customWidth="1"/>
    <col min="2" max="16" width="8.77734375" style="2" customWidth="1"/>
    <col min="17" max="16384" width="8.88671875" style="2"/>
  </cols>
  <sheetData>
    <row r="1" spans="1:16">
      <c r="A1" s="50"/>
      <c r="B1" s="50"/>
      <c r="C1" s="50"/>
      <c r="D1" s="50"/>
      <c r="E1" s="50"/>
      <c r="F1" s="50"/>
      <c r="G1" s="50"/>
      <c r="H1" s="50"/>
      <c r="I1" s="50"/>
    </row>
    <row r="2" spans="1:16" ht="16.8">
      <c r="A2" s="190" t="s">
        <v>0</v>
      </c>
      <c r="B2" s="190"/>
      <c r="C2" s="190"/>
      <c r="D2" s="190"/>
      <c r="E2" s="190"/>
      <c r="F2" s="190"/>
      <c r="G2" s="190"/>
      <c r="H2" s="190"/>
      <c r="I2" s="190"/>
      <c r="J2" s="190"/>
      <c r="K2" s="190"/>
      <c r="L2" s="190"/>
      <c r="M2" s="190"/>
      <c r="N2" s="190"/>
      <c r="O2" s="190"/>
      <c r="P2" s="190"/>
    </row>
    <row r="3" spans="1:16" ht="17.399999999999999">
      <c r="A3" s="191">
        <f>INPUT!B2</f>
        <v>0</v>
      </c>
      <c r="B3" s="191"/>
      <c r="C3" s="191"/>
      <c r="D3" s="191"/>
      <c r="E3" s="191"/>
      <c r="F3" s="191"/>
      <c r="G3" s="191"/>
      <c r="H3" s="191"/>
      <c r="I3" s="191"/>
      <c r="J3" s="191"/>
      <c r="K3" s="191"/>
      <c r="L3" s="191"/>
      <c r="M3" s="191"/>
      <c r="N3" s="191"/>
      <c r="O3" s="191"/>
      <c r="P3" s="191"/>
    </row>
    <row r="4" spans="1:16" ht="17.399999999999999">
      <c r="A4" s="192" t="s">
        <v>117</v>
      </c>
      <c r="B4" s="192"/>
      <c r="C4" s="192"/>
      <c r="D4" s="192"/>
      <c r="E4" s="192"/>
      <c r="F4" s="192"/>
      <c r="G4" s="192"/>
      <c r="H4" s="192"/>
      <c r="I4" s="192"/>
      <c r="J4" s="192"/>
      <c r="K4" s="192"/>
      <c r="L4" s="192"/>
      <c r="M4" s="192"/>
      <c r="N4" s="192"/>
      <c r="O4" s="192"/>
      <c r="P4" s="192"/>
    </row>
    <row r="5" spans="1:16">
      <c r="A5" s="197" t="s">
        <v>62</v>
      </c>
      <c r="B5" s="197"/>
      <c r="C5" s="193">
        <f>INPUT!B3</f>
        <v>0</v>
      </c>
      <c r="D5" s="193"/>
      <c r="E5" s="193"/>
      <c r="F5" s="76"/>
      <c r="G5" s="76"/>
      <c r="H5" s="76"/>
      <c r="I5" s="76"/>
      <c r="M5" s="82" t="s">
        <v>113</v>
      </c>
      <c r="N5" s="82"/>
      <c r="O5" s="82">
        <f>INPUT!B4</f>
        <v>0</v>
      </c>
      <c r="P5" s="80"/>
    </row>
    <row r="6" spans="1:16">
      <c r="A6" s="198" t="s">
        <v>63</v>
      </c>
      <c r="B6" s="198"/>
      <c r="C6" s="195">
        <f>INPUT!B7</f>
        <v>0</v>
      </c>
      <c r="D6" s="195"/>
      <c r="E6" s="195"/>
      <c r="F6" s="195"/>
      <c r="G6" s="199"/>
      <c r="H6" s="199"/>
      <c r="I6" s="199"/>
      <c r="J6" s="200" t="s">
        <v>58</v>
      </c>
      <c r="K6" s="200"/>
      <c r="L6" s="200"/>
      <c r="M6" s="201" t="str">
        <f>CONCATENATE(INPUT!B5," ",INPUT!B6)</f>
        <v xml:space="preserve"> </v>
      </c>
      <c r="N6" s="201"/>
      <c r="O6" s="201"/>
      <c r="P6" s="201"/>
    </row>
    <row r="7" spans="1:16">
      <c r="A7" s="77"/>
      <c r="B7" s="77"/>
      <c r="C7" s="78"/>
      <c r="D7" s="77"/>
      <c r="E7" s="77"/>
      <c r="F7" s="77"/>
      <c r="G7" s="77"/>
      <c r="H7" s="77"/>
      <c r="I7" s="77"/>
    </row>
    <row r="8" spans="1:16">
      <c r="A8" s="196" t="s">
        <v>116</v>
      </c>
      <c r="B8" s="196"/>
      <c r="C8" s="196"/>
      <c r="D8" s="196"/>
      <c r="E8" s="196"/>
      <c r="F8" s="196"/>
      <c r="G8" s="196"/>
      <c r="H8" s="196"/>
      <c r="I8" s="196"/>
      <c r="J8" s="196"/>
      <c r="K8" s="196"/>
      <c r="L8" s="196"/>
      <c r="M8" s="196"/>
      <c r="N8" s="196"/>
      <c r="O8" s="196"/>
      <c r="P8" s="196"/>
    </row>
    <row r="9" spans="1:16">
      <c r="A9" s="57" t="s">
        <v>17</v>
      </c>
      <c r="B9" s="72" t="s">
        <v>78</v>
      </c>
      <c r="C9" s="72" t="s">
        <v>79</v>
      </c>
      <c r="D9" s="72" t="s">
        <v>80</v>
      </c>
      <c r="E9" s="72" t="s">
        <v>81</v>
      </c>
      <c r="F9" s="72" t="s">
        <v>82</v>
      </c>
      <c r="G9" s="72" t="s">
        <v>83</v>
      </c>
      <c r="H9" s="72" t="s">
        <v>84</v>
      </c>
      <c r="I9" s="72" t="s">
        <v>85</v>
      </c>
      <c r="J9" s="72" t="s">
        <v>86</v>
      </c>
      <c r="K9" s="72" t="s">
        <v>87</v>
      </c>
      <c r="L9" s="72" t="s">
        <v>88</v>
      </c>
      <c r="M9" s="72" t="s">
        <v>89</v>
      </c>
      <c r="N9" s="72" t="str">
        <f>INPUT!T25</f>
        <v>PSO1</v>
      </c>
      <c r="O9" s="72" t="str">
        <f>INPUT!U25</f>
        <v>PSO2</v>
      </c>
      <c r="P9" s="72" t="str">
        <f>INPUT!V25</f>
        <v>PSO3</v>
      </c>
    </row>
    <row r="10" spans="1:16">
      <c r="A10" s="37">
        <f>INPUT!A12</f>
        <v>0</v>
      </c>
      <c r="B10" s="73" t="str">
        <f>IF(INPUT!H27 &lt;&gt;"-",ROUND((('CO Attainment'!$J$11*INPUT!H27)/3),2),"-")</f>
        <v>-</v>
      </c>
      <c r="C10" s="73" t="str">
        <f>IF(INPUT!I27 &lt;&gt;"-",ROUND((('CO Attainment'!$J$11*INPUT!I27)/3),2),"-")</f>
        <v>-</v>
      </c>
      <c r="D10" s="73" t="str">
        <f>IF(INPUT!J27 &lt;&gt;"-",ROUND((('CO Attainment'!$J$11*INPUT!J27)/3),2),"-")</f>
        <v>-</v>
      </c>
      <c r="E10" s="73" t="str">
        <f>IF(INPUT!K27 &lt;&gt;"-",ROUND((('CO Attainment'!$J$11*INPUT!K27)/3),2),"-")</f>
        <v>-</v>
      </c>
      <c r="F10" s="73" t="str">
        <f>IF(INPUT!L27 &lt;&gt;"-",ROUND((('CO Attainment'!$J$11*INPUT!L27)/3),2),"-")</f>
        <v>-</v>
      </c>
      <c r="G10" s="73" t="str">
        <f>IF(INPUT!M27 &lt;&gt;"-",ROUND((('CO Attainment'!$J$11*INPUT!M27)/3),2),"-")</f>
        <v>-</v>
      </c>
      <c r="H10" s="73" t="str">
        <f>IF(INPUT!N27 &lt;&gt;"-",ROUND((('CO Attainment'!$J$11*INPUT!N27)/3),2),"-")</f>
        <v>-</v>
      </c>
      <c r="I10" s="73" t="str">
        <f>IF(INPUT!O27 &lt;&gt;"-",ROUND((('CO Attainment'!$J$11*INPUT!O27)/3),2),"-")</f>
        <v>-</v>
      </c>
      <c r="J10" s="73" t="str">
        <f>IF(INPUT!P27 &lt;&gt;"-",ROUND((('CO Attainment'!$J$11*INPUT!P27)/3),2),"-")</f>
        <v>-</v>
      </c>
      <c r="K10" s="73" t="str">
        <f>IF(INPUT!Q27 &lt;&gt;"-",ROUND((('CO Attainment'!$J$11*INPUT!Q27)/3),2),"-")</f>
        <v>-</v>
      </c>
      <c r="L10" s="73" t="str">
        <f>IF(INPUT!R27 &lt;&gt;"-",ROUND((('CO Attainment'!$J$11*INPUT!R27)/3),2),"-")</f>
        <v>-</v>
      </c>
      <c r="M10" s="73" t="str">
        <f>IF(INPUT!S27 &lt;&gt;"-",ROUND((('CO Attainment'!$J$11*INPUT!S27)/3),2),"-")</f>
        <v>-</v>
      </c>
      <c r="N10" s="73" t="str">
        <f>IF(INPUT!T27 &lt;&gt;"-",ROUND((('CO Attainment'!$J$11*INPUT!T27)/3),2),"-")</f>
        <v>-</v>
      </c>
      <c r="O10" s="73" t="str">
        <f>IF(INPUT!U27 &lt;&gt;"-",ROUND((('CO Attainment'!$J$11*INPUT!U27)/3),2),"-")</f>
        <v>-</v>
      </c>
      <c r="P10" s="73" t="str">
        <f>IF(INPUT!V27 &lt;&gt;"-",ROUND((('CO Attainment'!$J$11*INPUT!V27)/3),2),"-")</f>
        <v>-</v>
      </c>
    </row>
    <row r="11" spans="1:16">
      <c r="A11" s="37">
        <f>INPUT!A13</f>
        <v>0</v>
      </c>
      <c r="B11" s="73" t="str">
        <f>IF(INPUT!H28 &lt;&gt;"-",ROUND((('CO Attainment'!$J$12*INPUT!H28)/3),2),"-")</f>
        <v>-</v>
      </c>
      <c r="C11" s="73" t="str">
        <f>IF(INPUT!I28 &lt;&gt;"-",ROUND((('CO Attainment'!$J$12*INPUT!I28)/3),2),"-")</f>
        <v>-</v>
      </c>
      <c r="D11" s="73" t="str">
        <f>IF(INPUT!J28 &lt;&gt;"-",ROUND((('CO Attainment'!$J$12*INPUT!J28)/3),2),"-")</f>
        <v>-</v>
      </c>
      <c r="E11" s="73" t="str">
        <f>IF(INPUT!K28 &lt;&gt;"-",ROUND((('CO Attainment'!$J$12*INPUT!K28)/3),2),"-")</f>
        <v>-</v>
      </c>
      <c r="F11" s="73" t="str">
        <f>IF(INPUT!L28 &lt;&gt;"-",ROUND((('CO Attainment'!$J$12*INPUT!L28)/3),2),"-")</f>
        <v>-</v>
      </c>
      <c r="G11" s="73" t="str">
        <f>IF(INPUT!M28 &lt;&gt;"-",ROUND((('CO Attainment'!$J$12*INPUT!M28)/3),2),"-")</f>
        <v>-</v>
      </c>
      <c r="H11" s="73" t="str">
        <f>IF(INPUT!N28 &lt;&gt;"-",ROUND((('CO Attainment'!$J$12*INPUT!N28)/3),2),"-")</f>
        <v>-</v>
      </c>
      <c r="I11" s="73" t="str">
        <f>IF(INPUT!O28 &lt;&gt;"-",ROUND((('CO Attainment'!$J$12*INPUT!O28)/3),2),"-")</f>
        <v>-</v>
      </c>
      <c r="J11" s="73" t="str">
        <f>IF(INPUT!P28 &lt;&gt;"-",ROUND((('CO Attainment'!$J$12*INPUT!P28)/3),2),"-")</f>
        <v>-</v>
      </c>
      <c r="K11" s="73" t="str">
        <f>IF(INPUT!Q28 &lt;&gt;"-",ROUND((('CO Attainment'!$J$12*INPUT!Q28)/3),2),"-")</f>
        <v>-</v>
      </c>
      <c r="L11" s="73" t="str">
        <f>IF(INPUT!R28 &lt;&gt;"-",ROUND((('CO Attainment'!$J$12*INPUT!R28)/3),2),"-")</f>
        <v>-</v>
      </c>
      <c r="M11" s="73" t="str">
        <f>IF(INPUT!S28 &lt;&gt;"-",ROUND((('CO Attainment'!$J$12*INPUT!S28)/3),2),"-")</f>
        <v>-</v>
      </c>
      <c r="N11" s="73" t="str">
        <f>IF(INPUT!T28 &lt;&gt;"-",ROUND((('CO Attainment'!$J$12*INPUT!T28)/3),2),"-")</f>
        <v>-</v>
      </c>
      <c r="O11" s="73" t="str">
        <f>IF(INPUT!U28 &lt;&gt;"-",ROUND((('CO Attainment'!$J$12*INPUT!U28)/3),2),"-")</f>
        <v>-</v>
      </c>
      <c r="P11" s="73" t="str">
        <f>IF(INPUT!V28 &lt;&gt;"-",ROUND((('CO Attainment'!$J$12*INPUT!V28)/3),2),"-")</f>
        <v>-</v>
      </c>
    </row>
    <row r="12" spans="1:16">
      <c r="A12" s="37">
        <f>INPUT!A14</f>
        <v>0</v>
      </c>
      <c r="B12" s="73" t="str">
        <f>IF(INPUT!H29 &lt;&gt;"-",ROUND((('CO Attainment'!$J$13*INPUT!H29)/3),2),"-")</f>
        <v>-</v>
      </c>
      <c r="C12" s="73" t="str">
        <f>IF(INPUT!I29 &lt;&gt;"-",ROUND((('CO Attainment'!$J$13*INPUT!I29)/3),2),"-")</f>
        <v>-</v>
      </c>
      <c r="D12" s="73" t="str">
        <f>IF(INPUT!J29 &lt;&gt;"-",ROUND((('CO Attainment'!$J$13*INPUT!J29)/3),2),"-")</f>
        <v>-</v>
      </c>
      <c r="E12" s="73" t="str">
        <f>IF(INPUT!K29 &lt;&gt;"-",ROUND((('CO Attainment'!$J$13*INPUT!K29)/3),2),"-")</f>
        <v>-</v>
      </c>
      <c r="F12" s="73" t="str">
        <f>IF(INPUT!L29 &lt;&gt;"-",ROUND((('CO Attainment'!$J$13*INPUT!L29)/3),2),"-")</f>
        <v>-</v>
      </c>
      <c r="G12" s="73" t="str">
        <f>IF(INPUT!M29 &lt;&gt;"-",ROUND((('CO Attainment'!$J$13*INPUT!M29)/3),2),"-")</f>
        <v>-</v>
      </c>
      <c r="H12" s="73" t="str">
        <f>IF(INPUT!N29 &lt;&gt;"-",ROUND((('CO Attainment'!$J$13*INPUT!N29)/3),2),"-")</f>
        <v>-</v>
      </c>
      <c r="I12" s="73" t="str">
        <f>IF(INPUT!O29 &lt;&gt;"-",ROUND((('CO Attainment'!$J$13*INPUT!O29)/3),2),"-")</f>
        <v>-</v>
      </c>
      <c r="J12" s="73" t="str">
        <f>IF(INPUT!P29 &lt;&gt;"-",ROUND((('CO Attainment'!$J$13*INPUT!P29)/3),2),"-")</f>
        <v>-</v>
      </c>
      <c r="K12" s="73" t="str">
        <f>IF(INPUT!Q29 &lt;&gt;"-",ROUND((('CO Attainment'!$J$13*INPUT!Q29)/3),2),"-")</f>
        <v>-</v>
      </c>
      <c r="L12" s="73" t="str">
        <f>IF(INPUT!R29 &lt;&gt;"-",ROUND((('CO Attainment'!$J$13*INPUT!R29)/3),2),"-")</f>
        <v>-</v>
      </c>
      <c r="M12" s="73" t="str">
        <f>IF(INPUT!S29 &lt;&gt;"-",ROUND((('CO Attainment'!$J$13*INPUT!S29)/3),2),"-")</f>
        <v>-</v>
      </c>
      <c r="N12" s="73" t="str">
        <f>IF(INPUT!T29 &lt;&gt;"-",ROUND((('CO Attainment'!$J$13*INPUT!T29)/3),2),"-")</f>
        <v>-</v>
      </c>
      <c r="O12" s="73" t="str">
        <f>IF(INPUT!U29 &lt;&gt;"-",ROUND((('CO Attainment'!$J$13*INPUT!U29)/3),2),"-")</f>
        <v>-</v>
      </c>
      <c r="P12" s="73" t="str">
        <f>IF(INPUT!V29 &lt;&gt;"-",ROUND((('CO Attainment'!$J$13*INPUT!V29)/3),2),"-")</f>
        <v>-</v>
      </c>
    </row>
    <row r="13" spans="1:16">
      <c r="A13" s="37">
        <f>INPUT!A15</f>
        <v>0</v>
      </c>
      <c r="B13" s="73" t="str">
        <f>IF(INPUT!H30 &lt;&gt;"-",ROUND((('CO Attainment'!$J$14*INPUT!H30)/3),2),"-")</f>
        <v>-</v>
      </c>
      <c r="C13" s="73" t="str">
        <f>IF(INPUT!I30 &lt;&gt;"-",ROUND((('CO Attainment'!$J$14*INPUT!I30)/3),2),"-")</f>
        <v>-</v>
      </c>
      <c r="D13" s="73" t="str">
        <f>IF(INPUT!J30 &lt;&gt;"-",ROUND((('CO Attainment'!$J$14*INPUT!J30)/3),2),"-")</f>
        <v>-</v>
      </c>
      <c r="E13" s="73" t="str">
        <f>IF(INPUT!K30 &lt;&gt;"-",ROUND((('CO Attainment'!$J$14*INPUT!K30)/3),2),"-")</f>
        <v>-</v>
      </c>
      <c r="F13" s="73" t="str">
        <f>IF(INPUT!L30 &lt;&gt;"-",ROUND((('CO Attainment'!$J$14*INPUT!L30)/3),2),"-")</f>
        <v>-</v>
      </c>
      <c r="G13" s="73" t="str">
        <f>IF(INPUT!M30 &lt;&gt;"-",ROUND((('CO Attainment'!$J$14*INPUT!M30)/3),2),"-")</f>
        <v>-</v>
      </c>
      <c r="H13" s="73" t="str">
        <f>IF(INPUT!N30 &lt;&gt;"-",ROUND((('CO Attainment'!$J$14*INPUT!N30)/3),2),"-")</f>
        <v>-</v>
      </c>
      <c r="I13" s="73" t="str">
        <f>IF(INPUT!O30 &lt;&gt;"-",ROUND((('CO Attainment'!$J$14*INPUT!O30)/3),2),"-")</f>
        <v>-</v>
      </c>
      <c r="J13" s="73" t="str">
        <f>IF(INPUT!P30 &lt;&gt;"-",ROUND((('CO Attainment'!$J$14*INPUT!P30)/3),2),"-")</f>
        <v>-</v>
      </c>
      <c r="K13" s="73" t="str">
        <f>IF(INPUT!Q30 &lt;&gt;"-",ROUND((('CO Attainment'!$J$14*INPUT!Q30)/3),2),"-")</f>
        <v>-</v>
      </c>
      <c r="L13" s="73" t="str">
        <f>IF(INPUT!R30 &lt;&gt;"-",ROUND((('CO Attainment'!$J$14*INPUT!R30)/3),2),"-")</f>
        <v>-</v>
      </c>
      <c r="M13" s="73" t="str">
        <f>IF(INPUT!S30 &lt;&gt;"-",ROUND((('CO Attainment'!$J$14*INPUT!S30)/3),2),"-")</f>
        <v>-</v>
      </c>
      <c r="N13" s="73" t="str">
        <f>IF(INPUT!T30 &lt;&gt;"-",ROUND((('CO Attainment'!$J$14*INPUT!T30)/3),2),"-")</f>
        <v>-</v>
      </c>
      <c r="O13" s="73" t="str">
        <f>IF(INPUT!U30 &lt;&gt;"-",ROUND((('CO Attainment'!$J$14*INPUT!U30)/3),2),"-")</f>
        <v>-</v>
      </c>
      <c r="P13" s="73" t="str">
        <f>IF(INPUT!V30 &lt;&gt;"-",ROUND((('CO Attainment'!$J$14*INPUT!V30)/3),2),"-")</f>
        <v>-</v>
      </c>
    </row>
    <row r="14" spans="1:16">
      <c r="A14" s="37">
        <f>INPUT!A16</f>
        <v>0</v>
      </c>
      <c r="B14" s="73" t="str">
        <f>IF(INPUT!H31 &lt;&gt;"-",ROUND((('CO Attainment'!$J$15*INPUT!H31)/3),2),"-")</f>
        <v>-</v>
      </c>
      <c r="C14" s="73" t="str">
        <f>IF(INPUT!I31 &lt;&gt;"-",ROUND((('CO Attainment'!$J$15*INPUT!I31)/3),2),"-")</f>
        <v>-</v>
      </c>
      <c r="D14" s="73" t="str">
        <f>IF(INPUT!J31 &lt;&gt;"-",ROUND((('CO Attainment'!$J$15*INPUT!J31)/3),2),"-")</f>
        <v>-</v>
      </c>
      <c r="E14" s="73" t="str">
        <f>IF(INPUT!K31 &lt;&gt;"-",ROUND((('CO Attainment'!$J$15*INPUT!K31)/3),2),"-")</f>
        <v>-</v>
      </c>
      <c r="F14" s="73" t="str">
        <f>IF(INPUT!L31 &lt;&gt;"-",ROUND((('CO Attainment'!$J$15*INPUT!L31)/3),2),"-")</f>
        <v>-</v>
      </c>
      <c r="G14" s="73" t="str">
        <f>IF(INPUT!M31 &lt;&gt;"-",ROUND((('CO Attainment'!$J$15*INPUT!M31)/3),2),"-")</f>
        <v>-</v>
      </c>
      <c r="H14" s="73" t="str">
        <f>IF(INPUT!N31 &lt;&gt;"-",ROUND((('CO Attainment'!$J$15*INPUT!N31)/3),2),"-")</f>
        <v>-</v>
      </c>
      <c r="I14" s="73" t="str">
        <f>IF(INPUT!O31 &lt;&gt;"-",ROUND((('CO Attainment'!$J$15*INPUT!O31)/3),2),"-")</f>
        <v>-</v>
      </c>
      <c r="J14" s="73" t="str">
        <f>IF(INPUT!P31 &lt;&gt;"-",ROUND((('CO Attainment'!$J$15*INPUT!P31)/3),2),"-")</f>
        <v>-</v>
      </c>
      <c r="K14" s="73" t="str">
        <f>IF(INPUT!Q31 &lt;&gt;"-",ROUND((('CO Attainment'!$J$15*INPUT!Q31)/3),2),"-")</f>
        <v>-</v>
      </c>
      <c r="L14" s="73" t="str">
        <f>IF(INPUT!R31 &lt;&gt;"-",ROUND((('CO Attainment'!$J$15*INPUT!R31)/3),2),"-")</f>
        <v>-</v>
      </c>
      <c r="M14" s="73" t="str">
        <f>IF(INPUT!S31 &lt;&gt;"-",ROUND((('CO Attainment'!$J$15*INPUT!S31)/3),2),"-")</f>
        <v>-</v>
      </c>
      <c r="N14" s="73" t="str">
        <f>IF(INPUT!T31 &lt;&gt;"-",ROUND((('CO Attainment'!$J$15*INPUT!T31)/3),2),"-")</f>
        <v>-</v>
      </c>
      <c r="O14" s="73" t="str">
        <f>IF(INPUT!U31 &lt;&gt;"-",ROUND((('CO Attainment'!$J$15*INPUT!U31)/3),2),"-")</f>
        <v>-</v>
      </c>
      <c r="P14" s="73" t="str">
        <f>IF(INPUT!V31 &lt;&gt;"-",ROUND((('CO Attainment'!$J$15*INPUT!V31)/3),2),"-")</f>
        <v>-</v>
      </c>
    </row>
    <row r="15" spans="1:16">
      <c r="A15" s="37">
        <f>INPUT!A17</f>
        <v>0</v>
      </c>
      <c r="B15" s="73" t="str">
        <f>IF(INPUT!H32 &lt;&gt;"-",ROUND((('CO Attainment'!$J$16*INPUT!H32)/3),2),"-")</f>
        <v>-</v>
      </c>
      <c r="C15" s="73" t="str">
        <f>IF(INPUT!I32 &lt;&gt;"-",ROUND((('CO Attainment'!$J$16*INPUT!I32)/3),2),"-")</f>
        <v>-</v>
      </c>
      <c r="D15" s="73" t="str">
        <f>IF(INPUT!J32 &lt;&gt;"-",ROUND((('CO Attainment'!$J$16*INPUT!J32)/3),2),"-")</f>
        <v>-</v>
      </c>
      <c r="E15" s="73" t="str">
        <f>IF(INPUT!K32 &lt;&gt;"-",ROUND((('CO Attainment'!$J$16*INPUT!K32)/3),2),"-")</f>
        <v>-</v>
      </c>
      <c r="F15" s="73" t="str">
        <f>IF(INPUT!L32 &lt;&gt;"-",ROUND((('CO Attainment'!$J$16*INPUT!L32)/3),2),"-")</f>
        <v>-</v>
      </c>
      <c r="G15" s="73" t="str">
        <f>IF(INPUT!M32 &lt;&gt;"-",ROUND((('CO Attainment'!$J$16*INPUT!M32)/3),2),"-")</f>
        <v>-</v>
      </c>
      <c r="H15" s="73" t="str">
        <f>IF(INPUT!N32 &lt;&gt;"-",ROUND((('CO Attainment'!$J$16*INPUT!N32)/3),2),"-")</f>
        <v>-</v>
      </c>
      <c r="I15" s="73" t="str">
        <f>IF(INPUT!O32 &lt;&gt;"-",ROUND((('CO Attainment'!$J$16*INPUT!O32)/3),2),"-")</f>
        <v>-</v>
      </c>
      <c r="J15" s="73" t="str">
        <f>IF(INPUT!P32 &lt;&gt;"-",ROUND((('CO Attainment'!$J$16*INPUT!P32)/3),2),"-")</f>
        <v>-</v>
      </c>
      <c r="K15" s="73" t="str">
        <f>IF(INPUT!Q32 &lt;&gt;"-",ROUND((('CO Attainment'!$J$16*INPUT!Q32)/3),2),"-")</f>
        <v>-</v>
      </c>
      <c r="L15" s="73" t="str">
        <f>IF(INPUT!R32 &lt;&gt;"-",ROUND((('CO Attainment'!$J$16*INPUT!R32)/3),2),"-")</f>
        <v>-</v>
      </c>
      <c r="M15" s="73" t="str">
        <f>IF(INPUT!S32 &lt;&gt;"-",ROUND((('CO Attainment'!$J$16*INPUT!S32)/3),2),"-")</f>
        <v>-</v>
      </c>
      <c r="N15" s="73" t="str">
        <f>IF(INPUT!T32 &lt;&gt;"-",ROUND((('CO Attainment'!$J$16*INPUT!T32)/3),2),"-")</f>
        <v>-</v>
      </c>
      <c r="O15" s="73" t="str">
        <f>IF(INPUT!U32 &lt;&gt;"-",ROUND((('CO Attainment'!$J$16*INPUT!U32)/3),2),"-")</f>
        <v>-</v>
      </c>
      <c r="P15" s="73" t="str">
        <f>IF(INPUT!V32 &lt;&gt;"-",ROUND((('CO Attainment'!$J$16*INPUT!V32)/3),2),"-")</f>
        <v>-</v>
      </c>
    </row>
    <row r="16" spans="1:16">
      <c r="A16" s="37">
        <f>INPUT!A18</f>
        <v>0</v>
      </c>
      <c r="B16" s="73" t="str">
        <f>IF(INPUT!H33 &lt;&gt;"-",ROUND((('CO Attainment'!$J$17*INPUT!H33)/3),2),"-")</f>
        <v>-</v>
      </c>
      <c r="C16" s="73" t="str">
        <f>IF(INPUT!I33 &lt;&gt;"-",ROUND((('CO Attainment'!$J$17*INPUT!I33)/3),2),"-")</f>
        <v>-</v>
      </c>
      <c r="D16" s="73" t="str">
        <f>IF(INPUT!J33 &lt;&gt;"-",ROUND((('CO Attainment'!$J$17*INPUT!J33)/3),2),"-")</f>
        <v>-</v>
      </c>
      <c r="E16" s="73" t="str">
        <f>IF(INPUT!K33 &lt;&gt;"-",ROUND((('CO Attainment'!$J$17*INPUT!K33)/3),2),"-")</f>
        <v>-</v>
      </c>
      <c r="F16" s="73" t="str">
        <f>IF(INPUT!L33 &lt;&gt;"-",ROUND((('CO Attainment'!$J$17*INPUT!L33)/3),2),"-")</f>
        <v>-</v>
      </c>
      <c r="G16" s="73" t="str">
        <f>IF(INPUT!M33 &lt;&gt;"-",ROUND((('CO Attainment'!$J$17*INPUT!M33)/3),2),"-")</f>
        <v>-</v>
      </c>
      <c r="H16" s="73" t="str">
        <f>IF(INPUT!N33 &lt;&gt;"-",ROUND((('CO Attainment'!$J$17*INPUT!N33)/3),2),"-")</f>
        <v>-</v>
      </c>
      <c r="I16" s="73" t="str">
        <f>IF(INPUT!O33 &lt;&gt;"-",ROUND((('CO Attainment'!$J$17*INPUT!O33)/3),2),"-")</f>
        <v>-</v>
      </c>
      <c r="J16" s="73" t="str">
        <f>IF(INPUT!P33 &lt;&gt;"-",ROUND((('CO Attainment'!$J$17*INPUT!P33)/3),2),"-")</f>
        <v>-</v>
      </c>
      <c r="K16" s="73" t="str">
        <f>IF(INPUT!Q33 &lt;&gt;"-",ROUND((('CO Attainment'!$J$17*INPUT!Q33)/3),2),"-")</f>
        <v>-</v>
      </c>
      <c r="L16" s="73" t="str">
        <f>IF(INPUT!R33 &lt;&gt;"-",ROUND((('CO Attainment'!$J$17*INPUT!R33)/3),2),"-")</f>
        <v>-</v>
      </c>
      <c r="M16" s="73" t="str">
        <f>IF(INPUT!S33 &lt;&gt;"-",ROUND((('CO Attainment'!$J$17*INPUT!S33)/3),2),"-")</f>
        <v>-</v>
      </c>
      <c r="N16" s="73" t="str">
        <f>IF(INPUT!T33 &lt;&gt;"-",ROUND((('CO Attainment'!$J$17*INPUT!T33)/3),2),"-")</f>
        <v>-</v>
      </c>
      <c r="O16" s="73" t="str">
        <f>IF(INPUT!U33 &lt;&gt;"-",ROUND((('CO Attainment'!$J$17*INPUT!U33)/3),2),"-")</f>
        <v>-</v>
      </c>
      <c r="P16" s="73" t="str">
        <f>IF(INPUT!V33 &lt;&gt;"-",ROUND((('CO Attainment'!$J$17*INPUT!V33)/3),2),"-")</f>
        <v>-</v>
      </c>
    </row>
    <row r="17" spans="1:16">
      <c r="A17" s="37">
        <f>INPUT!A19</f>
        <v>0</v>
      </c>
      <c r="B17" s="73" t="str">
        <f>IF(INPUT!H34 &lt;&gt;"-",ROUND((('CO Attainment'!$J$18*INPUT!H34)/3),2),"-")</f>
        <v>-</v>
      </c>
      <c r="C17" s="73" t="str">
        <f>IF(INPUT!I34 &lt;&gt;"-",ROUND((('CO Attainment'!$J$18*INPUT!I34)/3),2),"-")</f>
        <v>-</v>
      </c>
      <c r="D17" s="73" t="str">
        <f>IF(INPUT!J34 &lt;&gt;"-",ROUND((('CO Attainment'!$J$18*INPUT!J34)/3),2),"-")</f>
        <v>-</v>
      </c>
      <c r="E17" s="73" t="str">
        <f>IF(INPUT!K34 &lt;&gt;"-",ROUND((('CO Attainment'!$J$18*INPUT!K34)/3),2),"-")</f>
        <v>-</v>
      </c>
      <c r="F17" s="73" t="str">
        <f>IF(INPUT!L34 &lt;&gt;"-",ROUND((('CO Attainment'!$J$18*INPUT!L34)/3),2),"-")</f>
        <v>-</v>
      </c>
      <c r="G17" s="73" t="str">
        <f>IF(INPUT!M34 &lt;&gt;"-",ROUND((('CO Attainment'!$J$18*INPUT!M34)/3),2),"-")</f>
        <v>-</v>
      </c>
      <c r="H17" s="73" t="str">
        <f>IF(INPUT!N34 &lt;&gt;"-",ROUND((('CO Attainment'!$J$18*INPUT!N34)/3),2),"-")</f>
        <v>-</v>
      </c>
      <c r="I17" s="73" t="str">
        <f>IF(INPUT!O34 &lt;&gt;"-",ROUND((('CO Attainment'!$J$18*INPUT!O34)/3),2),"-")</f>
        <v>-</v>
      </c>
      <c r="J17" s="73" t="str">
        <f>IF(INPUT!P34 &lt;&gt;"-",ROUND((('CO Attainment'!$J$18*INPUT!P34)/3),2),"-")</f>
        <v>-</v>
      </c>
      <c r="K17" s="73" t="str">
        <f>IF(INPUT!Q34 &lt;&gt;"-",ROUND((('CO Attainment'!$J$18*INPUT!Q34)/3),2),"-")</f>
        <v>-</v>
      </c>
      <c r="L17" s="73" t="str">
        <f>IF(INPUT!R34 &lt;&gt;"-",ROUND((('CO Attainment'!$J$18*INPUT!R34)/3),2),"-")</f>
        <v>-</v>
      </c>
      <c r="M17" s="73" t="str">
        <f>IF(INPUT!S34 &lt;&gt;"-",ROUND((('CO Attainment'!$J$18*INPUT!S34)/3),2),"-")</f>
        <v>-</v>
      </c>
      <c r="N17" s="73" t="str">
        <f>IF(INPUT!T34 &lt;&gt;"-",ROUND((('CO Attainment'!$J$18*INPUT!T34)/3),2),"-")</f>
        <v>-</v>
      </c>
      <c r="O17" s="73" t="str">
        <f>IF(INPUT!U34 &lt;&gt;"-",ROUND((('CO Attainment'!$J$18*INPUT!U34)/3),2),"-")</f>
        <v>-</v>
      </c>
      <c r="P17" s="73" t="str">
        <f>IF(INPUT!V34 &lt;&gt;"-",ROUND((('CO Attainment'!$J$18*INPUT!V34)/3),2),"-")</f>
        <v>-</v>
      </c>
    </row>
    <row r="18" spans="1:16">
      <c r="A18" s="37">
        <f>INPUT!A20</f>
        <v>0</v>
      </c>
      <c r="B18" s="73" t="str">
        <f>IF(INPUT!H35 &lt;&gt;"-",ROUND((('CO Attainment'!$J$19*INPUT!H35)/3),2),"-")</f>
        <v>-</v>
      </c>
      <c r="C18" s="73" t="str">
        <f>IF(INPUT!I35 &lt;&gt;"-",ROUND((('CO Attainment'!$J$19*INPUT!I35)/3),2),"-")</f>
        <v>-</v>
      </c>
      <c r="D18" s="73" t="str">
        <f>IF(INPUT!J35 &lt;&gt;"-",ROUND((('CO Attainment'!$J$19*INPUT!J35)/3),2),"-")</f>
        <v>-</v>
      </c>
      <c r="E18" s="73" t="str">
        <f>IF(INPUT!K35 &lt;&gt;"-",ROUND((('CO Attainment'!$J$19*INPUT!K35)/3),2),"-")</f>
        <v>-</v>
      </c>
      <c r="F18" s="73" t="str">
        <f>IF(INPUT!L35 &lt;&gt;"-",ROUND((('CO Attainment'!$J$19*INPUT!L35)/3),2),"-")</f>
        <v>-</v>
      </c>
      <c r="G18" s="73" t="str">
        <f>IF(INPUT!M35 &lt;&gt;"-",ROUND((('CO Attainment'!$J$19*INPUT!M35)/3),2),"-")</f>
        <v>-</v>
      </c>
      <c r="H18" s="73" t="str">
        <f>IF(INPUT!N35 &lt;&gt;"-",ROUND((('CO Attainment'!$J$19*INPUT!N35)/3),2),"-")</f>
        <v>-</v>
      </c>
      <c r="I18" s="73" t="str">
        <f>IF(INPUT!O35 &lt;&gt;"-",ROUND((('CO Attainment'!$J$19*INPUT!O35)/3),2),"-")</f>
        <v>-</v>
      </c>
      <c r="J18" s="73" t="str">
        <f>IF(INPUT!P35 &lt;&gt;"-",ROUND((('CO Attainment'!$J$19*INPUT!P35)/3),2),"-")</f>
        <v>-</v>
      </c>
      <c r="K18" s="73" t="str">
        <f>IF(INPUT!Q35 &lt;&gt;"-",ROUND((('CO Attainment'!$J$19*INPUT!Q35)/3),2),"-")</f>
        <v>-</v>
      </c>
      <c r="L18" s="73" t="str">
        <f>IF(INPUT!R35 &lt;&gt;"-",ROUND((('CO Attainment'!$J$19*INPUT!R35)/3),2),"-")</f>
        <v>-</v>
      </c>
      <c r="M18" s="73" t="str">
        <f>IF(INPUT!S35 &lt;&gt;"-",ROUND((('CO Attainment'!$J$19*INPUT!S35)/3),2),"-")</f>
        <v>-</v>
      </c>
      <c r="N18" s="73" t="str">
        <f>IF(INPUT!T35 &lt;&gt;"-",ROUND((('CO Attainment'!$J$19*INPUT!T35)/3),2),"-")</f>
        <v>-</v>
      </c>
      <c r="O18" s="73" t="str">
        <f>IF(INPUT!U35 &lt;&gt;"-",ROUND((('CO Attainment'!$J$19*INPUT!U35)/3),2),"-")</f>
        <v>-</v>
      </c>
      <c r="P18" s="73" t="str">
        <f>IF(INPUT!V35 &lt;&gt;"-",ROUND((('CO Attainment'!$J$19*INPUT!V35)/3),2),"-")</f>
        <v>-</v>
      </c>
    </row>
    <row r="19" spans="1:16">
      <c r="A19" s="37">
        <f>INPUT!A21</f>
        <v>0</v>
      </c>
      <c r="B19" s="73" t="str">
        <f>IF(INPUT!H36 &lt;&gt;"-",ROUND((('CO Attainment'!$J$20*INPUT!H36)/3),2),"-")</f>
        <v>-</v>
      </c>
      <c r="C19" s="73" t="str">
        <f>IF(INPUT!I36 &lt;&gt;"-",ROUND((('CO Attainment'!$J$20*INPUT!I36)/3),2),"-")</f>
        <v>-</v>
      </c>
      <c r="D19" s="73" t="str">
        <f>IF(INPUT!J36 &lt;&gt;"-",ROUND((('CO Attainment'!$J$20*INPUT!J36)/3),2),"-")</f>
        <v>-</v>
      </c>
      <c r="E19" s="73" t="str">
        <f>IF(INPUT!K36 &lt;&gt;"-",ROUND((('CO Attainment'!$J$20*INPUT!K36)/3),2),"-")</f>
        <v>-</v>
      </c>
      <c r="F19" s="73" t="str">
        <f>IF(INPUT!L36 &lt;&gt;"-",ROUND((('CO Attainment'!$J$20*INPUT!L36)/3),2),"-")</f>
        <v>-</v>
      </c>
      <c r="G19" s="73" t="str">
        <f>IF(INPUT!M36 &lt;&gt;"-",ROUND((('CO Attainment'!$J$20*INPUT!M36)/3),2),"-")</f>
        <v>-</v>
      </c>
      <c r="H19" s="73" t="str">
        <f>IF(INPUT!N36 &lt;&gt;"-",ROUND((('CO Attainment'!$J$20*INPUT!N36)/3),2),"-")</f>
        <v>-</v>
      </c>
      <c r="I19" s="73" t="str">
        <f>IF(INPUT!O36 &lt;&gt;"-",ROUND((('CO Attainment'!$J$20*INPUT!O36)/3),2),"-")</f>
        <v>-</v>
      </c>
      <c r="J19" s="73" t="str">
        <f>IF(INPUT!P36 &lt;&gt;"-",ROUND((('CO Attainment'!$J$20*INPUT!P36)/3),2),"-")</f>
        <v>-</v>
      </c>
      <c r="K19" s="73" t="str">
        <f>IF(INPUT!Q36 &lt;&gt;"-",ROUND((('CO Attainment'!$J$20*INPUT!Q36)/3),2),"-")</f>
        <v>-</v>
      </c>
      <c r="L19" s="73" t="str">
        <f>IF(INPUT!R36 &lt;&gt;"-",ROUND((('CO Attainment'!$J$20*INPUT!R36)/3),2),"-")</f>
        <v>-</v>
      </c>
      <c r="M19" s="73" t="str">
        <f>IF(INPUT!S36 &lt;&gt;"-",ROUND((('CO Attainment'!$J$20*INPUT!S36)/3),2),"-")</f>
        <v>-</v>
      </c>
      <c r="N19" s="73" t="str">
        <f>IF(INPUT!T36 &lt;&gt;"-",ROUND((('CO Attainment'!$J$20*INPUT!T36)/3),2),"-")</f>
        <v>-</v>
      </c>
      <c r="O19" s="73" t="str">
        <f>IF(INPUT!U36 &lt;&gt;"-",ROUND((('CO Attainment'!$J$20*INPUT!U36)/3),2),"-")</f>
        <v>-</v>
      </c>
      <c r="P19" s="73" t="str">
        <f>IF(INPUT!V36 &lt;&gt;"-",ROUND((('CO Attainment'!$J$20*INPUT!V36)/3),2),"-")</f>
        <v>-</v>
      </c>
    </row>
    <row r="20" spans="1:16">
      <c r="A20" s="37">
        <f>INPUT!A22</f>
        <v>0</v>
      </c>
      <c r="B20" s="73" t="str">
        <f>IF(INPUT!H37 &lt;&gt;"-",ROUND((('CO Attainment'!$J$21*INPUT!H37)/3),2),"-")</f>
        <v>-</v>
      </c>
      <c r="C20" s="73" t="str">
        <f>IF(INPUT!I37 &lt;&gt;"-",ROUND((('CO Attainment'!$J$21*INPUT!I37)/3),2),"-")</f>
        <v>-</v>
      </c>
      <c r="D20" s="73" t="str">
        <f>IF(INPUT!J37 &lt;&gt;"-",ROUND((('CO Attainment'!$J$21*INPUT!J37)/3),2),"-")</f>
        <v>-</v>
      </c>
      <c r="E20" s="73" t="str">
        <f>IF(INPUT!K37 &lt;&gt;"-",ROUND((('CO Attainment'!$J$21*INPUT!K37)/3),2),"-")</f>
        <v>-</v>
      </c>
      <c r="F20" s="73" t="str">
        <f>IF(INPUT!L37 &lt;&gt;"-",ROUND((('CO Attainment'!$J$21*INPUT!L37)/3),2),"-")</f>
        <v>-</v>
      </c>
      <c r="G20" s="73" t="str">
        <f>IF(INPUT!M37 &lt;&gt;"-",ROUND((('CO Attainment'!$J$21*INPUT!M37)/3),2),"-")</f>
        <v>-</v>
      </c>
      <c r="H20" s="73" t="str">
        <f>IF(INPUT!N37 &lt;&gt;"-",ROUND((('CO Attainment'!$J$21*INPUT!N37)/3),2),"-")</f>
        <v>-</v>
      </c>
      <c r="I20" s="73" t="str">
        <f>IF(INPUT!O37 &lt;&gt;"-",ROUND((('CO Attainment'!$J$21*INPUT!O37)/3),2),"-")</f>
        <v>-</v>
      </c>
      <c r="J20" s="73" t="str">
        <f>IF(INPUT!P37 &lt;&gt;"-",ROUND((('CO Attainment'!$J$21*INPUT!P37)/3),2),"-")</f>
        <v>-</v>
      </c>
      <c r="K20" s="73" t="str">
        <f>IF(INPUT!Q37 &lt;&gt;"-",ROUND((('CO Attainment'!$J$21*INPUT!Q37)/3),2),"-")</f>
        <v>-</v>
      </c>
      <c r="L20" s="73" t="str">
        <f>IF(INPUT!R37 &lt;&gt;"-",ROUND((('CO Attainment'!$J$21*INPUT!R37)/3),2),"-")</f>
        <v>-</v>
      </c>
      <c r="M20" s="73" t="str">
        <f>IF(INPUT!S37 &lt;&gt;"-",ROUND((('CO Attainment'!$J$21*INPUT!S37)/3),2),"-")</f>
        <v>-</v>
      </c>
      <c r="N20" s="73" t="str">
        <f>IF(INPUT!T37 &lt;&gt;"-",ROUND((('CO Attainment'!$J$21*INPUT!T37)/3),2),"-")</f>
        <v>-</v>
      </c>
      <c r="O20" s="73" t="str">
        <f>IF(INPUT!U37 &lt;&gt;"-",ROUND((('CO Attainment'!$J$21*INPUT!U37)/3),2),"-")</f>
        <v>-</v>
      </c>
      <c r="P20" s="73" t="str">
        <f>IF(INPUT!V37 &lt;&gt;"-",ROUND((('CO Attainment'!$J$21*INPUT!V37)/3),2),"-")</f>
        <v>-</v>
      </c>
    </row>
    <row r="21" spans="1:16">
      <c r="A21" s="37">
        <f>INPUT!A23</f>
        <v>0</v>
      </c>
      <c r="B21" s="73" t="str">
        <f>IF(INPUT!H38 &lt;&gt;"-",ROUND((('CO Attainment'!$J$22*INPUT!H38)/3),2),"-")</f>
        <v>-</v>
      </c>
      <c r="C21" s="73" t="str">
        <f>IF(INPUT!I38 &lt;&gt;"-",ROUND((('CO Attainment'!$J$22*INPUT!I38)/3),2),"-")</f>
        <v>-</v>
      </c>
      <c r="D21" s="73" t="str">
        <f>IF(INPUT!J38 &lt;&gt;"-",ROUND((('CO Attainment'!$J$22*INPUT!J38)/3),2),"-")</f>
        <v>-</v>
      </c>
      <c r="E21" s="73" t="str">
        <f>IF(INPUT!K38 &lt;&gt;"-",ROUND((('CO Attainment'!$J$22*INPUT!K38)/3),2),"-")</f>
        <v>-</v>
      </c>
      <c r="F21" s="73" t="str">
        <f>IF(INPUT!L38 &lt;&gt;"-",ROUND((('CO Attainment'!$J$22*INPUT!L38)/3),2),"-")</f>
        <v>-</v>
      </c>
      <c r="G21" s="73" t="str">
        <f>IF(INPUT!M38 &lt;&gt;"-",ROUND((('CO Attainment'!$J$22*INPUT!M38)/3),2),"-")</f>
        <v>-</v>
      </c>
      <c r="H21" s="73" t="str">
        <f>IF(INPUT!N38 &lt;&gt;"-",ROUND((('CO Attainment'!$J$22*INPUT!N38)/3),2),"-")</f>
        <v>-</v>
      </c>
      <c r="I21" s="73" t="str">
        <f>IF(INPUT!O38 &lt;&gt;"-",ROUND((('CO Attainment'!$J$22*INPUT!O38)/3),2),"-")</f>
        <v>-</v>
      </c>
      <c r="J21" s="73" t="str">
        <f>IF(INPUT!P38 &lt;&gt;"-",ROUND((('CO Attainment'!$J$22*INPUT!P38)/3),2),"-")</f>
        <v>-</v>
      </c>
      <c r="K21" s="73" t="str">
        <f>IF(INPUT!Q38 &lt;&gt;"-",ROUND((('CO Attainment'!$J$22*INPUT!Q38)/3),2),"-")</f>
        <v>-</v>
      </c>
      <c r="L21" s="73" t="str">
        <f>IF(INPUT!R38 &lt;&gt;"-",ROUND((('CO Attainment'!$J$22*INPUT!R38)/3),2),"-")</f>
        <v>-</v>
      </c>
      <c r="M21" s="73" t="str">
        <f>IF(INPUT!S38 &lt;&gt;"-",ROUND((('CO Attainment'!$J$22*INPUT!S38)/3),2),"-")</f>
        <v>-</v>
      </c>
      <c r="N21" s="73" t="str">
        <f>IF(INPUT!T38 &lt;&gt;"-",ROUND((('CO Attainment'!$J$22*INPUT!T38)/3),2),"-")</f>
        <v>-</v>
      </c>
      <c r="O21" s="73" t="str">
        <f>IF(INPUT!U38 &lt;&gt;"-",ROUND((('CO Attainment'!$J$22*INPUT!U38)/3),2),"-")</f>
        <v>-</v>
      </c>
      <c r="P21" s="73" t="str">
        <f>IF(INPUT!V38 &lt;&gt;"-",ROUND((('CO Attainment'!$J$22*INPUT!V38)/3),2),"-")</f>
        <v>-</v>
      </c>
    </row>
    <row r="22" spans="1:16" ht="43.2">
      <c r="A22" s="79" t="s">
        <v>141</v>
      </c>
      <c r="B22" s="75" t="str">
        <f t="shared" ref="B22:P22" si="0">IFERROR(ROUND(AVERAGE(B10:B16),2),"-")</f>
        <v>-</v>
      </c>
      <c r="C22" s="75" t="str">
        <f t="shared" si="0"/>
        <v>-</v>
      </c>
      <c r="D22" s="75" t="str">
        <f t="shared" si="0"/>
        <v>-</v>
      </c>
      <c r="E22" s="75" t="str">
        <f t="shared" si="0"/>
        <v>-</v>
      </c>
      <c r="F22" s="75" t="str">
        <f t="shared" si="0"/>
        <v>-</v>
      </c>
      <c r="G22" s="75" t="str">
        <f t="shared" si="0"/>
        <v>-</v>
      </c>
      <c r="H22" s="75" t="str">
        <f t="shared" si="0"/>
        <v>-</v>
      </c>
      <c r="I22" s="75" t="str">
        <f t="shared" si="0"/>
        <v>-</v>
      </c>
      <c r="J22" s="75" t="str">
        <f t="shared" si="0"/>
        <v>-</v>
      </c>
      <c r="K22" s="75" t="str">
        <f t="shared" si="0"/>
        <v>-</v>
      </c>
      <c r="L22" s="75" t="str">
        <f t="shared" si="0"/>
        <v>-</v>
      </c>
      <c r="M22" s="75" t="str">
        <f t="shared" si="0"/>
        <v>-</v>
      </c>
      <c r="N22" s="75" t="str">
        <f t="shared" si="0"/>
        <v>-</v>
      </c>
      <c r="O22" s="75" t="str">
        <f t="shared" si="0"/>
        <v>-</v>
      </c>
      <c r="P22" s="75" t="str">
        <f t="shared" si="0"/>
        <v>-</v>
      </c>
    </row>
    <row r="25" spans="1:16">
      <c r="K25" s="194" t="s">
        <v>115</v>
      </c>
      <c r="L25" s="194"/>
      <c r="M25" s="194"/>
      <c r="N25" s="194"/>
      <c r="O25" s="194"/>
      <c r="P25" s="194"/>
    </row>
  </sheetData>
  <mergeCells count="12">
    <mergeCell ref="A2:P2"/>
    <mergeCell ref="A3:P3"/>
    <mergeCell ref="A4:P4"/>
    <mergeCell ref="C5:E5"/>
    <mergeCell ref="K25:P25"/>
    <mergeCell ref="C6:F6"/>
    <mergeCell ref="A8:P8"/>
    <mergeCell ref="A5:B5"/>
    <mergeCell ref="A6:B6"/>
    <mergeCell ref="G6:I6"/>
    <mergeCell ref="J6:L6"/>
    <mergeCell ref="M6:P6"/>
  </mergeCells>
  <pageMargins left="0.25" right="0.25" top="0.75" bottom="0.75" header="0.3" footer="0.3"/>
  <pageSetup paperSize="9" fitToHeight="0"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13"/>
  <sheetViews>
    <sheetView workbookViewId="0">
      <selection activeCell="N13" sqref="N13"/>
    </sheetView>
  </sheetViews>
  <sheetFormatPr defaultRowHeight="14.4"/>
  <sheetData>
    <row r="1" spans="1:6">
      <c r="A1" t="s">
        <v>4</v>
      </c>
      <c r="C1" t="s">
        <v>11</v>
      </c>
    </row>
    <row r="2" spans="1:6">
      <c r="A2" t="s">
        <v>5</v>
      </c>
      <c r="C2" t="s">
        <v>12</v>
      </c>
      <c r="D2" t="s">
        <v>33</v>
      </c>
      <c r="E2" t="s">
        <v>20</v>
      </c>
      <c r="F2" t="s">
        <v>19</v>
      </c>
    </row>
    <row r="3" spans="1:6">
      <c r="A3" t="s">
        <v>6</v>
      </c>
      <c r="C3" t="s">
        <v>13</v>
      </c>
      <c r="D3" t="s">
        <v>34</v>
      </c>
      <c r="E3" t="s">
        <v>21</v>
      </c>
      <c r="F3" t="s">
        <v>21</v>
      </c>
    </row>
    <row r="4" spans="1:6">
      <c r="A4" t="s">
        <v>7</v>
      </c>
      <c r="C4" t="s">
        <v>14</v>
      </c>
      <c r="E4" t="s">
        <v>32</v>
      </c>
      <c r="F4" t="s">
        <v>32</v>
      </c>
    </row>
    <row r="5" spans="1:6">
      <c r="A5" t="s">
        <v>8</v>
      </c>
      <c r="C5" t="s">
        <v>15</v>
      </c>
      <c r="E5" t="s">
        <v>22</v>
      </c>
      <c r="F5" t="s">
        <v>22</v>
      </c>
    </row>
    <row r="6" spans="1:6">
      <c r="A6" t="s">
        <v>9</v>
      </c>
      <c r="C6" t="s">
        <v>16</v>
      </c>
      <c r="E6" t="s">
        <v>23</v>
      </c>
      <c r="F6" t="s">
        <v>23</v>
      </c>
    </row>
    <row r="7" spans="1:6">
      <c r="A7" t="s">
        <v>10</v>
      </c>
      <c r="E7" t="s">
        <v>25</v>
      </c>
      <c r="F7" t="s">
        <v>24</v>
      </c>
    </row>
    <row r="8" spans="1:6">
      <c r="E8" t="s">
        <v>27</v>
      </c>
      <c r="F8" t="s">
        <v>25</v>
      </c>
    </row>
    <row r="9" spans="1:6">
      <c r="E9" t="s">
        <v>28</v>
      </c>
      <c r="F9" t="s">
        <v>26</v>
      </c>
    </row>
    <row r="10" spans="1:6">
      <c r="E10" t="s">
        <v>29</v>
      </c>
      <c r="F10" t="s">
        <v>27</v>
      </c>
    </row>
    <row r="11" spans="1:6">
      <c r="E11" t="s">
        <v>30</v>
      </c>
      <c r="F11" t="s">
        <v>28</v>
      </c>
    </row>
    <row r="12" spans="1:6">
      <c r="F12" t="s">
        <v>29</v>
      </c>
    </row>
    <row r="13" spans="1:6">
      <c r="F13" t="s">
        <v>30</v>
      </c>
    </row>
  </sheetData>
  <sheetProtection algorithmName="SHA-512" hashValue="mUbWufAmWcSrS4aFVVJ/j35STpOkYI8RQQtrC4vkqMns+AmBf5/T8o04Rtm5N4JU5V32dEQBlR9f7Gg4F+7xRA==" saltValue="J9cyEPI/2pcoI3wWd7L1/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INPUT</vt:lpstr>
      <vt:lpstr>INTERNAL TEST-1  </vt:lpstr>
      <vt:lpstr>INTERNAL TEST-2</vt:lpstr>
      <vt:lpstr>ASSIGNMENT</vt:lpstr>
      <vt:lpstr>Course Exit Survey</vt:lpstr>
      <vt:lpstr>SEMESTER EXAM RESULT</vt:lpstr>
      <vt:lpstr>Direct CO Attainment</vt:lpstr>
      <vt:lpstr>CO Attainment</vt:lpstr>
      <vt:lpstr>PO Attainment</vt:lpstr>
      <vt:lpstr>LABEL DROPDOWN</vt:lpstr>
      <vt:lpstr>ASSIGNMENT!CheckRange</vt:lpstr>
      <vt:lpstr>'INTERNAL TEST-2'!CheckRange</vt:lpstr>
      <vt:lpstr>CheckRange</vt:lpstr>
      <vt:lpstr>CO</vt:lpstr>
      <vt:lpstr>KL</vt:lpstr>
      <vt:lpstr>'Course Exit Survey'!Print_Area</vt:lpstr>
      <vt:lpstr>'SEMESTER EXAM RESULT'!Print_Area</vt:lpstr>
      <vt:lpstr>ASSIGNMENT!Print_Titles</vt:lpstr>
      <vt:lpstr>'Course Exit Survey'!Print_Titles</vt:lpstr>
      <vt:lpstr>'Direct CO Attainment'!Print_Titles</vt:lpstr>
      <vt:lpstr>'INTERNAL TEST-1  '!Print_Titles</vt:lpstr>
      <vt:lpstr>'INTERNAL TEST-2'!Print_Titles</vt:lpstr>
      <vt:lpstr>'SEMESTER EXAM RESULT'!Print_Titles</vt:lpstr>
      <vt:lpstr>R_2015</vt:lpstr>
      <vt:lpstr>R_2019</vt:lpstr>
      <vt:lpstr>Regulation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 Attainment Template</dc:title>
  <dc:creator>Windows User</dc:creator>
  <cp:lastModifiedBy>Windows User</cp:lastModifiedBy>
  <cp:lastPrinted>2021-02-04T06:50:53Z</cp:lastPrinted>
  <dcterms:created xsi:type="dcterms:W3CDTF">2019-03-13T10:20:20Z</dcterms:created>
  <dcterms:modified xsi:type="dcterms:W3CDTF">2021-02-04T06:51:29Z</dcterms:modified>
</cp:coreProperties>
</file>