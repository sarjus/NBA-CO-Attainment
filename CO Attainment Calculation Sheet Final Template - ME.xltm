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0"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Survey'!$A$1:$J$135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1" i="15" l="1"/>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O52" i="15"/>
  <c r="O53" i="15"/>
  <c r="O54" i="15"/>
  <c r="O55" i="15"/>
  <c r="O56" i="15"/>
  <c r="O57" i="15"/>
  <c r="O58" i="15"/>
  <c r="O59" i="15"/>
  <c r="O60" i="15"/>
  <c r="O61" i="15"/>
  <c r="O62" i="15"/>
  <c r="O63" i="15"/>
  <c r="O64" i="15"/>
  <c r="O65" i="15"/>
  <c r="O66" i="15"/>
  <c r="O67" i="15"/>
  <c r="O68" i="15"/>
  <c r="O69" i="15"/>
  <c r="O70" i="15"/>
  <c r="O71" i="15"/>
  <c r="O72" i="15"/>
  <c r="O73" i="15"/>
  <c r="O74" i="15"/>
  <c r="O75" i="15"/>
  <c r="O76" i="15"/>
  <c r="O77" i="15"/>
  <c r="O78" i="15"/>
  <c r="O79" i="15"/>
  <c r="O80" i="15"/>
  <c r="O81" i="15"/>
  <c r="O82" i="15"/>
  <c r="O83" i="15"/>
  <c r="O84" i="15"/>
  <c r="O85" i="15"/>
  <c r="O86" i="15"/>
  <c r="O87" i="15"/>
  <c r="O88" i="15"/>
  <c r="O89" i="15"/>
  <c r="O90" i="15"/>
  <c r="O91" i="15"/>
  <c r="O92" i="15"/>
  <c r="O93" i="15"/>
  <c r="O94" i="15"/>
  <c r="O95" i="15"/>
  <c r="O96" i="15"/>
  <c r="O97" i="15"/>
  <c r="O98" i="15"/>
  <c r="O99" i="15"/>
  <c r="O100" i="15"/>
  <c r="O101" i="15"/>
  <c r="O102" i="15"/>
  <c r="O103" i="15"/>
  <c r="O104" i="15"/>
  <c r="O105" i="15"/>
  <c r="O106" i="15"/>
  <c r="O107" i="15"/>
  <c r="O108" i="15"/>
  <c r="O109" i="15"/>
  <c r="O110" i="15"/>
  <c r="O111" i="15"/>
  <c r="O112" i="15"/>
  <c r="O113" i="15"/>
  <c r="O114" i="15"/>
  <c r="O115" i="15"/>
  <c r="O116" i="15"/>
  <c r="O117" i="15"/>
  <c r="O118" i="15"/>
  <c r="O119" i="15"/>
  <c r="O120" i="15"/>
  <c r="O121" i="15"/>
  <c r="O122" i="15"/>
  <c r="O123" i="15"/>
  <c r="O124" i="15"/>
  <c r="O125" i="15"/>
  <c r="O126" i="15"/>
  <c r="O127" i="15"/>
  <c r="O128" i="15"/>
  <c r="O129" i="15"/>
  <c r="O130" i="15"/>
  <c r="O131" i="15"/>
  <c r="O132" i="15"/>
  <c r="O133" i="15"/>
  <c r="O134" i="15"/>
  <c r="O135" i="15"/>
  <c r="O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17" i="15"/>
  <c r="M118" i="15"/>
  <c r="M119" i="15"/>
  <c r="M120" i="15"/>
  <c r="M121" i="15"/>
  <c r="M122" i="15"/>
  <c r="M123" i="15"/>
  <c r="M124" i="15"/>
  <c r="M125" i="15"/>
  <c r="M126" i="15"/>
  <c r="M127" i="15"/>
  <c r="M128" i="15"/>
  <c r="M129" i="15"/>
  <c r="M130" i="15"/>
  <c r="M131" i="15"/>
  <c r="M132" i="15"/>
  <c r="M133" i="15"/>
  <c r="M134" i="15"/>
  <c r="M135" i="15"/>
  <c r="M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23" i="15"/>
  <c r="K124" i="15"/>
  <c r="K125" i="15"/>
  <c r="K126" i="15"/>
  <c r="K127" i="15"/>
  <c r="K128" i="15"/>
  <c r="K129" i="15"/>
  <c r="K130" i="15"/>
  <c r="K131" i="15"/>
  <c r="K132" i="15"/>
  <c r="K133" i="15"/>
  <c r="K134" i="15"/>
  <c r="K135" i="15"/>
  <c r="K10" i="15"/>
  <c r="I30" i="7" l="1"/>
  <c r="J30" i="7"/>
  <c r="K30" i="7"/>
  <c r="L30" i="7"/>
  <c r="M30" i="7"/>
  <c r="N30" i="7"/>
  <c r="O30" i="7"/>
  <c r="P30" i="7"/>
  <c r="Q30" i="7"/>
  <c r="R30" i="7"/>
  <c r="S30" i="7"/>
  <c r="T30" i="7"/>
  <c r="U30" i="7"/>
  <c r="V30" i="7"/>
  <c r="H30" i="7"/>
  <c r="C16" i="19" l="1"/>
  <c r="D16" i="19"/>
  <c r="E16" i="19"/>
  <c r="F16" i="19"/>
  <c r="G16" i="19"/>
  <c r="H16" i="19"/>
  <c r="I16" i="19"/>
  <c r="J16" i="19"/>
  <c r="K16" i="19"/>
  <c r="L16" i="19"/>
  <c r="M16" i="19"/>
  <c r="N16" i="19"/>
  <c r="O16" i="19"/>
  <c r="P16" i="19"/>
  <c r="C15" i="19"/>
  <c r="D15" i="19"/>
  <c r="E15" i="19"/>
  <c r="F15" i="19"/>
  <c r="G15" i="19"/>
  <c r="H15" i="19"/>
  <c r="I15" i="19"/>
  <c r="J15" i="19"/>
  <c r="K15" i="19"/>
  <c r="L15" i="19"/>
  <c r="M15" i="19"/>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C12" i="19"/>
  <c r="D12" i="19"/>
  <c r="E12" i="19"/>
  <c r="F12" i="19"/>
  <c r="G12" i="19"/>
  <c r="H12" i="19"/>
  <c r="I12" i="19"/>
  <c r="J12" i="19"/>
  <c r="K12" i="19"/>
  <c r="L12" i="19"/>
  <c r="M12" i="19"/>
  <c r="N12" i="19"/>
  <c r="O12" i="19"/>
  <c r="P12" i="19"/>
  <c r="C11" i="19"/>
  <c r="D11" i="19"/>
  <c r="E11" i="19"/>
  <c r="F11" i="19"/>
  <c r="G11" i="19"/>
  <c r="H11" i="19"/>
  <c r="I11" i="19"/>
  <c r="J11" i="19"/>
  <c r="K11" i="19"/>
  <c r="L11" i="19"/>
  <c r="M11" i="19"/>
  <c r="N11" i="19"/>
  <c r="O11" i="19"/>
  <c r="P11" i="19"/>
  <c r="B16" i="19"/>
  <c r="B15" i="19"/>
  <c r="B14" i="19"/>
  <c r="B13" i="19"/>
  <c r="B12" i="19"/>
  <c r="B11" i="19"/>
  <c r="C10" i="19"/>
  <c r="D10" i="19"/>
  <c r="E10" i="19"/>
  <c r="F10" i="19"/>
  <c r="G10" i="19"/>
  <c r="H10" i="19"/>
  <c r="I10" i="19"/>
  <c r="J10" i="19"/>
  <c r="K10" i="19"/>
  <c r="L10" i="19"/>
  <c r="M10" i="19"/>
  <c r="N10" i="19"/>
  <c r="O10" i="19"/>
  <c r="P10" i="19"/>
  <c r="B10" i="19"/>
  <c r="P9" i="19"/>
  <c r="O9" i="19"/>
  <c r="N9" i="19"/>
  <c r="O5" i="19"/>
  <c r="R123" i="15" l="1"/>
  <c r="R124" i="15"/>
  <c r="R125" i="15"/>
  <c r="R126" i="15"/>
  <c r="R127" i="15"/>
  <c r="R128" i="15"/>
  <c r="R129" i="15"/>
  <c r="R130" i="15"/>
  <c r="R131" i="15"/>
  <c r="R132" i="15"/>
  <c r="R133" i="15"/>
  <c r="R134" i="15"/>
  <c r="R135"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26"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4" i="7" l="1"/>
  <c r="G25" i="7"/>
  <c r="G26" i="7"/>
  <c r="G27" i="7"/>
  <c r="G28" i="7"/>
  <c r="G29" i="7"/>
  <c r="G23" i="7"/>
  <c r="M6" i="19" l="1"/>
  <c r="B12" i="17"/>
  <c r="B13" i="17"/>
  <c r="B14" i="17"/>
  <c r="B15" i="17"/>
  <c r="B16" i="17"/>
  <c r="B17" i="17"/>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I141" i="21"/>
  <c r="AH141" i="21"/>
  <c r="AG141" i="21"/>
  <c r="AF141" i="21"/>
  <c r="AE141" i="21"/>
  <c r="AD141" i="21"/>
  <c r="AC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T13" i="20"/>
  <c r="T12" i="20"/>
  <c r="T11" i="20"/>
  <c r="S13" i="20"/>
  <c r="S12" i="20"/>
  <c r="S11" i="20"/>
  <c r="S10" i="20"/>
  <c r="R13" i="20"/>
  <c r="R12" i="20"/>
  <c r="R11" i="20"/>
  <c r="R10" i="20"/>
  <c r="Q13" i="20"/>
  <c r="Q12" i="20"/>
  <c r="Q11" i="20"/>
  <c r="Q10" i="20"/>
  <c r="P13" i="20"/>
  <c r="P12" i="20"/>
  <c r="P11" i="20"/>
  <c r="P10" i="20"/>
  <c r="O12" i="12"/>
  <c r="O11" i="12"/>
  <c r="O10" i="12"/>
  <c r="O13" i="20"/>
  <c r="O12" i="20"/>
  <c r="O11" i="20"/>
  <c r="O10" i="20"/>
  <c r="N13" i="20"/>
  <c r="N12" i="20"/>
  <c r="N11" i="20"/>
  <c r="N10" i="20"/>
  <c r="M13" i="20"/>
  <c r="M12" i="20"/>
  <c r="M11" i="20"/>
  <c r="M10" i="20"/>
  <c r="L13" i="20"/>
  <c r="L12" i="20"/>
  <c r="L11" i="20"/>
  <c r="L10" i="20"/>
  <c r="K13" i="20"/>
  <c r="K12" i="20"/>
  <c r="K11" i="20"/>
  <c r="K10" i="20"/>
  <c r="J13" i="20"/>
  <c r="J12" i="20"/>
  <c r="J11" i="20"/>
  <c r="J10" i="20"/>
  <c r="I13" i="20"/>
  <c r="I12" i="20"/>
  <c r="I11" i="20"/>
  <c r="I10" i="20"/>
  <c r="H13" i="20"/>
  <c r="H12" i="20"/>
  <c r="H11" i="20"/>
  <c r="H10" i="20"/>
  <c r="G13" i="20"/>
  <c r="G12" i="20"/>
  <c r="G11" i="20"/>
  <c r="G10" i="20"/>
  <c r="F13" i="20"/>
  <c r="F12" i="20"/>
  <c r="F11" i="20"/>
  <c r="F10" i="20"/>
  <c r="E13" i="20"/>
  <c r="E12" i="20"/>
  <c r="E11" i="20"/>
  <c r="E10" i="20"/>
  <c r="D13" i="20"/>
  <c r="D12" i="20"/>
  <c r="D11" i="20"/>
  <c r="D10"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 i="20"/>
  <c r="AI141" i="20"/>
  <c r="AH141" i="20"/>
  <c r="AG141" i="20"/>
  <c r="AF141" i="20"/>
  <c r="AE141" i="20"/>
  <c r="AD141" i="20"/>
  <c r="AC141" i="20"/>
  <c r="U139" i="20"/>
  <c r="U138" i="20"/>
  <c r="U137" i="20"/>
  <c r="U136" i="20"/>
  <c r="U135" i="20"/>
  <c r="U134" i="20"/>
  <c r="U133" i="20"/>
  <c r="U132" i="20"/>
  <c r="U131" i="20"/>
  <c r="U130" i="20"/>
  <c r="U129" i="20"/>
  <c r="U128" i="20"/>
  <c r="U127" i="20"/>
  <c r="U126" i="20"/>
  <c r="U125" i="20"/>
  <c r="U124" i="20"/>
  <c r="U123" i="20"/>
  <c r="U122" i="20"/>
  <c r="U121" i="20"/>
  <c r="U120" i="20"/>
  <c r="U119" i="20"/>
  <c r="U118" i="20"/>
  <c r="U117" i="20"/>
  <c r="U116" i="20"/>
  <c r="U115" i="20"/>
  <c r="U114" i="20"/>
  <c r="U113" i="20"/>
  <c r="U112" i="20"/>
  <c r="U111" i="20"/>
  <c r="U110" i="20"/>
  <c r="U109" i="20"/>
  <c r="U108" i="20"/>
  <c r="U107" i="20"/>
  <c r="U106" i="20"/>
  <c r="U105" i="20"/>
  <c r="U104" i="20"/>
  <c r="U103" i="20"/>
  <c r="U102" i="20"/>
  <c r="U101" i="20"/>
  <c r="U100" i="20"/>
  <c r="U99" i="20"/>
  <c r="U98" i="20"/>
  <c r="U97" i="20"/>
  <c r="U96" i="20"/>
  <c r="U95" i="20"/>
  <c r="U94" i="20"/>
  <c r="U93" i="20"/>
  <c r="U92" i="20"/>
  <c r="U91" i="20"/>
  <c r="U90" i="20"/>
  <c r="U89" i="20"/>
  <c r="U88" i="20"/>
  <c r="U87" i="20"/>
  <c r="U86" i="20"/>
  <c r="U85" i="20"/>
  <c r="U84" i="20"/>
  <c r="U83" i="20"/>
  <c r="U82" i="20"/>
  <c r="U81" i="20"/>
  <c r="U80" i="20"/>
  <c r="U79" i="20"/>
  <c r="U78" i="20"/>
  <c r="U77" i="20"/>
  <c r="U76" i="20"/>
  <c r="U75" i="20"/>
  <c r="U74" i="20"/>
  <c r="U73" i="20"/>
  <c r="U72" i="20"/>
  <c r="U71" i="20"/>
  <c r="U70" i="20"/>
  <c r="U69" i="20"/>
  <c r="U68" i="20"/>
  <c r="U67" i="20"/>
  <c r="U66" i="20"/>
  <c r="U65" i="20"/>
  <c r="U64" i="20"/>
  <c r="U63" i="20"/>
  <c r="U62" i="20"/>
  <c r="U61" i="20"/>
  <c r="U60" i="20"/>
  <c r="U59" i="20"/>
  <c r="U58" i="20"/>
  <c r="U57" i="20"/>
  <c r="U56" i="20"/>
  <c r="U55" i="20"/>
  <c r="U54" i="20"/>
  <c r="U53" i="20"/>
  <c r="U52" i="20"/>
  <c r="U51" i="20"/>
  <c r="U50" i="20"/>
  <c r="U49" i="20"/>
  <c r="U48" i="20"/>
  <c r="U47" i="20"/>
  <c r="U46" i="20"/>
  <c r="U45" i="20"/>
  <c r="U44" i="20"/>
  <c r="U43" i="20"/>
  <c r="U42" i="20"/>
  <c r="U41" i="20"/>
  <c r="U40" i="20"/>
  <c r="U39" i="20"/>
  <c r="U38" i="20"/>
  <c r="U37" i="20"/>
  <c r="U36" i="20"/>
  <c r="U35" i="20"/>
  <c r="U34" i="20"/>
  <c r="U33" i="20"/>
  <c r="U32" i="20"/>
  <c r="U31" i="20"/>
  <c r="U30" i="20"/>
  <c r="U29" i="20"/>
  <c r="U28" i="20"/>
  <c r="U27" i="20"/>
  <c r="U26" i="20"/>
  <c r="U25" i="20"/>
  <c r="U24" i="20"/>
  <c r="U23" i="20"/>
  <c r="U22" i="20"/>
  <c r="U21" i="20"/>
  <c r="U20" i="20"/>
  <c r="U19" i="20"/>
  <c r="U18" i="20"/>
  <c r="U17" i="20"/>
  <c r="U16" i="20"/>
  <c r="U15" i="20"/>
  <c r="U14" i="20"/>
  <c r="T10" i="20"/>
  <c r="A9" i="20"/>
  <c r="R7" i="20"/>
  <c r="C7" i="20"/>
  <c r="R6" i="20"/>
  <c r="H6" i="20"/>
  <c r="C6" i="20"/>
  <c r="A2" i="20"/>
  <c r="AB30" i="21" l="1"/>
  <c r="AI30" i="21" s="1"/>
  <c r="U11" i="21"/>
  <c r="Z16" i="21"/>
  <c r="AG16" i="21" s="1"/>
  <c r="Y21" i="21"/>
  <c r="AF21" i="21" s="1"/>
  <c r="W23" i="21"/>
  <c r="AD23" i="21" s="1"/>
  <c r="X26" i="21"/>
  <c r="AE26" i="21" s="1"/>
  <c r="Y29" i="21"/>
  <c r="AF29" i="21" s="1"/>
  <c r="V10" i="21"/>
  <c r="AA15" i="21"/>
  <c r="AH15" i="21" s="1"/>
  <c r="AB18" i="21"/>
  <c r="AI18" i="21" s="1"/>
  <c r="V20" i="21"/>
  <c r="AC20" i="21" s="1"/>
  <c r="AA23" i="21"/>
  <c r="AH23" i="21" s="1"/>
  <c r="AB26" i="21"/>
  <c r="AI26" i="21" s="1"/>
  <c r="V28" i="21"/>
  <c r="AC28" i="21" s="1"/>
  <c r="V9" i="21"/>
  <c r="Z10" i="21"/>
  <c r="X14" i="21"/>
  <c r="AE14" i="21" s="1"/>
  <c r="Y17" i="21"/>
  <c r="AF17" i="21" s="1"/>
  <c r="W19" i="21"/>
  <c r="AD19" i="21" s="1"/>
  <c r="Z20" i="21"/>
  <c r="AG20" i="21" s="1"/>
  <c r="X22" i="21"/>
  <c r="AE22" i="21" s="1"/>
  <c r="W27" i="21"/>
  <c r="AD27" i="21" s="1"/>
  <c r="Z28" i="21"/>
  <c r="AG28" i="21" s="1"/>
  <c r="X30" i="21"/>
  <c r="AE30" i="21" s="1"/>
  <c r="Z9" i="21"/>
  <c r="AB14" i="21"/>
  <c r="AI14" i="21" s="1"/>
  <c r="V16" i="21"/>
  <c r="AC16" i="21" s="1"/>
  <c r="AA19" i="21"/>
  <c r="AH19" i="21" s="1"/>
  <c r="AB22" i="21"/>
  <c r="AI22" i="21" s="1"/>
  <c r="V24" i="21"/>
  <c r="AC24" i="21" s="1"/>
  <c r="AA27" i="21"/>
  <c r="AH27" i="21" s="1"/>
  <c r="AA10" i="21"/>
  <c r="AA9" i="21"/>
  <c r="AA139" i="21"/>
  <c r="AH139" i="21" s="1"/>
  <c r="W127" i="21"/>
  <c r="AD127" i="21" s="1"/>
  <c r="W119" i="21"/>
  <c r="AD119" i="21" s="1"/>
  <c r="V108" i="21"/>
  <c r="AC108" i="21" s="1"/>
  <c r="AA103" i="21"/>
  <c r="AH103" i="21" s="1"/>
  <c r="W97" i="21"/>
  <c r="AD97" i="21" s="1"/>
  <c r="W94" i="21"/>
  <c r="AD94" i="21" s="1"/>
  <c r="W89" i="21"/>
  <c r="AD89" i="21" s="1"/>
  <c r="Y84" i="21"/>
  <c r="AF84" i="21" s="1"/>
  <c r="W78" i="21"/>
  <c r="AD78" i="21" s="1"/>
  <c r="W73" i="21"/>
  <c r="AD73" i="21" s="1"/>
  <c r="W70" i="21"/>
  <c r="AD70" i="21" s="1"/>
  <c r="X64" i="21"/>
  <c r="AE64" i="21" s="1"/>
  <c r="AA61" i="21"/>
  <c r="AH61" i="21" s="1"/>
  <c r="AB59" i="21"/>
  <c r="AI59" i="21" s="1"/>
  <c r="AA57" i="21"/>
  <c r="AH57" i="21" s="1"/>
  <c r="AB55" i="21"/>
  <c r="AI55" i="21" s="1"/>
  <c r="V54" i="21"/>
  <c r="AC54" i="21" s="1"/>
  <c r="AB51" i="21"/>
  <c r="AI51" i="21" s="1"/>
  <c r="V50" i="21"/>
  <c r="AC50" i="21" s="1"/>
  <c r="X48" i="21"/>
  <c r="AE48" i="21" s="1"/>
  <c r="AA45" i="21"/>
  <c r="AH45" i="21" s="1"/>
  <c r="AB43" i="21"/>
  <c r="AI43" i="21" s="1"/>
  <c r="AA41" i="21"/>
  <c r="AH41" i="21" s="1"/>
  <c r="AA40" i="21"/>
  <c r="AH40" i="21" s="1"/>
  <c r="AA39" i="21"/>
  <c r="AH39" i="21" s="1"/>
  <c r="AB38" i="21"/>
  <c r="AI38" i="21" s="1"/>
  <c r="Z36" i="21"/>
  <c r="AG36" i="21" s="1"/>
  <c r="W35" i="21"/>
  <c r="AD35" i="21" s="1"/>
  <c r="AB34" i="21"/>
  <c r="AI34" i="21" s="1"/>
  <c r="Z32" i="21"/>
  <c r="AG32" i="21" s="1"/>
  <c r="AA31" i="21"/>
  <c r="AH31" i="21" s="1"/>
  <c r="W10" i="21"/>
  <c r="W9" i="21"/>
  <c r="X138" i="21"/>
  <c r="AE138" i="21" s="1"/>
  <c r="Z120" i="21"/>
  <c r="AG120" i="21" s="1"/>
  <c r="AB113" i="21"/>
  <c r="AI113" i="21" s="1"/>
  <c r="AA102" i="21"/>
  <c r="AH102" i="21" s="1"/>
  <c r="Y100" i="21"/>
  <c r="AF100" i="21" s="1"/>
  <c r="Y92" i="21"/>
  <c r="AF92" i="21" s="1"/>
  <c r="W86" i="21"/>
  <c r="AD86" i="21" s="1"/>
  <c r="W81" i="21"/>
  <c r="AD81" i="21" s="1"/>
  <c r="Y76" i="21"/>
  <c r="AF76" i="21" s="1"/>
  <c r="Y68" i="21"/>
  <c r="AF68" i="21" s="1"/>
  <c r="AB65" i="21"/>
  <c r="AI65" i="21" s="1"/>
  <c r="AB63" i="21"/>
  <c r="AI63" i="21" s="1"/>
  <c r="V62" i="21"/>
  <c r="AC62" i="21" s="1"/>
  <c r="X60" i="21"/>
  <c r="AE60" i="21" s="1"/>
  <c r="V58" i="21"/>
  <c r="AC58" i="21" s="1"/>
  <c r="X56" i="21"/>
  <c r="AE56" i="21" s="1"/>
  <c r="AA53" i="21"/>
  <c r="AH53" i="21" s="1"/>
  <c r="X52" i="21"/>
  <c r="AE52" i="21" s="1"/>
  <c r="AA49" i="21"/>
  <c r="AH49" i="21" s="1"/>
  <c r="AB47" i="21"/>
  <c r="AI47" i="21" s="1"/>
  <c r="V46" i="21"/>
  <c r="AC46" i="21" s="1"/>
  <c r="X44" i="21"/>
  <c r="AE44" i="21" s="1"/>
  <c r="V42" i="21"/>
  <c r="AC42" i="21" s="1"/>
  <c r="V40" i="21"/>
  <c r="AC40" i="21" s="1"/>
  <c r="W39" i="21"/>
  <c r="AD39" i="21" s="1"/>
  <c r="X38" i="21"/>
  <c r="AE38" i="21" s="1"/>
  <c r="Y37" i="21"/>
  <c r="AF37" i="21" s="1"/>
  <c r="V36" i="21"/>
  <c r="AC36" i="21" s="1"/>
  <c r="AA35" i="21"/>
  <c r="AH35" i="21" s="1"/>
  <c r="X34" i="21"/>
  <c r="AE34" i="21" s="1"/>
  <c r="Y33" i="21"/>
  <c r="AF33" i="21" s="1"/>
  <c r="V32" i="21"/>
  <c r="AC32" i="21" s="1"/>
  <c r="W31" i="21"/>
  <c r="AD31" i="21" s="1"/>
  <c r="W15" i="21"/>
  <c r="AD15" i="21" s="1"/>
  <c r="X18" i="21"/>
  <c r="AE18" i="21" s="1"/>
  <c r="Z24" i="21"/>
  <c r="AG24" i="21" s="1"/>
  <c r="Y25" i="21"/>
  <c r="AF25" i="21" s="1"/>
  <c r="Z139" i="21"/>
  <c r="AG139" i="21" s="1"/>
  <c r="V139" i="21"/>
  <c r="AC139" i="21" s="1"/>
  <c r="AA138" i="21"/>
  <c r="AH138" i="21" s="1"/>
  <c r="W138" i="21"/>
  <c r="AD138" i="21" s="1"/>
  <c r="AB137" i="21"/>
  <c r="AI137" i="21" s="1"/>
  <c r="X137" i="21"/>
  <c r="AE137" i="21" s="1"/>
  <c r="Y136" i="21"/>
  <c r="AF136" i="21" s="1"/>
  <c r="Z135" i="21"/>
  <c r="AG135" i="21" s="1"/>
  <c r="V135" i="21"/>
  <c r="AC135" i="21" s="1"/>
  <c r="AA134" i="21"/>
  <c r="AH134" i="21" s="1"/>
  <c r="W134" i="21"/>
  <c r="AD134" i="21" s="1"/>
  <c r="AB133" i="21"/>
  <c r="AI133" i="21" s="1"/>
  <c r="X133" i="21"/>
  <c r="AE133" i="21" s="1"/>
  <c r="Y132" i="21"/>
  <c r="AF132" i="21" s="1"/>
  <c r="Z131" i="21"/>
  <c r="AG131" i="21" s="1"/>
  <c r="V131" i="21"/>
  <c r="AC131" i="21" s="1"/>
  <c r="AA130" i="21"/>
  <c r="AH130" i="21" s="1"/>
  <c r="W130" i="21"/>
  <c r="AD130" i="21" s="1"/>
  <c r="AB129" i="21"/>
  <c r="AI129" i="21" s="1"/>
  <c r="X129" i="21"/>
  <c r="AE129" i="21" s="1"/>
  <c r="Y128" i="21"/>
  <c r="AF128" i="21" s="1"/>
  <c r="Z127" i="21"/>
  <c r="AG127" i="21" s="1"/>
  <c r="V127" i="21"/>
  <c r="AC127" i="21" s="1"/>
  <c r="AA126" i="21"/>
  <c r="AH126" i="21" s="1"/>
  <c r="W126" i="21"/>
  <c r="AD126" i="21" s="1"/>
  <c r="AB125" i="21"/>
  <c r="AI125" i="21" s="1"/>
  <c r="X125" i="21"/>
  <c r="AE125" i="21" s="1"/>
  <c r="Y124" i="21"/>
  <c r="AF124" i="21" s="1"/>
  <c r="Z123" i="21"/>
  <c r="AG123" i="21" s="1"/>
  <c r="V123" i="21"/>
  <c r="AC123" i="21" s="1"/>
  <c r="AA122" i="21"/>
  <c r="AH122" i="21" s="1"/>
  <c r="W122" i="21"/>
  <c r="AD122" i="21" s="1"/>
  <c r="AB121" i="21"/>
  <c r="AI121" i="21" s="1"/>
  <c r="X121" i="21"/>
  <c r="AE121" i="21" s="1"/>
  <c r="Y120" i="21"/>
  <c r="AF120" i="21" s="1"/>
  <c r="Y139" i="21"/>
  <c r="AF139" i="21" s="1"/>
  <c r="Z138" i="21"/>
  <c r="AG138" i="21" s="1"/>
  <c r="V138" i="21"/>
  <c r="AC138" i="21" s="1"/>
  <c r="AA137" i="21"/>
  <c r="AH137" i="21" s="1"/>
  <c r="W137" i="21"/>
  <c r="AD137" i="21" s="1"/>
  <c r="AB136" i="21"/>
  <c r="AI136" i="21" s="1"/>
  <c r="X136" i="21"/>
  <c r="AE136" i="21" s="1"/>
  <c r="Y135" i="21"/>
  <c r="AF135" i="21" s="1"/>
  <c r="Z134" i="21"/>
  <c r="AG134" i="21" s="1"/>
  <c r="V134" i="21"/>
  <c r="AC134" i="21" s="1"/>
  <c r="AA133" i="21"/>
  <c r="AH133" i="21" s="1"/>
  <c r="W133" i="21"/>
  <c r="AD133" i="21" s="1"/>
  <c r="AB132" i="21"/>
  <c r="AI132" i="21" s="1"/>
  <c r="X132" i="21"/>
  <c r="AE132" i="21" s="1"/>
  <c r="Y131" i="21"/>
  <c r="AF131" i="21" s="1"/>
  <c r="Z130" i="21"/>
  <c r="AG130" i="21" s="1"/>
  <c r="V130" i="21"/>
  <c r="AC130" i="21" s="1"/>
  <c r="AA129" i="21"/>
  <c r="AH129" i="21" s="1"/>
  <c r="W129" i="21"/>
  <c r="AD129" i="21" s="1"/>
  <c r="AB128" i="21"/>
  <c r="AI128" i="21" s="1"/>
  <c r="X128" i="21"/>
  <c r="AE128" i="21" s="1"/>
  <c r="Y127" i="21"/>
  <c r="AF127" i="21" s="1"/>
  <c r="Z126" i="21"/>
  <c r="AG126" i="21" s="1"/>
  <c r="V126" i="21"/>
  <c r="AC126" i="21" s="1"/>
  <c r="AA125" i="21"/>
  <c r="AH125" i="21" s="1"/>
  <c r="W125" i="21"/>
  <c r="AD125" i="21" s="1"/>
  <c r="AB124" i="21"/>
  <c r="AI124" i="21" s="1"/>
  <c r="X124" i="21"/>
  <c r="AE124" i="21" s="1"/>
  <c r="Y123" i="21"/>
  <c r="AF123" i="21" s="1"/>
  <c r="Z122" i="21"/>
  <c r="AG122" i="21" s="1"/>
  <c r="V122" i="21"/>
  <c r="AC122" i="21" s="1"/>
  <c r="AA121" i="21"/>
  <c r="AH121" i="21" s="1"/>
  <c r="W121" i="21"/>
  <c r="AD121" i="21" s="1"/>
  <c r="AB120" i="21"/>
  <c r="AI120" i="21" s="1"/>
  <c r="X120" i="21"/>
  <c r="AE120" i="21" s="1"/>
  <c r="Y119" i="21"/>
  <c r="AF119" i="21" s="1"/>
  <c r="Z118" i="21"/>
  <c r="AG118" i="21" s="1"/>
  <c r="V118" i="21"/>
  <c r="AC118" i="21" s="1"/>
  <c r="AB139" i="21"/>
  <c r="AI139" i="21" s="1"/>
  <c r="X139" i="21"/>
  <c r="AE139" i="21" s="1"/>
  <c r="Y138" i="21"/>
  <c r="AF138" i="21" s="1"/>
  <c r="Z137" i="21"/>
  <c r="AG137" i="21" s="1"/>
  <c r="V137" i="21"/>
  <c r="AC137" i="21" s="1"/>
  <c r="AA136" i="21"/>
  <c r="AH136" i="21" s="1"/>
  <c r="W136" i="21"/>
  <c r="AD136" i="21" s="1"/>
  <c r="AB135" i="21"/>
  <c r="AI135" i="21" s="1"/>
  <c r="X135" i="21"/>
  <c r="AE135" i="21" s="1"/>
  <c r="Y134" i="21"/>
  <c r="AF134" i="21" s="1"/>
  <c r="Z133" i="21"/>
  <c r="AG133" i="21" s="1"/>
  <c r="V133" i="21"/>
  <c r="AC133" i="21" s="1"/>
  <c r="AA132" i="21"/>
  <c r="AH132" i="21" s="1"/>
  <c r="W132" i="21"/>
  <c r="AD132" i="21" s="1"/>
  <c r="AB131" i="21"/>
  <c r="AI131" i="21" s="1"/>
  <c r="X131" i="21"/>
  <c r="AE131" i="21" s="1"/>
  <c r="Y130" i="21"/>
  <c r="AF130" i="21" s="1"/>
  <c r="Z129" i="21"/>
  <c r="AG129" i="21" s="1"/>
  <c r="V129" i="21"/>
  <c r="AC129" i="21" s="1"/>
  <c r="AA128" i="21"/>
  <c r="AH128" i="21" s="1"/>
  <c r="W128" i="21"/>
  <c r="AD128" i="21" s="1"/>
  <c r="AB127" i="21"/>
  <c r="AI127" i="21" s="1"/>
  <c r="X127" i="21"/>
  <c r="AE127" i="21" s="1"/>
  <c r="Y126" i="21"/>
  <c r="AF126" i="21" s="1"/>
  <c r="Z125" i="21"/>
  <c r="AG125" i="21" s="1"/>
  <c r="V125" i="21"/>
  <c r="AC125" i="21" s="1"/>
  <c r="AA124" i="21"/>
  <c r="AH124" i="21" s="1"/>
  <c r="W124" i="21"/>
  <c r="AD124" i="21" s="1"/>
  <c r="AB123" i="21"/>
  <c r="AI123" i="21" s="1"/>
  <c r="X123" i="21"/>
  <c r="AE123" i="21" s="1"/>
  <c r="Y122" i="21"/>
  <c r="AF122" i="21" s="1"/>
  <c r="Z121" i="21"/>
  <c r="AG121" i="21" s="1"/>
  <c r="V121" i="21"/>
  <c r="AC121" i="21" s="1"/>
  <c r="AA120" i="21"/>
  <c r="AH120" i="21" s="1"/>
  <c r="W120" i="21"/>
  <c r="AD120" i="21" s="1"/>
  <c r="AB119" i="21"/>
  <c r="AI119" i="21" s="1"/>
  <c r="X119" i="21"/>
  <c r="AE119" i="21" s="1"/>
  <c r="Y118" i="21"/>
  <c r="AF118" i="21" s="1"/>
  <c r="W139" i="21"/>
  <c r="AD139" i="21" s="1"/>
  <c r="Y137" i="21"/>
  <c r="AF137" i="21" s="1"/>
  <c r="X134" i="21"/>
  <c r="AE134" i="21" s="1"/>
  <c r="Z132" i="21"/>
  <c r="AG132" i="21" s="1"/>
  <c r="W131" i="21"/>
  <c r="AD131" i="21" s="1"/>
  <c r="Y129" i="21"/>
  <c r="AF129" i="21" s="1"/>
  <c r="X126" i="21"/>
  <c r="AE126" i="21" s="1"/>
  <c r="Z124" i="21"/>
  <c r="AG124" i="21" s="1"/>
  <c r="W123" i="21"/>
  <c r="AD123" i="21" s="1"/>
  <c r="Y121" i="21"/>
  <c r="AF121" i="21" s="1"/>
  <c r="V119" i="21"/>
  <c r="AC119" i="21" s="1"/>
  <c r="AA118" i="21"/>
  <c r="AH118" i="21" s="1"/>
  <c r="AA117" i="21"/>
  <c r="AH117" i="21" s="1"/>
  <c r="W117" i="21"/>
  <c r="AD117" i="21" s="1"/>
  <c r="AB116" i="21"/>
  <c r="AI116" i="21" s="1"/>
  <c r="X116" i="21"/>
  <c r="AE116" i="21" s="1"/>
  <c r="Y115" i="21"/>
  <c r="AF115" i="21" s="1"/>
  <c r="Z114" i="21"/>
  <c r="AG114" i="21" s="1"/>
  <c r="V114" i="21"/>
  <c r="AC114" i="21" s="1"/>
  <c r="AA113" i="21"/>
  <c r="AH113" i="21" s="1"/>
  <c r="W113" i="21"/>
  <c r="AD113" i="21" s="1"/>
  <c r="AB112" i="21"/>
  <c r="AI112" i="21" s="1"/>
  <c r="X112" i="21"/>
  <c r="AE112" i="21" s="1"/>
  <c r="Y111" i="21"/>
  <c r="AF111" i="21" s="1"/>
  <c r="Z110" i="21"/>
  <c r="AG110" i="21" s="1"/>
  <c r="V110" i="21"/>
  <c r="AC110" i="21" s="1"/>
  <c r="AA109" i="21"/>
  <c r="AH109" i="21" s="1"/>
  <c r="W109" i="21"/>
  <c r="AD109" i="21" s="1"/>
  <c r="AB108" i="21"/>
  <c r="AI108" i="21" s="1"/>
  <c r="X108" i="21"/>
  <c r="AE108" i="21" s="1"/>
  <c r="Y107" i="21"/>
  <c r="AF107" i="21" s="1"/>
  <c r="Z106" i="21"/>
  <c r="AG106" i="21" s="1"/>
  <c r="V106" i="21"/>
  <c r="AC106" i="21" s="1"/>
  <c r="AA105" i="21"/>
  <c r="AH105" i="21" s="1"/>
  <c r="W105" i="21"/>
  <c r="AD105" i="21" s="1"/>
  <c r="AB104" i="21"/>
  <c r="AI104" i="21" s="1"/>
  <c r="X104" i="21"/>
  <c r="AE104" i="21" s="1"/>
  <c r="Y103" i="21"/>
  <c r="AF103" i="21" s="1"/>
  <c r="Z102" i="21"/>
  <c r="AG102" i="21" s="1"/>
  <c r="V102" i="21"/>
  <c r="AC102" i="21" s="1"/>
  <c r="AB138" i="21"/>
  <c r="AI138" i="21" s="1"/>
  <c r="AA135" i="21"/>
  <c r="AH135" i="21" s="1"/>
  <c r="V132" i="21"/>
  <c r="AC132" i="21" s="1"/>
  <c r="AB130" i="21"/>
  <c r="AI130" i="21" s="1"/>
  <c r="AA127" i="21"/>
  <c r="AH127" i="21" s="1"/>
  <c r="V124" i="21"/>
  <c r="AC124" i="21" s="1"/>
  <c r="AB122" i="21"/>
  <c r="AI122" i="21" s="1"/>
  <c r="AA119" i="21"/>
  <c r="AH119" i="21" s="1"/>
  <c r="X118" i="21"/>
  <c r="AE118" i="21" s="1"/>
  <c r="Z117" i="21"/>
  <c r="AG117" i="21" s="1"/>
  <c r="V117" i="21"/>
  <c r="AC117" i="21" s="1"/>
  <c r="AA116" i="21"/>
  <c r="AH116" i="21" s="1"/>
  <c r="W116" i="21"/>
  <c r="AD116" i="21" s="1"/>
  <c r="AB115" i="21"/>
  <c r="AI115" i="21" s="1"/>
  <c r="X115" i="21"/>
  <c r="AE115" i="21" s="1"/>
  <c r="Y114" i="21"/>
  <c r="AF114" i="21" s="1"/>
  <c r="Z113" i="21"/>
  <c r="AG113" i="21" s="1"/>
  <c r="V113" i="21"/>
  <c r="AC113" i="21" s="1"/>
  <c r="AA112" i="21"/>
  <c r="AH112" i="21" s="1"/>
  <c r="W112" i="21"/>
  <c r="AD112" i="21" s="1"/>
  <c r="AB111" i="21"/>
  <c r="AI111" i="21" s="1"/>
  <c r="X111" i="21"/>
  <c r="AE111" i="21" s="1"/>
  <c r="Y110" i="21"/>
  <c r="AF110" i="21" s="1"/>
  <c r="Z109" i="21"/>
  <c r="AG109" i="21" s="1"/>
  <c r="V109" i="21"/>
  <c r="AC109" i="21" s="1"/>
  <c r="AA108" i="21"/>
  <c r="AH108" i="21" s="1"/>
  <c r="W108" i="21"/>
  <c r="AD108" i="21" s="1"/>
  <c r="AB107" i="21"/>
  <c r="AI107" i="21" s="1"/>
  <c r="X107" i="21"/>
  <c r="AE107" i="21" s="1"/>
  <c r="Y106" i="21"/>
  <c r="AF106" i="21" s="1"/>
  <c r="Z105" i="21"/>
  <c r="AG105" i="21" s="1"/>
  <c r="V105" i="21"/>
  <c r="AC105" i="21" s="1"/>
  <c r="AA104" i="21"/>
  <c r="AH104" i="21" s="1"/>
  <c r="W104" i="21"/>
  <c r="AD104" i="21" s="1"/>
  <c r="AB103" i="21"/>
  <c r="AI103" i="21" s="1"/>
  <c r="X103" i="21"/>
  <c r="AE103" i="21" s="1"/>
  <c r="Y102" i="21"/>
  <c r="AF102" i="21" s="1"/>
  <c r="Z101" i="21"/>
  <c r="AG101" i="21" s="1"/>
  <c r="V136" i="21"/>
  <c r="AC136" i="21" s="1"/>
  <c r="AA131" i="21"/>
  <c r="AH131" i="21" s="1"/>
  <c r="X130" i="21"/>
  <c r="AE130" i="21" s="1"/>
  <c r="AB126" i="21"/>
  <c r="AI126" i="21" s="1"/>
  <c r="Y125" i="21"/>
  <c r="AF125" i="21" s="1"/>
  <c r="V120" i="21"/>
  <c r="AC120" i="21" s="1"/>
  <c r="W118" i="21"/>
  <c r="AD118" i="21" s="1"/>
  <c r="Y117" i="21"/>
  <c r="AF117" i="21" s="1"/>
  <c r="Z115" i="21"/>
  <c r="AG115" i="21" s="1"/>
  <c r="W114" i="21"/>
  <c r="AD114" i="21" s="1"/>
  <c r="Y113" i="21"/>
  <c r="AF113" i="21" s="1"/>
  <c r="Z111" i="21"/>
  <c r="AG111" i="21" s="1"/>
  <c r="W110" i="21"/>
  <c r="AD110" i="21" s="1"/>
  <c r="Y109" i="21"/>
  <c r="AF109" i="21" s="1"/>
  <c r="Z107" i="21"/>
  <c r="AG107" i="21" s="1"/>
  <c r="W106" i="21"/>
  <c r="AD106" i="21" s="1"/>
  <c r="Y105" i="21"/>
  <c r="AF105" i="21" s="1"/>
  <c r="Z103" i="21"/>
  <c r="AG103" i="21" s="1"/>
  <c r="W102" i="21"/>
  <c r="AD102" i="21" s="1"/>
  <c r="AA101" i="21"/>
  <c r="AH101" i="21" s="1"/>
  <c r="V101" i="21"/>
  <c r="AC101" i="21" s="1"/>
  <c r="AA100" i="21"/>
  <c r="AH100" i="21" s="1"/>
  <c r="W100" i="21"/>
  <c r="AD100" i="21" s="1"/>
  <c r="AB99" i="21"/>
  <c r="AI99" i="21" s="1"/>
  <c r="X99" i="21"/>
  <c r="AE99" i="21" s="1"/>
  <c r="Y98" i="21"/>
  <c r="AF98" i="21" s="1"/>
  <c r="Z97" i="21"/>
  <c r="AG97" i="21" s="1"/>
  <c r="V97" i="21"/>
  <c r="AC97" i="21" s="1"/>
  <c r="AA96" i="21"/>
  <c r="AH96" i="21" s="1"/>
  <c r="W96" i="21"/>
  <c r="AD96" i="21" s="1"/>
  <c r="AB95" i="21"/>
  <c r="AI95" i="21" s="1"/>
  <c r="X95" i="21"/>
  <c r="AE95" i="21" s="1"/>
  <c r="Y94" i="21"/>
  <c r="AF94" i="21" s="1"/>
  <c r="Z93" i="21"/>
  <c r="AG93" i="21" s="1"/>
  <c r="V93" i="21"/>
  <c r="AC93" i="21" s="1"/>
  <c r="AA92" i="21"/>
  <c r="AH92" i="21" s="1"/>
  <c r="W92" i="21"/>
  <c r="AD92" i="21" s="1"/>
  <c r="AB91" i="21"/>
  <c r="AI91" i="21" s="1"/>
  <c r="X91" i="21"/>
  <c r="AE91" i="21" s="1"/>
  <c r="Y90" i="21"/>
  <c r="AF90" i="21" s="1"/>
  <c r="Z89" i="21"/>
  <c r="AG89" i="21" s="1"/>
  <c r="V89" i="21"/>
  <c r="AC89" i="21" s="1"/>
  <c r="AA88" i="21"/>
  <c r="AH88" i="21" s="1"/>
  <c r="W88" i="21"/>
  <c r="AD88" i="21" s="1"/>
  <c r="AB87" i="21"/>
  <c r="AI87" i="21" s="1"/>
  <c r="X87" i="21"/>
  <c r="AE87" i="21" s="1"/>
  <c r="Y86" i="21"/>
  <c r="AF86" i="21" s="1"/>
  <c r="Z85" i="21"/>
  <c r="AG85" i="21" s="1"/>
  <c r="V85" i="21"/>
  <c r="AC85" i="21" s="1"/>
  <c r="AA84" i="21"/>
  <c r="AH84" i="21" s="1"/>
  <c r="W84" i="21"/>
  <c r="AD84" i="21" s="1"/>
  <c r="AB83" i="21"/>
  <c r="AI83" i="21" s="1"/>
  <c r="X83" i="21"/>
  <c r="AE83" i="21" s="1"/>
  <c r="Y82" i="21"/>
  <c r="AF82" i="21" s="1"/>
  <c r="Z81" i="21"/>
  <c r="AG81" i="21" s="1"/>
  <c r="V81" i="21"/>
  <c r="AC81" i="21" s="1"/>
  <c r="AA80" i="21"/>
  <c r="AH80" i="21" s="1"/>
  <c r="W80" i="21"/>
  <c r="AD80" i="21" s="1"/>
  <c r="AB79" i="21"/>
  <c r="AI79" i="21" s="1"/>
  <c r="X79" i="21"/>
  <c r="AE79" i="21" s="1"/>
  <c r="Y78" i="21"/>
  <c r="AF78" i="21" s="1"/>
  <c r="Z77" i="21"/>
  <c r="AG77" i="21" s="1"/>
  <c r="V77" i="21"/>
  <c r="AC77" i="21" s="1"/>
  <c r="AA76" i="21"/>
  <c r="AH76" i="21" s="1"/>
  <c r="W76" i="21"/>
  <c r="AD76" i="21" s="1"/>
  <c r="AB75" i="21"/>
  <c r="AI75" i="21" s="1"/>
  <c r="X75" i="21"/>
  <c r="AE75" i="21" s="1"/>
  <c r="Y74" i="21"/>
  <c r="AF74" i="21" s="1"/>
  <c r="Z73" i="21"/>
  <c r="AG73" i="21" s="1"/>
  <c r="V73" i="21"/>
  <c r="AC73" i="21" s="1"/>
  <c r="AA72" i="21"/>
  <c r="AH72" i="21" s="1"/>
  <c r="W72" i="21"/>
  <c r="AD72" i="21" s="1"/>
  <c r="AB71" i="21"/>
  <c r="AI71" i="21" s="1"/>
  <c r="X71" i="21"/>
  <c r="AE71" i="21" s="1"/>
  <c r="Y70" i="21"/>
  <c r="AF70" i="21" s="1"/>
  <c r="Z69" i="21"/>
  <c r="AG69" i="21" s="1"/>
  <c r="V69" i="21"/>
  <c r="AC69" i="21" s="1"/>
  <c r="AA68" i="21"/>
  <c r="AH68" i="21" s="1"/>
  <c r="W68" i="21"/>
  <c r="AD68" i="21" s="1"/>
  <c r="AB67" i="21"/>
  <c r="AI67" i="21" s="1"/>
  <c r="X67" i="21"/>
  <c r="AE67" i="21" s="1"/>
  <c r="Y66" i="21"/>
  <c r="AF66" i="21" s="1"/>
  <c r="Z65" i="21"/>
  <c r="AG65" i="21" s="1"/>
  <c r="W135" i="21"/>
  <c r="AD135" i="21" s="1"/>
  <c r="Z128" i="21"/>
  <c r="AG128" i="21" s="1"/>
  <c r="Z119" i="21"/>
  <c r="AG119" i="21" s="1"/>
  <c r="X117" i="21"/>
  <c r="AE117" i="21" s="1"/>
  <c r="Z116" i="21"/>
  <c r="AG116" i="21" s="1"/>
  <c r="W115" i="21"/>
  <c r="AD115" i="21" s="1"/>
  <c r="AB114" i="21"/>
  <c r="AI114" i="21" s="1"/>
  <c r="X113" i="21"/>
  <c r="AE113" i="21" s="1"/>
  <c r="Z112" i="21"/>
  <c r="AG112" i="21" s="1"/>
  <c r="W111" i="21"/>
  <c r="AD111" i="21" s="1"/>
  <c r="AB110" i="21"/>
  <c r="AI110" i="21" s="1"/>
  <c r="X109" i="21"/>
  <c r="AE109" i="21" s="1"/>
  <c r="Z108" i="21"/>
  <c r="AG108" i="21" s="1"/>
  <c r="W107" i="21"/>
  <c r="AD107" i="21" s="1"/>
  <c r="AB106" i="21"/>
  <c r="AI106" i="21" s="1"/>
  <c r="X105" i="21"/>
  <c r="AE105" i="21" s="1"/>
  <c r="Z104" i="21"/>
  <c r="AG104" i="21" s="1"/>
  <c r="W103" i="21"/>
  <c r="AD103" i="21" s="1"/>
  <c r="AB102" i="21"/>
  <c r="AI102" i="21" s="1"/>
  <c r="Y101" i="21"/>
  <c r="AF101" i="21" s="1"/>
  <c r="Z100" i="21"/>
  <c r="AG100" i="21" s="1"/>
  <c r="V100" i="21"/>
  <c r="AC100" i="21" s="1"/>
  <c r="AA99" i="21"/>
  <c r="AH99" i="21" s="1"/>
  <c r="W99" i="21"/>
  <c r="AD99" i="21" s="1"/>
  <c r="AB98" i="21"/>
  <c r="AI98" i="21" s="1"/>
  <c r="X98" i="21"/>
  <c r="AE98" i="21" s="1"/>
  <c r="Y97" i="21"/>
  <c r="AF97" i="21" s="1"/>
  <c r="Z96" i="21"/>
  <c r="AG96" i="21" s="1"/>
  <c r="V96" i="21"/>
  <c r="AC96" i="21" s="1"/>
  <c r="AA95" i="21"/>
  <c r="AH95" i="21" s="1"/>
  <c r="W95" i="21"/>
  <c r="AD95" i="21" s="1"/>
  <c r="AB94" i="21"/>
  <c r="AI94" i="21" s="1"/>
  <c r="X94" i="21"/>
  <c r="AE94" i="21" s="1"/>
  <c r="Y93" i="21"/>
  <c r="AF93" i="21" s="1"/>
  <c r="Z92" i="21"/>
  <c r="AG92" i="21" s="1"/>
  <c r="V92" i="21"/>
  <c r="AC92" i="21" s="1"/>
  <c r="AA91" i="21"/>
  <c r="AH91" i="21" s="1"/>
  <c r="W91" i="21"/>
  <c r="AD91" i="21" s="1"/>
  <c r="AB90" i="21"/>
  <c r="AI90" i="21" s="1"/>
  <c r="X90" i="21"/>
  <c r="AE90" i="21" s="1"/>
  <c r="Y89" i="21"/>
  <c r="AF89" i="21" s="1"/>
  <c r="Z88" i="21"/>
  <c r="AG88" i="21" s="1"/>
  <c r="V88" i="21"/>
  <c r="AC88" i="21" s="1"/>
  <c r="AA87" i="21"/>
  <c r="AH87" i="21" s="1"/>
  <c r="W87" i="21"/>
  <c r="AD87" i="21" s="1"/>
  <c r="AB86" i="21"/>
  <c r="AI86" i="21" s="1"/>
  <c r="X86" i="21"/>
  <c r="AE86" i="21" s="1"/>
  <c r="Y85" i="21"/>
  <c r="AF85" i="21" s="1"/>
  <c r="Z84" i="21"/>
  <c r="AG84" i="21" s="1"/>
  <c r="V84" i="21"/>
  <c r="AC84" i="21" s="1"/>
  <c r="AA83" i="21"/>
  <c r="AH83" i="21" s="1"/>
  <c r="W83" i="21"/>
  <c r="AD83" i="21" s="1"/>
  <c r="AB82" i="21"/>
  <c r="AI82" i="21" s="1"/>
  <c r="X82" i="21"/>
  <c r="AE82" i="21" s="1"/>
  <c r="Y81" i="21"/>
  <c r="AF81" i="21" s="1"/>
  <c r="Z80" i="21"/>
  <c r="AG80" i="21" s="1"/>
  <c r="V80" i="21"/>
  <c r="AC80" i="21" s="1"/>
  <c r="AA79" i="21"/>
  <c r="AH79" i="21" s="1"/>
  <c r="W79" i="21"/>
  <c r="AD79" i="21" s="1"/>
  <c r="AB78" i="21"/>
  <c r="AI78" i="21" s="1"/>
  <c r="X78" i="21"/>
  <c r="AE78" i="21" s="1"/>
  <c r="Y77" i="21"/>
  <c r="AF77" i="21" s="1"/>
  <c r="Z76" i="21"/>
  <c r="AG76" i="21" s="1"/>
  <c r="V76" i="21"/>
  <c r="AC76" i="21" s="1"/>
  <c r="AA75" i="21"/>
  <c r="AH75" i="21" s="1"/>
  <c r="W75" i="21"/>
  <c r="AD75" i="21" s="1"/>
  <c r="AB74" i="21"/>
  <c r="AI74" i="21" s="1"/>
  <c r="X74" i="21"/>
  <c r="AE74" i="21" s="1"/>
  <c r="Y73" i="21"/>
  <c r="AF73" i="21" s="1"/>
  <c r="Z72" i="21"/>
  <c r="AG72" i="21" s="1"/>
  <c r="V72" i="21"/>
  <c r="AC72" i="21" s="1"/>
  <c r="AA71" i="21"/>
  <c r="AH71" i="21" s="1"/>
  <c r="W71" i="21"/>
  <c r="AD71" i="21" s="1"/>
  <c r="AB70" i="21"/>
  <c r="AI70" i="21" s="1"/>
  <c r="X70" i="21"/>
  <c r="AE70" i="21" s="1"/>
  <c r="Y69" i="21"/>
  <c r="AF69" i="21" s="1"/>
  <c r="Z68" i="21"/>
  <c r="AG68" i="21" s="1"/>
  <c r="V68" i="21"/>
  <c r="AC68" i="21" s="1"/>
  <c r="AA67" i="21"/>
  <c r="AH67" i="21" s="1"/>
  <c r="W67" i="21"/>
  <c r="AD67" i="21" s="1"/>
  <c r="AB66" i="21"/>
  <c r="AI66" i="21" s="1"/>
  <c r="Z136" i="21"/>
  <c r="AG136" i="21" s="1"/>
  <c r="AB117" i="21"/>
  <c r="AI117" i="21" s="1"/>
  <c r="AA114" i="21"/>
  <c r="AH114" i="21" s="1"/>
  <c r="Y112" i="21"/>
  <c r="AF112" i="21" s="1"/>
  <c r="V111" i="21"/>
  <c r="AC111" i="21" s="1"/>
  <c r="AB109" i="21"/>
  <c r="AI109" i="21" s="1"/>
  <c r="AA106" i="21"/>
  <c r="AH106" i="21" s="1"/>
  <c r="Y104" i="21"/>
  <c r="AF104" i="21" s="1"/>
  <c r="V103" i="21"/>
  <c r="AC103" i="21" s="1"/>
  <c r="AB101" i="21"/>
  <c r="AI101" i="21" s="1"/>
  <c r="Y99" i="21"/>
  <c r="AF99" i="21" s="1"/>
  <c r="V98" i="21"/>
  <c r="AC98" i="21" s="1"/>
  <c r="AA97" i="21"/>
  <c r="AH97" i="21" s="1"/>
  <c r="Y95" i="21"/>
  <c r="AF95" i="21" s="1"/>
  <c r="V94" i="21"/>
  <c r="AC94" i="21" s="1"/>
  <c r="AA93" i="21"/>
  <c r="AH93" i="21" s="1"/>
  <c r="Y91" i="21"/>
  <c r="AF91" i="21" s="1"/>
  <c r="V90" i="21"/>
  <c r="AC90" i="21" s="1"/>
  <c r="AA89" i="21"/>
  <c r="AH89" i="21" s="1"/>
  <c r="Y87" i="21"/>
  <c r="AF87" i="21" s="1"/>
  <c r="V86" i="21"/>
  <c r="AC86" i="21" s="1"/>
  <c r="AA85" i="21"/>
  <c r="AH85" i="21" s="1"/>
  <c r="Y83" i="21"/>
  <c r="AF83" i="21" s="1"/>
  <c r="V82" i="21"/>
  <c r="AC82" i="21" s="1"/>
  <c r="AA81" i="21"/>
  <c r="AH81" i="21" s="1"/>
  <c r="Y79" i="21"/>
  <c r="AF79" i="21" s="1"/>
  <c r="V78" i="21"/>
  <c r="AC78" i="21" s="1"/>
  <c r="AA77" i="21"/>
  <c r="AH77" i="21" s="1"/>
  <c r="Y75" i="21"/>
  <c r="AF75" i="21" s="1"/>
  <c r="V74" i="21"/>
  <c r="AC74" i="21" s="1"/>
  <c r="AA73" i="21"/>
  <c r="AH73" i="21" s="1"/>
  <c r="Y71" i="21"/>
  <c r="AF71" i="21" s="1"/>
  <c r="V70" i="21"/>
  <c r="AC70" i="21" s="1"/>
  <c r="AA69" i="21"/>
  <c r="AH69" i="21" s="1"/>
  <c r="Y67" i="21"/>
  <c r="AF67" i="21" s="1"/>
  <c r="W66" i="21"/>
  <c r="AD66" i="21" s="1"/>
  <c r="Y65" i="21"/>
  <c r="AF65" i="21" s="1"/>
  <c r="Z64" i="21"/>
  <c r="AG64" i="21" s="1"/>
  <c r="V64" i="21"/>
  <c r="AC64" i="21" s="1"/>
  <c r="AA63" i="21"/>
  <c r="AH63" i="21" s="1"/>
  <c r="W63" i="21"/>
  <c r="AD63" i="21" s="1"/>
  <c r="AB62" i="21"/>
  <c r="AI62" i="21" s="1"/>
  <c r="X62" i="21"/>
  <c r="AE62" i="21" s="1"/>
  <c r="Y61" i="21"/>
  <c r="AF61" i="21" s="1"/>
  <c r="Z60" i="21"/>
  <c r="AG60" i="21" s="1"/>
  <c r="V60" i="21"/>
  <c r="AC60" i="21" s="1"/>
  <c r="AA59" i="21"/>
  <c r="AH59" i="21" s="1"/>
  <c r="W59" i="21"/>
  <c r="AD59" i="21" s="1"/>
  <c r="AB58" i="21"/>
  <c r="AI58" i="21" s="1"/>
  <c r="X58" i="21"/>
  <c r="AE58" i="21" s="1"/>
  <c r="Y57" i="21"/>
  <c r="AF57" i="21" s="1"/>
  <c r="Z56" i="21"/>
  <c r="AG56" i="21" s="1"/>
  <c r="V56" i="21"/>
  <c r="AC56" i="21" s="1"/>
  <c r="AA55" i="21"/>
  <c r="AH55" i="21" s="1"/>
  <c r="W55" i="21"/>
  <c r="AD55" i="21" s="1"/>
  <c r="AB54" i="21"/>
  <c r="AI54" i="21" s="1"/>
  <c r="X54" i="21"/>
  <c r="AE54" i="21" s="1"/>
  <c r="Y53" i="21"/>
  <c r="AF53" i="21" s="1"/>
  <c r="Z52" i="21"/>
  <c r="AG52" i="21" s="1"/>
  <c r="V52" i="21"/>
  <c r="AC52" i="21" s="1"/>
  <c r="AA51" i="21"/>
  <c r="AH51" i="21" s="1"/>
  <c r="W51" i="21"/>
  <c r="AD51" i="21" s="1"/>
  <c r="AB50" i="21"/>
  <c r="AI50" i="21" s="1"/>
  <c r="X50" i="21"/>
  <c r="AE50" i="21" s="1"/>
  <c r="Y49" i="21"/>
  <c r="AF49" i="21" s="1"/>
  <c r="Z48" i="21"/>
  <c r="AG48" i="21" s="1"/>
  <c r="V48" i="21"/>
  <c r="AC48" i="21" s="1"/>
  <c r="AA47" i="21"/>
  <c r="AH47" i="21" s="1"/>
  <c r="W47" i="21"/>
  <c r="AD47" i="21" s="1"/>
  <c r="AB46" i="21"/>
  <c r="AI46" i="21" s="1"/>
  <c r="X46" i="21"/>
  <c r="AE46" i="21" s="1"/>
  <c r="Y45" i="21"/>
  <c r="AF45" i="21" s="1"/>
  <c r="Z44" i="21"/>
  <c r="AG44" i="21" s="1"/>
  <c r="V44" i="21"/>
  <c r="AC44" i="21" s="1"/>
  <c r="AA43" i="21"/>
  <c r="AH43" i="21" s="1"/>
  <c r="W43" i="21"/>
  <c r="AD43" i="21" s="1"/>
  <c r="AB42" i="21"/>
  <c r="AI42" i="21" s="1"/>
  <c r="X42" i="21"/>
  <c r="AE42" i="21" s="1"/>
  <c r="Y41" i="21"/>
  <c r="AF41" i="21" s="1"/>
  <c r="AA123" i="21"/>
  <c r="AH123" i="21" s="1"/>
  <c r="X122" i="21"/>
  <c r="AE122" i="21" s="1"/>
  <c r="AA115" i="21"/>
  <c r="AH115" i="21" s="1"/>
  <c r="X114" i="21"/>
  <c r="AE114" i="21" s="1"/>
  <c r="V112" i="21"/>
  <c r="AC112" i="21" s="1"/>
  <c r="AA107" i="21"/>
  <c r="AH107" i="21" s="1"/>
  <c r="X106" i="21"/>
  <c r="AE106" i="21" s="1"/>
  <c r="V104" i="21"/>
  <c r="AC104" i="21" s="1"/>
  <c r="X101" i="21"/>
  <c r="AE101" i="21" s="1"/>
  <c r="AB100" i="21"/>
  <c r="AI100" i="21" s="1"/>
  <c r="V99" i="21"/>
  <c r="AC99" i="21" s="1"/>
  <c r="AA98" i="21"/>
  <c r="AH98" i="21" s="1"/>
  <c r="X97" i="21"/>
  <c r="AE97" i="21" s="1"/>
  <c r="AB96" i="21"/>
  <c r="AI96" i="21" s="1"/>
  <c r="V95" i="21"/>
  <c r="AC95" i="21" s="1"/>
  <c r="AA94" i="21"/>
  <c r="AH94" i="21" s="1"/>
  <c r="X93" i="21"/>
  <c r="AE93" i="21" s="1"/>
  <c r="AB92" i="21"/>
  <c r="AI92" i="21" s="1"/>
  <c r="V91" i="21"/>
  <c r="AC91" i="21" s="1"/>
  <c r="AA90" i="21"/>
  <c r="AH90" i="21" s="1"/>
  <c r="X89" i="21"/>
  <c r="AE89" i="21" s="1"/>
  <c r="AB88" i="21"/>
  <c r="AI88" i="21" s="1"/>
  <c r="V87" i="21"/>
  <c r="AC87" i="21" s="1"/>
  <c r="AA86" i="21"/>
  <c r="AH86" i="21" s="1"/>
  <c r="X85" i="21"/>
  <c r="AE85" i="21" s="1"/>
  <c r="AB84" i="21"/>
  <c r="AI84" i="21" s="1"/>
  <c r="V83" i="21"/>
  <c r="AC83" i="21" s="1"/>
  <c r="AA82" i="21"/>
  <c r="AH82" i="21" s="1"/>
  <c r="X81" i="21"/>
  <c r="AE81" i="21" s="1"/>
  <c r="AB80" i="21"/>
  <c r="AI80" i="21" s="1"/>
  <c r="V79" i="21"/>
  <c r="AC79" i="21" s="1"/>
  <c r="AA78" i="21"/>
  <c r="AH78" i="21" s="1"/>
  <c r="X77" i="21"/>
  <c r="AE77" i="21" s="1"/>
  <c r="AB76" i="21"/>
  <c r="AI76" i="21" s="1"/>
  <c r="V75" i="21"/>
  <c r="AC75" i="21" s="1"/>
  <c r="AA74" i="21"/>
  <c r="AH74" i="21" s="1"/>
  <c r="X73" i="21"/>
  <c r="AE73" i="21" s="1"/>
  <c r="AB72" i="21"/>
  <c r="AI72" i="21" s="1"/>
  <c r="V71" i="21"/>
  <c r="AC71" i="21" s="1"/>
  <c r="AA70" i="21"/>
  <c r="AH70" i="21" s="1"/>
  <c r="X69" i="21"/>
  <c r="AE69" i="21" s="1"/>
  <c r="AB68" i="21"/>
  <c r="AI68" i="21" s="1"/>
  <c r="V67" i="21"/>
  <c r="AC67" i="21" s="1"/>
  <c r="AA66" i="21"/>
  <c r="AH66" i="21" s="1"/>
  <c r="V66" i="21"/>
  <c r="AC66" i="21" s="1"/>
  <c r="X65" i="21"/>
  <c r="AE65" i="21" s="1"/>
  <c r="Y64" i="21"/>
  <c r="AF64" i="21" s="1"/>
  <c r="Z63" i="21"/>
  <c r="AG63" i="21" s="1"/>
  <c r="V63" i="21"/>
  <c r="AC63" i="21" s="1"/>
  <c r="AA62" i="21"/>
  <c r="AH62" i="21" s="1"/>
  <c r="W62" i="21"/>
  <c r="AD62" i="21" s="1"/>
  <c r="AB61" i="21"/>
  <c r="AI61" i="21" s="1"/>
  <c r="X61" i="21"/>
  <c r="AE61" i="21" s="1"/>
  <c r="Y60" i="21"/>
  <c r="AF60" i="21" s="1"/>
  <c r="Z59" i="21"/>
  <c r="AG59" i="21" s="1"/>
  <c r="V59" i="21"/>
  <c r="AC59" i="21" s="1"/>
  <c r="AA58" i="21"/>
  <c r="AH58" i="21" s="1"/>
  <c r="W58" i="21"/>
  <c r="AD58" i="21" s="1"/>
  <c r="AB57" i="21"/>
  <c r="AI57" i="21" s="1"/>
  <c r="X57" i="21"/>
  <c r="AE57" i="21" s="1"/>
  <c r="Y56" i="21"/>
  <c r="AF56" i="21" s="1"/>
  <c r="Z55" i="21"/>
  <c r="AG55" i="21" s="1"/>
  <c r="V55" i="21"/>
  <c r="AC55" i="21" s="1"/>
  <c r="AA54" i="21"/>
  <c r="AH54" i="21" s="1"/>
  <c r="W54" i="21"/>
  <c r="AD54" i="21" s="1"/>
  <c r="AB53" i="21"/>
  <c r="AI53" i="21" s="1"/>
  <c r="X53" i="21"/>
  <c r="AE53" i="21" s="1"/>
  <c r="Y52" i="21"/>
  <c r="AF52" i="21" s="1"/>
  <c r="Z51" i="21"/>
  <c r="AG51" i="21" s="1"/>
  <c r="V51" i="21"/>
  <c r="AC51" i="21" s="1"/>
  <c r="AA50" i="21"/>
  <c r="AH50" i="21" s="1"/>
  <c r="W50" i="21"/>
  <c r="AD50" i="21" s="1"/>
  <c r="AB49" i="21"/>
  <c r="AI49" i="21" s="1"/>
  <c r="X49" i="21"/>
  <c r="AE49" i="21" s="1"/>
  <c r="Y48" i="21"/>
  <c r="AF48" i="21" s="1"/>
  <c r="Z47" i="21"/>
  <c r="AG47" i="21" s="1"/>
  <c r="V47" i="21"/>
  <c r="AC47" i="21" s="1"/>
  <c r="AA46" i="21"/>
  <c r="AH46" i="21" s="1"/>
  <c r="W46" i="21"/>
  <c r="AD46" i="21" s="1"/>
  <c r="AB45" i="21"/>
  <c r="AI45" i="21" s="1"/>
  <c r="X45" i="21"/>
  <c r="AE45" i="21" s="1"/>
  <c r="Y44" i="21"/>
  <c r="AF44" i="21" s="1"/>
  <c r="Z43" i="21"/>
  <c r="AG43" i="21" s="1"/>
  <c r="V43" i="21"/>
  <c r="AC43" i="21" s="1"/>
  <c r="AA42" i="21"/>
  <c r="AH42" i="21" s="1"/>
  <c r="W42" i="21"/>
  <c r="AD42" i="21" s="1"/>
  <c r="AB41" i="21"/>
  <c r="AI41" i="21" s="1"/>
  <c r="X41" i="21"/>
  <c r="AE41" i="21" s="1"/>
  <c r="Y40" i="21"/>
  <c r="AF40" i="21" s="1"/>
  <c r="X15" i="21"/>
  <c r="AE15" i="21" s="1"/>
  <c r="W16" i="21"/>
  <c r="AD16" i="21" s="1"/>
  <c r="V17" i="21"/>
  <c r="AC17" i="21" s="1"/>
  <c r="Y18" i="21"/>
  <c r="AF18" i="21" s="1"/>
  <c r="X19" i="21"/>
  <c r="AE19" i="21" s="1"/>
  <c r="AA20" i="21"/>
  <c r="AH20" i="21" s="1"/>
  <c r="Z21" i="21"/>
  <c r="AG21" i="21" s="1"/>
  <c r="Y22" i="21"/>
  <c r="AF22" i="21" s="1"/>
  <c r="X23" i="21"/>
  <c r="AE23" i="21" s="1"/>
  <c r="W24" i="21"/>
  <c r="AD24" i="21" s="1"/>
  <c r="V25" i="21"/>
  <c r="AC25" i="21" s="1"/>
  <c r="Y26" i="21"/>
  <c r="AF26" i="21" s="1"/>
  <c r="X27" i="21"/>
  <c r="AE27" i="21" s="1"/>
  <c r="W28" i="21"/>
  <c r="AD28" i="21" s="1"/>
  <c r="V29" i="21"/>
  <c r="AC29" i="21" s="1"/>
  <c r="X31" i="21"/>
  <c r="AE31" i="21" s="1"/>
  <c r="W32" i="21"/>
  <c r="AD32" i="21" s="1"/>
  <c r="Z33" i="21"/>
  <c r="AG33" i="21" s="1"/>
  <c r="AB35" i="21"/>
  <c r="AI35" i="21" s="1"/>
  <c r="W36" i="21"/>
  <c r="AD36" i="21" s="1"/>
  <c r="V37" i="21"/>
  <c r="AC37" i="21" s="1"/>
  <c r="AB39" i="21"/>
  <c r="AI39" i="21" s="1"/>
  <c r="AB40" i="21"/>
  <c r="AI40" i="21" s="1"/>
  <c r="V41" i="21"/>
  <c r="AC41" i="21" s="1"/>
  <c r="Y42" i="21"/>
  <c r="AF42" i="21" s="1"/>
  <c r="V53" i="21"/>
  <c r="AC53" i="21" s="1"/>
  <c r="Y54" i="21"/>
  <c r="AF54" i="21" s="1"/>
  <c r="Z67" i="21"/>
  <c r="AG67" i="21" s="1"/>
  <c r="Z70" i="21"/>
  <c r="AG70" i="21" s="1"/>
  <c r="X72" i="21"/>
  <c r="AE72" i="21" s="1"/>
  <c r="AB81" i="21"/>
  <c r="AI81" i="21" s="1"/>
  <c r="Z83" i="21"/>
  <c r="AG83" i="21" s="1"/>
  <c r="Z86" i="21"/>
  <c r="AG86" i="21" s="1"/>
  <c r="X88" i="21"/>
  <c r="AE88" i="21" s="1"/>
  <c r="AB89" i="21"/>
  <c r="AI89" i="21" s="1"/>
  <c r="Z91" i="21"/>
  <c r="AG91" i="21" s="1"/>
  <c r="Z94" i="21"/>
  <c r="AG94" i="21" s="1"/>
  <c r="X96" i="21"/>
  <c r="AE96" i="21" s="1"/>
  <c r="V128" i="21"/>
  <c r="AC128" i="21" s="1"/>
  <c r="X9" i="21"/>
  <c r="AB9" i="21"/>
  <c r="X10" i="21"/>
  <c r="AB10" i="21"/>
  <c r="V14" i="21"/>
  <c r="AC14" i="21" s="1"/>
  <c r="Z14" i="21"/>
  <c r="AG14" i="21" s="1"/>
  <c r="Y15" i="21"/>
  <c r="AF15" i="21" s="1"/>
  <c r="X16" i="21"/>
  <c r="AE16" i="21" s="1"/>
  <c r="AB16" i="21"/>
  <c r="AI16" i="21" s="1"/>
  <c r="W17" i="21"/>
  <c r="AD17" i="21" s="1"/>
  <c r="AA17" i="21"/>
  <c r="AH17" i="21" s="1"/>
  <c r="V18" i="21"/>
  <c r="AC18" i="21" s="1"/>
  <c r="Z18" i="21"/>
  <c r="AG18" i="21" s="1"/>
  <c r="Y19" i="21"/>
  <c r="AF19" i="21" s="1"/>
  <c r="X20" i="21"/>
  <c r="AE20" i="21" s="1"/>
  <c r="AB20" i="21"/>
  <c r="AI20" i="21" s="1"/>
  <c r="W21" i="21"/>
  <c r="AD21" i="21" s="1"/>
  <c r="AA21" i="21"/>
  <c r="AH21" i="21" s="1"/>
  <c r="V22" i="21"/>
  <c r="AC22" i="21" s="1"/>
  <c r="Z22" i="21"/>
  <c r="AG22" i="21" s="1"/>
  <c r="Y23" i="21"/>
  <c r="AF23" i="21" s="1"/>
  <c r="X24" i="21"/>
  <c r="AE24" i="21" s="1"/>
  <c r="AB24" i="21"/>
  <c r="AI24" i="21" s="1"/>
  <c r="W25" i="21"/>
  <c r="AD25" i="21" s="1"/>
  <c r="AA25" i="21"/>
  <c r="AH25" i="21" s="1"/>
  <c r="V26" i="21"/>
  <c r="AC26" i="21" s="1"/>
  <c r="Z26" i="21"/>
  <c r="AG26" i="21" s="1"/>
  <c r="Y27" i="21"/>
  <c r="AF27" i="21" s="1"/>
  <c r="X28" i="21"/>
  <c r="AE28" i="21" s="1"/>
  <c r="AB28" i="21"/>
  <c r="AI28" i="21" s="1"/>
  <c r="W29" i="21"/>
  <c r="AD29" i="21" s="1"/>
  <c r="AA29" i="21"/>
  <c r="AH29" i="21" s="1"/>
  <c r="V30" i="21"/>
  <c r="AC30" i="21" s="1"/>
  <c r="Z30" i="21"/>
  <c r="AG30" i="21" s="1"/>
  <c r="Y31" i="21"/>
  <c r="AF31" i="21" s="1"/>
  <c r="X32" i="21"/>
  <c r="AE32" i="21" s="1"/>
  <c r="AB32" i="21"/>
  <c r="AI32" i="21" s="1"/>
  <c r="W33" i="21"/>
  <c r="AD33" i="21" s="1"/>
  <c r="AA33" i="21"/>
  <c r="AH33" i="21" s="1"/>
  <c r="V34" i="21"/>
  <c r="AC34" i="21" s="1"/>
  <c r="Z34" i="21"/>
  <c r="AG34" i="21" s="1"/>
  <c r="Y35" i="21"/>
  <c r="AF35" i="21" s="1"/>
  <c r="X36" i="21"/>
  <c r="AE36" i="21" s="1"/>
  <c r="AB36" i="21"/>
  <c r="AI36" i="21" s="1"/>
  <c r="W37" i="21"/>
  <c r="AD37" i="21" s="1"/>
  <c r="AA37" i="21"/>
  <c r="AH37" i="21" s="1"/>
  <c r="V38" i="21"/>
  <c r="AC38" i="21" s="1"/>
  <c r="Z38" i="21"/>
  <c r="AG38" i="21" s="1"/>
  <c r="Y39" i="21"/>
  <c r="AF39" i="21" s="1"/>
  <c r="X40" i="21"/>
  <c r="AE40" i="21" s="1"/>
  <c r="W41" i="21"/>
  <c r="AD41" i="21" s="1"/>
  <c r="Z42" i="21"/>
  <c r="AG42" i="21" s="1"/>
  <c r="X43" i="21"/>
  <c r="AE43" i="21" s="1"/>
  <c r="AB44" i="21"/>
  <c r="AI44" i="21" s="1"/>
  <c r="W45" i="21"/>
  <c r="AD45" i="21" s="1"/>
  <c r="Z46" i="21"/>
  <c r="AG46" i="21" s="1"/>
  <c r="X47" i="21"/>
  <c r="AE47" i="21" s="1"/>
  <c r="AB48" i="21"/>
  <c r="AI48" i="21" s="1"/>
  <c r="W49" i="21"/>
  <c r="AD49" i="21" s="1"/>
  <c r="Z50" i="21"/>
  <c r="AG50" i="21" s="1"/>
  <c r="X51" i="21"/>
  <c r="AE51" i="21" s="1"/>
  <c r="AB52" i="21"/>
  <c r="AI52" i="21" s="1"/>
  <c r="W53" i="21"/>
  <c r="AD53" i="21" s="1"/>
  <c r="Z54" i="21"/>
  <c r="AG54" i="21" s="1"/>
  <c r="X55" i="21"/>
  <c r="AE55" i="21" s="1"/>
  <c r="AB56" i="21"/>
  <c r="AI56" i="21" s="1"/>
  <c r="W57" i="21"/>
  <c r="AD57" i="21" s="1"/>
  <c r="Z58" i="21"/>
  <c r="AG58" i="21" s="1"/>
  <c r="X59" i="21"/>
  <c r="AE59" i="21" s="1"/>
  <c r="AB60" i="21"/>
  <c r="AI60" i="21" s="1"/>
  <c r="W61" i="21"/>
  <c r="AD61" i="21" s="1"/>
  <c r="Z62" i="21"/>
  <c r="AG62" i="21" s="1"/>
  <c r="X63" i="21"/>
  <c r="AE63" i="21" s="1"/>
  <c r="AB64" i="21"/>
  <c r="AI64" i="21" s="1"/>
  <c r="W65" i="21"/>
  <c r="AD65" i="21" s="1"/>
  <c r="X66" i="21"/>
  <c r="AE66" i="21" s="1"/>
  <c r="W69" i="21"/>
  <c r="AD69" i="21" s="1"/>
  <c r="Y72" i="21"/>
  <c r="AF72" i="21" s="1"/>
  <c r="W74" i="21"/>
  <c r="AD74" i="21" s="1"/>
  <c r="W77" i="21"/>
  <c r="AD77" i="21" s="1"/>
  <c r="Y80" i="21"/>
  <c r="AF80" i="21" s="1"/>
  <c r="W82" i="21"/>
  <c r="AD82" i="21" s="1"/>
  <c r="W85" i="21"/>
  <c r="AD85" i="21" s="1"/>
  <c r="Y88" i="21"/>
  <c r="AF88" i="21" s="1"/>
  <c r="W90" i="21"/>
  <c r="AD90" i="21" s="1"/>
  <c r="W93" i="21"/>
  <c r="AD93" i="21" s="1"/>
  <c r="Y96" i="21"/>
  <c r="AF96" i="21" s="1"/>
  <c r="W98" i="21"/>
  <c r="AD98" i="21" s="1"/>
  <c r="W101" i="21"/>
  <c r="AD101" i="21" s="1"/>
  <c r="AB105" i="21"/>
  <c r="AI105" i="21" s="1"/>
  <c r="AA110" i="21"/>
  <c r="AH110" i="21" s="1"/>
  <c r="AA111" i="21"/>
  <c r="AH111" i="21" s="1"/>
  <c r="V116" i="21"/>
  <c r="AC116" i="21" s="1"/>
  <c r="Y133" i="21"/>
  <c r="AF133" i="21" s="1"/>
  <c r="AB134" i="21"/>
  <c r="AI134" i="21" s="1"/>
  <c r="Y14" i="21"/>
  <c r="AF14" i="21" s="1"/>
  <c r="AB15" i="21"/>
  <c r="AI15" i="21" s="1"/>
  <c r="AA16" i="21"/>
  <c r="AH16" i="21" s="1"/>
  <c r="Z17" i="21"/>
  <c r="AG17" i="21" s="1"/>
  <c r="AB19" i="21"/>
  <c r="AI19" i="21" s="1"/>
  <c r="W20" i="21"/>
  <c r="AD20" i="21" s="1"/>
  <c r="V21" i="21"/>
  <c r="AC21" i="21" s="1"/>
  <c r="AB23" i="21"/>
  <c r="AI23" i="21" s="1"/>
  <c r="AA24" i="21"/>
  <c r="AH24" i="21" s="1"/>
  <c r="Z25" i="21"/>
  <c r="AG25" i="21" s="1"/>
  <c r="AB27" i="21"/>
  <c r="AI27" i="21" s="1"/>
  <c r="AA28" i="21"/>
  <c r="AH28" i="21" s="1"/>
  <c r="Z29" i="21"/>
  <c r="AG29" i="21" s="1"/>
  <c r="Y30" i="21"/>
  <c r="AF30" i="21" s="1"/>
  <c r="AB31" i="21"/>
  <c r="AI31" i="21" s="1"/>
  <c r="AA32" i="21"/>
  <c r="AH32" i="21" s="1"/>
  <c r="V33" i="21"/>
  <c r="AC33" i="21" s="1"/>
  <c r="Y34" i="21"/>
  <c r="AF34" i="21" s="1"/>
  <c r="X35" i="21"/>
  <c r="AE35" i="21" s="1"/>
  <c r="AA36" i="21"/>
  <c r="AH36" i="21" s="1"/>
  <c r="Z37" i="21"/>
  <c r="AG37" i="21" s="1"/>
  <c r="Y38" i="21"/>
  <c r="AF38" i="21" s="1"/>
  <c r="X39" i="21"/>
  <c r="AE39" i="21" s="1"/>
  <c r="W40" i="21"/>
  <c r="AD40" i="21" s="1"/>
  <c r="AA44" i="21"/>
  <c r="AH44" i="21" s="1"/>
  <c r="V45" i="21"/>
  <c r="AC45" i="21" s="1"/>
  <c r="Y46" i="21"/>
  <c r="AF46" i="21" s="1"/>
  <c r="AA48" i="21"/>
  <c r="AH48" i="21" s="1"/>
  <c r="V49" i="21"/>
  <c r="AC49" i="21" s="1"/>
  <c r="Y50" i="21"/>
  <c r="AF50" i="21" s="1"/>
  <c r="AA52" i="21"/>
  <c r="AH52" i="21" s="1"/>
  <c r="AA56" i="21"/>
  <c r="AH56" i="21" s="1"/>
  <c r="V57" i="21"/>
  <c r="AC57" i="21" s="1"/>
  <c r="Y58" i="21"/>
  <c r="AF58" i="21" s="1"/>
  <c r="AA60" i="21"/>
  <c r="AH60" i="21" s="1"/>
  <c r="V61" i="21"/>
  <c r="AC61" i="21" s="1"/>
  <c r="Y62" i="21"/>
  <c r="AF62" i="21" s="1"/>
  <c r="AA64" i="21"/>
  <c r="AH64" i="21" s="1"/>
  <c r="V65" i="21"/>
  <c r="AC65" i="21" s="1"/>
  <c r="AB73" i="21"/>
  <c r="AI73" i="21" s="1"/>
  <c r="Z75" i="21"/>
  <c r="AG75" i="21" s="1"/>
  <c r="Z78" i="21"/>
  <c r="AG78" i="21" s="1"/>
  <c r="X80" i="21"/>
  <c r="AE80" i="21" s="1"/>
  <c r="AB97" i="21"/>
  <c r="AI97" i="21" s="1"/>
  <c r="Z99" i="21"/>
  <c r="AG99" i="21" s="1"/>
  <c r="Y108" i="21"/>
  <c r="AF108" i="21" s="1"/>
  <c r="X110" i="21"/>
  <c r="AE110" i="21" s="1"/>
  <c r="V115" i="21"/>
  <c r="AC115" i="21" s="1"/>
  <c r="Y9" i="21"/>
  <c r="Y10" i="21"/>
  <c r="W14" i="21"/>
  <c r="AD14" i="21" s="1"/>
  <c r="AA14" i="21"/>
  <c r="AH14" i="21" s="1"/>
  <c r="V15" i="21"/>
  <c r="AC15" i="21" s="1"/>
  <c r="Z15" i="21"/>
  <c r="AG15" i="21" s="1"/>
  <c r="Y16" i="21"/>
  <c r="AF16" i="21" s="1"/>
  <c r="X17" i="21"/>
  <c r="AE17" i="21" s="1"/>
  <c r="AB17" i="21"/>
  <c r="AI17" i="21" s="1"/>
  <c r="W18" i="21"/>
  <c r="AD18" i="21" s="1"/>
  <c r="AA18" i="21"/>
  <c r="AH18" i="21" s="1"/>
  <c r="V19" i="21"/>
  <c r="AC19" i="21" s="1"/>
  <c r="Z19" i="21"/>
  <c r="AG19" i="21" s="1"/>
  <c r="Y20" i="21"/>
  <c r="AF20" i="21" s="1"/>
  <c r="X21" i="21"/>
  <c r="AE21" i="21" s="1"/>
  <c r="AB21" i="21"/>
  <c r="AI21" i="21" s="1"/>
  <c r="W22" i="21"/>
  <c r="AD22" i="21" s="1"/>
  <c r="AA22" i="21"/>
  <c r="AH22" i="21" s="1"/>
  <c r="V23" i="21"/>
  <c r="AC23" i="21" s="1"/>
  <c r="Z23" i="21"/>
  <c r="AG23" i="21" s="1"/>
  <c r="Y24" i="21"/>
  <c r="AF24" i="21" s="1"/>
  <c r="X25" i="21"/>
  <c r="AE25" i="21" s="1"/>
  <c r="AB25" i="21"/>
  <c r="AI25" i="21" s="1"/>
  <c r="W26" i="21"/>
  <c r="AD26" i="21" s="1"/>
  <c r="AA26" i="21"/>
  <c r="AH26" i="21" s="1"/>
  <c r="V27" i="21"/>
  <c r="AC27" i="21" s="1"/>
  <c r="Z27" i="21"/>
  <c r="AG27" i="21" s="1"/>
  <c r="Y28" i="21"/>
  <c r="AF28" i="21" s="1"/>
  <c r="X29" i="21"/>
  <c r="AE29" i="21" s="1"/>
  <c r="AB29" i="21"/>
  <c r="AI29" i="21" s="1"/>
  <c r="W30" i="21"/>
  <c r="AD30" i="21" s="1"/>
  <c r="AA30" i="21"/>
  <c r="AH30" i="21" s="1"/>
  <c r="V31" i="21"/>
  <c r="AC31" i="21" s="1"/>
  <c r="Z31" i="21"/>
  <c r="AG31" i="21" s="1"/>
  <c r="Y32" i="21"/>
  <c r="AF32" i="21" s="1"/>
  <c r="X33" i="21"/>
  <c r="AE33" i="21" s="1"/>
  <c r="AB33" i="21"/>
  <c r="AI33" i="21" s="1"/>
  <c r="W34" i="21"/>
  <c r="AD34" i="21" s="1"/>
  <c r="AA34" i="21"/>
  <c r="AH34" i="21" s="1"/>
  <c r="V35" i="21"/>
  <c r="AC35" i="21" s="1"/>
  <c r="Z35" i="21"/>
  <c r="AG35" i="21" s="1"/>
  <c r="Y36" i="21"/>
  <c r="AF36" i="21" s="1"/>
  <c r="X37" i="21"/>
  <c r="AE37" i="21" s="1"/>
  <c r="AB37" i="21"/>
  <c r="AI37" i="21" s="1"/>
  <c r="W38" i="21"/>
  <c r="AD38" i="21" s="1"/>
  <c r="AA38" i="21"/>
  <c r="AH38" i="21" s="1"/>
  <c r="V39" i="21"/>
  <c r="AC39" i="21" s="1"/>
  <c r="Z39" i="21"/>
  <c r="AG39" i="21" s="1"/>
  <c r="Z40" i="21"/>
  <c r="AG40" i="21" s="1"/>
  <c r="Z41" i="21"/>
  <c r="AG41" i="21" s="1"/>
  <c r="Y43" i="21"/>
  <c r="AF43" i="21" s="1"/>
  <c r="W44" i="21"/>
  <c r="AD44" i="21" s="1"/>
  <c r="Z45" i="21"/>
  <c r="AG45" i="21" s="1"/>
  <c r="Y47" i="21"/>
  <c r="AF47" i="21" s="1"/>
  <c r="W48" i="21"/>
  <c r="AD48" i="21" s="1"/>
  <c r="Z49" i="21"/>
  <c r="AG49" i="21" s="1"/>
  <c r="Y51" i="21"/>
  <c r="AF51" i="21" s="1"/>
  <c r="W52" i="21"/>
  <c r="AD52" i="21" s="1"/>
  <c r="Z53" i="21"/>
  <c r="AG53" i="21" s="1"/>
  <c r="Y55" i="21"/>
  <c r="AF55" i="21" s="1"/>
  <c r="W56" i="21"/>
  <c r="AD56" i="21" s="1"/>
  <c r="Z57" i="21"/>
  <c r="AG57" i="21" s="1"/>
  <c r="Y59" i="21"/>
  <c r="AF59" i="21" s="1"/>
  <c r="W60" i="21"/>
  <c r="AD60" i="21" s="1"/>
  <c r="Z61" i="21"/>
  <c r="AG61" i="21" s="1"/>
  <c r="Y63" i="21"/>
  <c r="AF63" i="21" s="1"/>
  <c r="W64" i="21"/>
  <c r="AD64" i="21" s="1"/>
  <c r="AA65" i="21"/>
  <c r="AH65" i="21" s="1"/>
  <c r="Z66" i="21"/>
  <c r="AG66" i="21" s="1"/>
  <c r="X68" i="21"/>
  <c r="AE68" i="21" s="1"/>
  <c r="AB69" i="21"/>
  <c r="AI69" i="21" s="1"/>
  <c r="Z71" i="21"/>
  <c r="AG71" i="21" s="1"/>
  <c r="Z74" i="21"/>
  <c r="AG74" i="21" s="1"/>
  <c r="X76" i="21"/>
  <c r="AE76" i="21" s="1"/>
  <c r="AB77" i="21"/>
  <c r="AI77" i="21" s="1"/>
  <c r="Z79" i="21"/>
  <c r="AG79" i="21" s="1"/>
  <c r="Z82" i="21"/>
  <c r="AG82" i="21" s="1"/>
  <c r="X84" i="21"/>
  <c r="AE84" i="21" s="1"/>
  <c r="AB85" i="21"/>
  <c r="AI85" i="21" s="1"/>
  <c r="Z87" i="21"/>
  <c r="AG87" i="21" s="1"/>
  <c r="Z90" i="21"/>
  <c r="AG90" i="21" s="1"/>
  <c r="X92" i="21"/>
  <c r="AE92" i="21" s="1"/>
  <c r="AB93" i="21"/>
  <c r="AI93" i="21" s="1"/>
  <c r="Z95" i="21"/>
  <c r="AG95" i="21" s="1"/>
  <c r="Z98" i="21"/>
  <c r="AG98" i="21" s="1"/>
  <c r="X100" i="21"/>
  <c r="AE100" i="21" s="1"/>
  <c r="X102" i="21"/>
  <c r="AE102" i="21" s="1"/>
  <c r="V107" i="21"/>
  <c r="AC107" i="21" s="1"/>
  <c r="Y116" i="21"/>
  <c r="AF116" i="21" s="1"/>
  <c r="AB118" i="21"/>
  <c r="AI118" i="21" s="1"/>
  <c r="V9" i="20"/>
  <c r="U11" i="20"/>
  <c r="X40" i="20"/>
  <c r="AE40" i="20" s="1"/>
  <c r="Z10" i="20"/>
  <c r="W43" i="20"/>
  <c r="AD43" i="20" s="1"/>
  <c r="AA15" i="20"/>
  <c r="AH15" i="20" s="1"/>
  <c r="Y17" i="20"/>
  <c r="AF17" i="20" s="1"/>
  <c r="AA23" i="20"/>
  <c r="AH23" i="20" s="1"/>
  <c r="Y25" i="20"/>
  <c r="AF25" i="20" s="1"/>
  <c r="AA31" i="20"/>
  <c r="AH31" i="20" s="1"/>
  <c r="Y33" i="20"/>
  <c r="AF33" i="20" s="1"/>
  <c r="AA39" i="20"/>
  <c r="AH39" i="20" s="1"/>
  <c r="X16" i="20"/>
  <c r="AE16" i="20" s="1"/>
  <c r="V18" i="20"/>
  <c r="AC18" i="20" s="1"/>
  <c r="X24" i="20"/>
  <c r="AE24" i="20" s="1"/>
  <c r="V26" i="20"/>
  <c r="AC26" i="20" s="1"/>
  <c r="X32" i="20"/>
  <c r="AE32" i="20" s="1"/>
  <c r="V34" i="20"/>
  <c r="AC34" i="20" s="1"/>
  <c r="Y41" i="20"/>
  <c r="AF41" i="20" s="1"/>
  <c r="V42" i="20"/>
  <c r="AC42" i="20" s="1"/>
  <c r="AB47" i="20"/>
  <c r="AI47" i="20" s="1"/>
  <c r="X50" i="20"/>
  <c r="AE50" i="20" s="1"/>
  <c r="V52" i="20"/>
  <c r="AC52" i="20" s="1"/>
  <c r="X58" i="20"/>
  <c r="AE58" i="20" s="1"/>
  <c r="V60" i="20"/>
  <c r="AC60" i="20" s="1"/>
  <c r="Z9" i="20"/>
  <c r="AB16" i="20"/>
  <c r="AI16" i="20" s="1"/>
  <c r="Z18" i="20"/>
  <c r="AG18" i="20" s="1"/>
  <c r="W19" i="20"/>
  <c r="AD19" i="20" s="1"/>
  <c r="AB24" i="20"/>
  <c r="AI24" i="20" s="1"/>
  <c r="Z26" i="20"/>
  <c r="AG26" i="20" s="1"/>
  <c r="W27" i="20"/>
  <c r="AD27" i="20" s="1"/>
  <c r="AB32" i="20"/>
  <c r="AI32" i="20" s="1"/>
  <c r="Z34" i="20"/>
  <c r="AG34" i="20" s="1"/>
  <c r="W35" i="20"/>
  <c r="AD35" i="20" s="1"/>
  <c r="AB40" i="20"/>
  <c r="AI40" i="20" s="1"/>
  <c r="Z42" i="20"/>
  <c r="AG42" i="20" s="1"/>
  <c r="Y10" i="20"/>
  <c r="Y9" i="20"/>
  <c r="V84" i="20"/>
  <c r="AC84" i="20" s="1"/>
  <c r="AA81" i="20"/>
  <c r="AH81" i="20" s="1"/>
  <c r="Y75" i="20"/>
  <c r="AF75" i="20" s="1"/>
  <c r="V68" i="20"/>
  <c r="AC68" i="20" s="1"/>
  <c r="AA65" i="20"/>
  <c r="AH65" i="20" s="1"/>
  <c r="AB10" i="20"/>
  <c r="X10" i="20"/>
  <c r="AB9" i="20"/>
  <c r="X9" i="20"/>
  <c r="X82" i="20"/>
  <c r="AE82" i="20" s="1"/>
  <c r="X74" i="20"/>
  <c r="AE74" i="20" s="1"/>
  <c r="Y67" i="20"/>
  <c r="AF67" i="20" s="1"/>
  <c r="AA10" i="20"/>
  <c r="W10" i="20"/>
  <c r="AA9" i="20"/>
  <c r="W9" i="20"/>
  <c r="Y83" i="20"/>
  <c r="AF83" i="20" s="1"/>
  <c r="V76" i="20"/>
  <c r="AC76" i="20" s="1"/>
  <c r="AA73" i="20"/>
  <c r="AH73" i="20" s="1"/>
  <c r="X66" i="20"/>
  <c r="AE66" i="20" s="1"/>
  <c r="V14" i="20"/>
  <c r="AC14" i="20" s="1"/>
  <c r="AA19" i="20"/>
  <c r="AH19" i="20" s="1"/>
  <c r="X20" i="20"/>
  <c r="AE20" i="20" s="1"/>
  <c r="Y21" i="20"/>
  <c r="AF21" i="20" s="1"/>
  <c r="V22" i="20"/>
  <c r="AC22" i="20" s="1"/>
  <c r="AA27" i="20"/>
  <c r="AH27" i="20" s="1"/>
  <c r="X28" i="20"/>
  <c r="AE28" i="20" s="1"/>
  <c r="Y29" i="20"/>
  <c r="AF29" i="20" s="1"/>
  <c r="V30" i="20"/>
  <c r="AC30" i="20" s="1"/>
  <c r="AA35" i="20"/>
  <c r="AH35" i="20" s="1"/>
  <c r="X36" i="20"/>
  <c r="AE36" i="20" s="1"/>
  <c r="Y37" i="20"/>
  <c r="AF37" i="20" s="1"/>
  <c r="V38" i="20"/>
  <c r="AC38" i="20" s="1"/>
  <c r="AA43" i="20"/>
  <c r="AH43" i="20" s="1"/>
  <c r="X44" i="20"/>
  <c r="AE44" i="20" s="1"/>
  <c r="Y45" i="20"/>
  <c r="AF45" i="20" s="1"/>
  <c r="V46" i="20"/>
  <c r="AC46" i="20" s="1"/>
  <c r="AA49" i="20"/>
  <c r="AH49" i="20" s="1"/>
  <c r="Y51" i="20"/>
  <c r="AF51" i="20" s="1"/>
  <c r="AA57" i="20"/>
  <c r="AH57" i="20" s="1"/>
  <c r="Y59" i="20"/>
  <c r="AF59" i="20" s="1"/>
  <c r="V10" i="20"/>
  <c r="Z14" i="20"/>
  <c r="AG14" i="20" s="1"/>
  <c r="W15" i="20"/>
  <c r="AD15" i="20" s="1"/>
  <c r="AB20" i="20"/>
  <c r="AI20" i="20" s="1"/>
  <c r="Z22" i="20"/>
  <c r="AG22" i="20" s="1"/>
  <c r="W23" i="20"/>
  <c r="AD23" i="20" s="1"/>
  <c r="AB28" i="20"/>
  <c r="AI28" i="20" s="1"/>
  <c r="Z30" i="20"/>
  <c r="AG30" i="20" s="1"/>
  <c r="W31" i="20"/>
  <c r="AD31" i="20" s="1"/>
  <c r="AB36" i="20"/>
  <c r="AI36" i="20" s="1"/>
  <c r="Z38" i="20"/>
  <c r="AG38" i="20" s="1"/>
  <c r="W39" i="20"/>
  <c r="AD39" i="20" s="1"/>
  <c r="AB44" i="20"/>
  <c r="AI44" i="20" s="1"/>
  <c r="Z46" i="20"/>
  <c r="AG46" i="20" s="1"/>
  <c r="W47" i="20"/>
  <c r="AD47" i="20" s="1"/>
  <c r="Z48" i="20"/>
  <c r="AG48" i="20" s="1"/>
  <c r="Z139" i="20"/>
  <c r="AG139" i="20" s="1"/>
  <c r="V139" i="20"/>
  <c r="AC139" i="20" s="1"/>
  <c r="Y138" i="20"/>
  <c r="AF138" i="20" s="1"/>
  <c r="AB137" i="20"/>
  <c r="AI137" i="20" s="1"/>
  <c r="X137" i="20"/>
  <c r="AE137" i="20" s="1"/>
  <c r="AA136" i="20"/>
  <c r="AH136" i="20" s="1"/>
  <c r="W136" i="20"/>
  <c r="AD136" i="20" s="1"/>
  <c r="Z135" i="20"/>
  <c r="AG135" i="20" s="1"/>
  <c r="V135" i="20"/>
  <c r="AC135" i="20" s="1"/>
  <c r="Y134" i="20"/>
  <c r="AF134" i="20" s="1"/>
  <c r="AB133" i="20"/>
  <c r="AI133" i="20" s="1"/>
  <c r="X133" i="20"/>
  <c r="AE133" i="20" s="1"/>
  <c r="AA132" i="20"/>
  <c r="AH132" i="20" s="1"/>
  <c r="W132" i="20"/>
  <c r="AD132" i="20" s="1"/>
  <c r="Z131" i="20"/>
  <c r="AG131" i="20" s="1"/>
  <c r="V131" i="20"/>
  <c r="AC131" i="20" s="1"/>
  <c r="Y130" i="20"/>
  <c r="AF130" i="20" s="1"/>
  <c r="AB129" i="20"/>
  <c r="AI129" i="20" s="1"/>
  <c r="X129" i="20"/>
  <c r="AE129" i="20" s="1"/>
  <c r="AA128" i="20"/>
  <c r="AH128" i="20" s="1"/>
  <c r="W128" i="20"/>
  <c r="AD128" i="20" s="1"/>
  <c r="Z127" i="20"/>
  <c r="AG127" i="20" s="1"/>
  <c r="V127" i="20"/>
  <c r="AC127" i="20" s="1"/>
  <c r="Y126" i="20"/>
  <c r="AF126" i="20" s="1"/>
  <c r="AB125" i="20"/>
  <c r="AI125" i="20" s="1"/>
  <c r="X125" i="20"/>
  <c r="AE125" i="20" s="1"/>
  <c r="AA124" i="20"/>
  <c r="AH124" i="20" s="1"/>
  <c r="W124" i="20"/>
  <c r="AD124" i="20" s="1"/>
  <c r="Z123" i="20"/>
  <c r="AG123" i="20" s="1"/>
  <c r="V123" i="20"/>
  <c r="AC123" i="20" s="1"/>
  <c r="Y122" i="20"/>
  <c r="AF122" i="20" s="1"/>
  <c r="AB121" i="20"/>
  <c r="AI121" i="20" s="1"/>
  <c r="X121" i="20"/>
  <c r="AE121" i="20" s="1"/>
  <c r="AA120" i="20"/>
  <c r="AH120" i="20" s="1"/>
  <c r="W120" i="20"/>
  <c r="AD120" i="20" s="1"/>
  <c r="Z119" i="20"/>
  <c r="AG119" i="20" s="1"/>
  <c r="V119" i="20"/>
  <c r="AC119" i="20" s="1"/>
  <c r="Y118" i="20"/>
  <c r="AF118" i="20" s="1"/>
  <c r="AB139" i="20"/>
  <c r="AI139" i="20" s="1"/>
  <c r="X139" i="20"/>
  <c r="AE139" i="20" s="1"/>
  <c r="AA138" i="20"/>
  <c r="AH138" i="20" s="1"/>
  <c r="W138" i="20"/>
  <c r="AD138" i="20" s="1"/>
  <c r="Z137" i="20"/>
  <c r="AG137" i="20" s="1"/>
  <c r="V137" i="20"/>
  <c r="AC137" i="20" s="1"/>
  <c r="Y136" i="20"/>
  <c r="AF136" i="20" s="1"/>
  <c r="AB135" i="20"/>
  <c r="AI135" i="20" s="1"/>
  <c r="X135" i="20"/>
  <c r="AE135" i="20" s="1"/>
  <c r="AA134" i="20"/>
  <c r="AH134" i="20" s="1"/>
  <c r="W134" i="20"/>
  <c r="AD134" i="20" s="1"/>
  <c r="Z133" i="20"/>
  <c r="AG133" i="20" s="1"/>
  <c r="V133" i="20"/>
  <c r="AC133" i="20" s="1"/>
  <c r="Y132" i="20"/>
  <c r="AF132" i="20" s="1"/>
  <c r="AB131" i="20"/>
  <c r="AI131" i="20" s="1"/>
  <c r="X131" i="20"/>
  <c r="AE131" i="20" s="1"/>
  <c r="AA130" i="20"/>
  <c r="AH130" i="20" s="1"/>
  <c r="W130" i="20"/>
  <c r="AD130" i="20" s="1"/>
  <c r="Z129" i="20"/>
  <c r="AG129" i="20" s="1"/>
  <c r="V129" i="20"/>
  <c r="AC129" i="20" s="1"/>
  <c r="Y128" i="20"/>
  <c r="AF128" i="20" s="1"/>
  <c r="AB127" i="20"/>
  <c r="AI127" i="20" s="1"/>
  <c r="X127" i="20"/>
  <c r="AE127" i="20" s="1"/>
  <c r="AA126" i="20"/>
  <c r="AH126" i="20" s="1"/>
  <c r="W126" i="20"/>
  <c r="AD126" i="20" s="1"/>
  <c r="Z125" i="20"/>
  <c r="AG125" i="20" s="1"/>
  <c r="V125" i="20"/>
  <c r="AC125" i="20" s="1"/>
  <c r="Y124" i="20"/>
  <c r="AF124" i="20" s="1"/>
  <c r="AB123" i="20"/>
  <c r="AI123" i="20" s="1"/>
  <c r="X123" i="20"/>
  <c r="AE123" i="20" s="1"/>
  <c r="AA122" i="20"/>
  <c r="AH122" i="20" s="1"/>
  <c r="W122" i="20"/>
  <c r="AD122" i="20" s="1"/>
  <c r="Z121" i="20"/>
  <c r="AG121" i="20" s="1"/>
  <c r="V121" i="20"/>
  <c r="AC121" i="20" s="1"/>
  <c r="Y120" i="20"/>
  <c r="AF120" i="20" s="1"/>
  <c r="AB119" i="20"/>
  <c r="AI119" i="20" s="1"/>
  <c r="X119" i="20"/>
  <c r="AE119" i="20" s="1"/>
  <c r="AA118" i="20"/>
  <c r="AH118" i="20" s="1"/>
  <c r="W118" i="20"/>
  <c r="AD118" i="20" s="1"/>
  <c r="Y139" i="20"/>
  <c r="AF139" i="20" s="1"/>
  <c r="X138" i="20"/>
  <c r="AE138" i="20" s="1"/>
  <c r="Y137" i="20"/>
  <c r="AF137" i="20" s="1"/>
  <c r="X136" i="20"/>
  <c r="AE136" i="20" s="1"/>
  <c r="Y135" i="20"/>
  <c r="AF135" i="20" s="1"/>
  <c r="X134" i="20"/>
  <c r="AE134" i="20" s="1"/>
  <c r="Y133" i="20"/>
  <c r="AF133" i="20" s="1"/>
  <c r="X132" i="20"/>
  <c r="AE132" i="20" s="1"/>
  <c r="Y131" i="20"/>
  <c r="AF131" i="20" s="1"/>
  <c r="X130" i="20"/>
  <c r="AE130" i="20" s="1"/>
  <c r="Y129" i="20"/>
  <c r="AF129" i="20" s="1"/>
  <c r="X128" i="20"/>
  <c r="AE128" i="20" s="1"/>
  <c r="Y127" i="20"/>
  <c r="AF127" i="20" s="1"/>
  <c r="X126" i="20"/>
  <c r="AE126" i="20" s="1"/>
  <c r="Y125" i="20"/>
  <c r="AF125" i="20" s="1"/>
  <c r="X124" i="20"/>
  <c r="AE124" i="20" s="1"/>
  <c r="Y123" i="20"/>
  <c r="AF123" i="20" s="1"/>
  <c r="X122" i="20"/>
  <c r="AE122" i="20" s="1"/>
  <c r="Y121" i="20"/>
  <c r="AF121" i="20" s="1"/>
  <c r="X120" i="20"/>
  <c r="AE120" i="20" s="1"/>
  <c r="Y119" i="20"/>
  <c r="AF119" i="20" s="1"/>
  <c r="X118" i="20"/>
  <c r="AE118" i="20" s="1"/>
  <c r="Z117" i="20"/>
  <c r="AG117" i="20" s="1"/>
  <c r="V117" i="20"/>
  <c r="AC117" i="20" s="1"/>
  <c r="Y116" i="20"/>
  <c r="AF116" i="20" s="1"/>
  <c r="AB115" i="20"/>
  <c r="AI115" i="20" s="1"/>
  <c r="X115" i="20"/>
  <c r="AE115" i="20" s="1"/>
  <c r="AA114" i="20"/>
  <c r="AH114" i="20" s="1"/>
  <c r="W114" i="20"/>
  <c r="AD114" i="20" s="1"/>
  <c r="Z113" i="20"/>
  <c r="AG113" i="20" s="1"/>
  <c r="V113" i="20"/>
  <c r="AC113" i="20" s="1"/>
  <c r="Y112" i="20"/>
  <c r="AF112" i="20" s="1"/>
  <c r="AB111" i="20"/>
  <c r="AI111" i="20" s="1"/>
  <c r="X111" i="20"/>
  <c r="AE111" i="20" s="1"/>
  <c r="AA110" i="20"/>
  <c r="AH110" i="20" s="1"/>
  <c r="W110" i="20"/>
  <c r="AD110" i="20" s="1"/>
  <c r="Z109" i="20"/>
  <c r="AG109" i="20" s="1"/>
  <c r="V109" i="20"/>
  <c r="AC109" i="20" s="1"/>
  <c r="Y108" i="20"/>
  <c r="AF108" i="20" s="1"/>
  <c r="AB107" i="20"/>
  <c r="AI107" i="20" s="1"/>
  <c r="X107" i="20"/>
  <c r="AE107" i="20" s="1"/>
  <c r="W139" i="20"/>
  <c r="AD139" i="20" s="1"/>
  <c r="V138" i="20"/>
  <c r="AC138" i="20" s="1"/>
  <c r="W137" i="20"/>
  <c r="AD137" i="20" s="1"/>
  <c r="V136" i="20"/>
  <c r="AC136" i="20" s="1"/>
  <c r="W135" i="20"/>
  <c r="AD135" i="20" s="1"/>
  <c r="V134" i="20"/>
  <c r="AC134" i="20" s="1"/>
  <c r="W133" i="20"/>
  <c r="AD133" i="20" s="1"/>
  <c r="V132" i="20"/>
  <c r="AC132" i="20" s="1"/>
  <c r="W131" i="20"/>
  <c r="AD131" i="20" s="1"/>
  <c r="V130" i="20"/>
  <c r="AC130" i="20" s="1"/>
  <c r="W129" i="20"/>
  <c r="AD129" i="20" s="1"/>
  <c r="V128" i="20"/>
  <c r="AC128" i="20" s="1"/>
  <c r="W127" i="20"/>
  <c r="AD127" i="20" s="1"/>
  <c r="V126" i="20"/>
  <c r="AC126" i="20" s="1"/>
  <c r="W125" i="20"/>
  <c r="AD125" i="20" s="1"/>
  <c r="V124" i="20"/>
  <c r="AC124" i="20" s="1"/>
  <c r="W123" i="20"/>
  <c r="AD123" i="20" s="1"/>
  <c r="V122" i="20"/>
  <c r="AC122" i="20" s="1"/>
  <c r="W121" i="20"/>
  <c r="AD121" i="20" s="1"/>
  <c r="V120" i="20"/>
  <c r="AC120" i="20" s="1"/>
  <c r="W119" i="20"/>
  <c r="AD119" i="20" s="1"/>
  <c r="V118" i="20"/>
  <c r="AC118" i="20" s="1"/>
  <c r="Y117" i="20"/>
  <c r="AF117" i="20" s="1"/>
  <c r="AB116" i="20"/>
  <c r="AI116" i="20" s="1"/>
  <c r="X116" i="20"/>
  <c r="AE116" i="20" s="1"/>
  <c r="AA115" i="20"/>
  <c r="AH115" i="20" s="1"/>
  <c r="W115" i="20"/>
  <c r="AD115" i="20" s="1"/>
  <c r="Z114" i="20"/>
  <c r="AG114" i="20" s="1"/>
  <c r="V114" i="20"/>
  <c r="AC114" i="20" s="1"/>
  <c r="Y113" i="20"/>
  <c r="AF113" i="20" s="1"/>
  <c r="AB112" i="20"/>
  <c r="AI112" i="20" s="1"/>
  <c r="X112" i="20"/>
  <c r="AE112" i="20" s="1"/>
  <c r="AA111" i="20"/>
  <c r="AH111" i="20" s="1"/>
  <c r="W111" i="20"/>
  <c r="AD111" i="20" s="1"/>
  <c r="Z110" i="20"/>
  <c r="AG110" i="20" s="1"/>
  <c r="V110" i="20"/>
  <c r="AC110" i="20" s="1"/>
  <c r="Y109" i="20"/>
  <c r="AF109" i="20" s="1"/>
  <c r="AB108" i="20"/>
  <c r="AI108" i="20" s="1"/>
  <c r="X108" i="20"/>
  <c r="AE108" i="20" s="1"/>
  <c r="AA107" i="20"/>
  <c r="AH107" i="20" s="1"/>
  <c r="AB138" i="20"/>
  <c r="AI138" i="20" s="1"/>
  <c r="AB136" i="20"/>
  <c r="AI136" i="20" s="1"/>
  <c r="AB134" i="20"/>
  <c r="AI134" i="20" s="1"/>
  <c r="AB132" i="20"/>
  <c r="AI132" i="20" s="1"/>
  <c r="AB130" i="20"/>
  <c r="AI130" i="20" s="1"/>
  <c r="AB128" i="20"/>
  <c r="AI128" i="20" s="1"/>
  <c r="AB126" i="20"/>
  <c r="AI126" i="20" s="1"/>
  <c r="AB124" i="20"/>
  <c r="AI124" i="20" s="1"/>
  <c r="AB122" i="20"/>
  <c r="AI122" i="20" s="1"/>
  <c r="AB120" i="20"/>
  <c r="AI120" i="20" s="1"/>
  <c r="AB118" i="20"/>
  <c r="AI118" i="20" s="1"/>
  <c r="AB117" i="20"/>
  <c r="AI117" i="20" s="1"/>
  <c r="X117" i="20"/>
  <c r="AE117" i="20" s="1"/>
  <c r="AA116" i="20"/>
  <c r="AH116" i="20" s="1"/>
  <c r="W116" i="20"/>
  <c r="AD116" i="20" s="1"/>
  <c r="Z115" i="20"/>
  <c r="AG115" i="20" s="1"/>
  <c r="V115" i="20"/>
  <c r="AC115" i="20" s="1"/>
  <c r="Y114" i="20"/>
  <c r="AF114" i="20" s="1"/>
  <c r="AB113" i="20"/>
  <c r="AI113" i="20" s="1"/>
  <c r="X113" i="20"/>
  <c r="AE113" i="20" s="1"/>
  <c r="AA112" i="20"/>
  <c r="AH112" i="20" s="1"/>
  <c r="W112" i="20"/>
  <c r="AD112" i="20" s="1"/>
  <c r="Z111" i="20"/>
  <c r="AG111" i="20" s="1"/>
  <c r="V111" i="20"/>
  <c r="AC111" i="20" s="1"/>
  <c r="Y110" i="20"/>
  <c r="AF110" i="20" s="1"/>
  <c r="AB109" i="20"/>
  <c r="AI109" i="20" s="1"/>
  <c r="X109" i="20"/>
  <c r="AE109" i="20" s="1"/>
  <c r="AA108" i="20"/>
  <c r="AH108" i="20" s="1"/>
  <c r="W108" i="20"/>
  <c r="AD108" i="20" s="1"/>
  <c r="Z107" i="20"/>
  <c r="AG107" i="20" s="1"/>
  <c r="V107" i="20"/>
  <c r="AC107" i="20" s="1"/>
  <c r="Z138" i="20"/>
  <c r="AG138" i="20" s="1"/>
  <c r="Z134" i="20"/>
  <c r="AG134" i="20" s="1"/>
  <c r="Z130" i="20"/>
  <c r="AG130" i="20" s="1"/>
  <c r="Z126" i="20"/>
  <c r="AG126" i="20" s="1"/>
  <c r="Z122" i="20"/>
  <c r="AG122" i="20" s="1"/>
  <c r="Z118" i="20"/>
  <c r="AG118" i="20" s="1"/>
  <c r="AA117" i="20"/>
  <c r="AH117" i="20" s="1"/>
  <c r="V112" i="20"/>
  <c r="AC112" i="20" s="1"/>
  <c r="Y111" i="20"/>
  <c r="AF111" i="20" s="1"/>
  <c r="X110" i="20"/>
  <c r="AE110" i="20" s="1"/>
  <c r="AA109" i="20"/>
  <c r="AH109" i="20" s="1"/>
  <c r="AB106" i="20"/>
  <c r="AI106" i="20" s="1"/>
  <c r="X106" i="20"/>
  <c r="AE106" i="20" s="1"/>
  <c r="AA105" i="20"/>
  <c r="AH105" i="20" s="1"/>
  <c r="W105" i="20"/>
  <c r="AD105" i="20" s="1"/>
  <c r="Z104" i="20"/>
  <c r="AG104" i="20" s="1"/>
  <c r="V104" i="20"/>
  <c r="AC104" i="20" s="1"/>
  <c r="Y103" i="20"/>
  <c r="AF103" i="20" s="1"/>
  <c r="AB102" i="20"/>
  <c r="AI102" i="20" s="1"/>
  <c r="X102" i="20"/>
  <c r="AE102" i="20" s="1"/>
  <c r="AA101" i="20"/>
  <c r="AH101" i="20" s="1"/>
  <c r="W101" i="20"/>
  <c r="AD101" i="20" s="1"/>
  <c r="Z100" i="20"/>
  <c r="AG100" i="20" s="1"/>
  <c r="V100" i="20"/>
  <c r="AC100" i="20" s="1"/>
  <c r="Y99" i="20"/>
  <c r="AF99" i="20" s="1"/>
  <c r="AB98" i="20"/>
  <c r="AI98" i="20" s="1"/>
  <c r="X98" i="20"/>
  <c r="AE98" i="20" s="1"/>
  <c r="AA97" i="20"/>
  <c r="AH97" i="20" s="1"/>
  <c r="W97" i="20"/>
  <c r="AD97" i="20" s="1"/>
  <c r="Z96" i="20"/>
  <c r="AG96" i="20" s="1"/>
  <c r="V96" i="20"/>
  <c r="AC96" i="20" s="1"/>
  <c r="Y95" i="20"/>
  <c r="AF95" i="20" s="1"/>
  <c r="AB94" i="20"/>
  <c r="AI94" i="20" s="1"/>
  <c r="X94" i="20"/>
  <c r="AE94" i="20" s="1"/>
  <c r="AA93" i="20"/>
  <c r="AH93" i="20" s="1"/>
  <c r="W93" i="20"/>
  <c r="AD93" i="20" s="1"/>
  <c r="Z92" i="20"/>
  <c r="AG92" i="20" s="1"/>
  <c r="V92" i="20"/>
  <c r="AC92" i="20" s="1"/>
  <c r="Y91" i="20"/>
  <c r="AF91" i="20" s="1"/>
  <c r="AB90" i="20"/>
  <c r="AI90" i="20" s="1"/>
  <c r="X90" i="20"/>
  <c r="AE90" i="20" s="1"/>
  <c r="AA89" i="20"/>
  <c r="AH89" i="20" s="1"/>
  <c r="W89" i="20"/>
  <c r="AD89" i="20" s="1"/>
  <c r="AA139" i="20"/>
  <c r="AH139" i="20" s="1"/>
  <c r="AA135" i="20"/>
  <c r="AH135" i="20" s="1"/>
  <c r="AA131" i="20"/>
  <c r="AH131" i="20" s="1"/>
  <c r="AA127" i="20"/>
  <c r="AH127" i="20" s="1"/>
  <c r="AA123" i="20"/>
  <c r="AH123" i="20" s="1"/>
  <c r="AA119" i="20"/>
  <c r="AH119" i="20" s="1"/>
  <c r="W117" i="20"/>
  <c r="AD117" i="20" s="1"/>
  <c r="Z116" i="20"/>
  <c r="AG116" i="20" s="1"/>
  <c r="AB114" i="20"/>
  <c r="AI114" i="20" s="1"/>
  <c r="W109" i="20"/>
  <c r="AD109" i="20" s="1"/>
  <c r="Z108" i="20"/>
  <c r="AG108" i="20" s="1"/>
  <c r="AA106" i="20"/>
  <c r="AH106" i="20" s="1"/>
  <c r="W106" i="20"/>
  <c r="AD106" i="20" s="1"/>
  <c r="Z105" i="20"/>
  <c r="AG105" i="20" s="1"/>
  <c r="V105" i="20"/>
  <c r="AC105" i="20" s="1"/>
  <c r="Y104" i="20"/>
  <c r="AF104" i="20" s="1"/>
  <c r="AB103" i="20"/>
  <c r="AI103" i="20" s="1"/>
  <c r="X103" i="20"/>
  <c r="AE103" i="20" s="1"/>
  <c r="AA102" i="20"/>
  <c r="AH102" i="20" s="1"/>
  <c r="W102" i="20"/>
  <c r="AD102" i="20" s="1"/>
  <c r="Z101" i="20"/>
  <c r="AG101" i="20" s="1"/>
  <c r="V101" i="20"/>
  <c r="AC101" i="20" s="1"/>
  <c r="Y100" i="20"/>
  <c r="AF100" i="20" s="1"/>
  <c r="AB99" i="20"/>
  <c r="AI99" i="20" s="1"/>
  <c r="X99" i="20"/>
  <c r="AE99" i="20" s="1"/>
  <c r="AA98" i="20"/>
  <c r="AH98" i="20" s="1"/>
  <c r="W98" i="20"/>
  <c r="AD98" i="20" s="1"/>
  <c r="Z97" i="20"/>
  <c r="AG97" i="20" s="1"/>
  <c r="V97" i="20"/>
  <c r="AC97" i="20" s="1"/>
  <c r="Y96" i="20"/>
  <c r="AF96" i="20" s="1"/>
  <c r="AB95" i="20"/>
  <c r="AI95" i="20" s="1"/>
  <c r="X95" i="20"/>
  <c r="AE95" i="20" s="1"/>
  <c r="AA94" i="20"/>
  <c r="AH94" i="20" s="1"/>
  <c r="W94" i="20"/>
  <c r="AD94" i="20" s="1"/>
  <c r="Z93" i="20"/>
  <c r="AG93" i="20" s="1"/>
  <c r="V93" i="20"/>
  <c r="AC93" i="20" s="1"/>
  <c r="Y92" i="20"/>
  <c r="AF92" i="20" s="1"/>
  <c r="AB91" i="20"/>
  <c r="AI91" i="20" s="1"/>
  <c r="X91" i="20"/>
  <c r="AE91" i="20" s="1"/>
  <c r="AA90" i="20"/>
  <c r="AH90" i="20" s="1"/>
  <c r="W90" i="20"/>
  <c r="AD90" i="20" s="1"/>
  <c r="Z89" i="20"/>
  <c r="AG89" i="20" s="1"/>
  <c r="Z136" i="20"/>
  <c r="AG136" i="20" s="1"/>
  <c r="Z132" i="20"/>
  <c r="AG132" i="20" s="1"/>
  <c r="Z128" i="20"/>
  <c r="AG128" i="20" s="1"/>
  <c r="Z124" i="20"/>
  <c r="AG124" i="20" s="1"/>
  <c r="Z120" i="20"/>
  <c r="AG120" i="20" s="1"/>
  <c r="V116" i="20"/>
  <c r="AC116" i="20" s="1"/>
  <c r="Y115" i="20"/>
  <c r="AF115" i="20" s="1"/>
  <c r="X114" i="20"/>
  <c r="AE114" i="20" s="1"/>
  <c r="AA113" i="20"/>
  <c r="AH113" i="20" s="1"/>
  <c r="V108" i="20"/>
  <c r="AC108" i="20" s="1"/>
  <c r="Y107" i="20"/>
  <c r="AF107" i="20" s="1"/>
  <c r="Z106" i="20"/>
  <c r="AG106" i="20" s="1"/>
  <c r="V106" i="20"/>
  <c r="AC106" i="20" s="1"/>
  <c r="Y105" i="20"/>
  <c r="AF105" i="20" s="1"/>
  <c r="AB104" i="20"/>
  <c r="AI104" i="20" s="1"/>
  <c r="X104" i="20"/>
  <c r="AE104" i="20" s="1"/>
  <c r="AA103" i="20"/>
  <c r="AH103" i="20" s="1"/>
  <c r="W103" i="20"/>
  <c r="AD103" i="20" s="1"/>
  <c r="Z102" i="20"/>
  <c r="AG102" i="20" s="1"/>
  <c r="V102" i="20"/>
  <c r="AC102" i="20" s="1"/>
  <c r="Y101" i="20"/>
  <c r="AF101" i="20" s="1"/>
  <c r="AB100" i="20"/>
  <c r="AI100" i="20" s="1"/>
  <c r="X100" i="20"/>
  <c r="AE100" i="20" s="1"/>
  <c r="AA99" i="20"/>
  <c r="AH99" i="20" s="1"/>
  <c r="W99" i="20"/>
  <c r="AD99" i="20" s="1"/>
  <c r="Z98" i="20"/>
  <c r="AG98" i="20" s="1"/>
  <c r="V98" i="20"/>
  <c r="AC98" i="20" s="1"/>
  <c r="Y97" i="20"/>
  <c r="AF97" i="20" s="1"/>
  <c r="AB96" i="20"/>
  <c r="AI96" i="20" s="1"/>
  <c r="X96" i="20"/>
  <c r="AE96" i="20" s="1"/>
  <c r="AA95" i="20"/>
  <c r="AH95" i="20" s="1"/>
  <c r="W95" i="20"/>
  <c r="AD95" i="20" s="1"/>
  <c r="Z94" i="20"/>
  <c r="AG94" i="20" s="1"/>
  <c r="V94" i="20"/>
  <c r="AC94" i="20" s="1"/>
  <c r="Y93" i="20"/>
  <c r="AF93" i="20" s="1"/>
  <c r="AB92" i="20"/>
  <c r="AI92" i="20" s="1"/>
  <c r="X92" i="20"/>
  <c r="AE92" i="20" s="1"/>
  <c r="AA91" i="20"/>
  <c r="AH91" i="20" s="1"/>
  <c r="W91" i="20"/>
  <c r="AD91" i="20" s="1"/>
  <c r="Z90" i="20"/>
  <c r="AG90" i="20" s="1"/>
  <c r="V90" i="20"/>
  <c r="AC90" i="20" s="1"/>
  <c r="Y89" i="20"/>
  <c r="AF89" i="20" s="1"/>
  <c r="AA133" i="20"/>
  <c r="AH133" i="20" s="1"/>
  <c r="AA125" i="20"/>
  <c r="AH125" i="20" s="1"/>
  <c r="Z112" i="20"/>
  <c r="AG112" i="20" s="1"/>
  <c r="AB110" i="20"/>
  <c r="AI110" i="20" s="1"/>
  <c r="V103" i="20"/>
  <c r="AC103" i="20" s="1"/>
  <c r="Y102" i="20"/>
  <c r="AF102" i="20" s="1"/>
  <c r="X101" i="20"/>
  <c r="AE101" i="20" s="1"/>
  <c r="AA100" i="20"/>
  <c r="AH100" i="20" s="1"/>
  <c r="V95" i="20"/>
  <c r="AC95" i="20" s="1"/>
  <c r="Y94" i="20"/>
  <c r="AF94" i="20" s="1"/>
  <c r="X93" i="20"/>
  <c r="AE93" i="20" s="1"/>
  <c r="AA92" i="20"/>
  <c r="AH92" i="20" s="1"/>
  <c r="Y88" i="20"/>
  <c r="AF88" i="20" s="1"/>
  <c r="AB87" i="20"/>
  <c r="AI87" i="20" s="1"/>
  <c r="X87" i="20"/>
  <c r="AE87" i="20" s="1"/>
  <c r="AA86" i="20"/>
  <c r="AH86" i="20" s="1"/>
  <c r="W86" i="20"/>
  <c r="AD86" i="20" s="1"/>
  <c r="Z85" i="20"/>
  <c r="AG85" i="20" s="1"/>
  <c r="V85" i="20"/>
  <c r="AC85" i="20" s="1"/>
  <c r="Y84" i="20"/>
  <c r="AF84" i="20" s="1"/>
  <c r="AB83" i="20"/>
  <c r="AI83" i="20" s="1"/>
  <c r="X83" i="20"/>
  <c r="AE83" i="20" s="1"/>
  <c r="AA82" i="20"/>
  <c r="AH82" i="20" s="1"/>
  <c r="W82" i="20"/>
  <c r="AD82" i="20" s="1"/>
  <c r="Z81" i="20"/>
  <c r="AG81" i="20" s="1"/>
  <c r="V81" i="20"/>
  <c r="AC81" i="20" s="1"/>
  <c r="Y80" i="20"/>
  <c r="AF80" i="20" s="1"/>
  <c r="AB79" i="20"/>
  <c r="AI79" i="20" s="1"/>
  <c r="X79" i="20"/>
  <c r="AE79" i="20" s="1"/>
  <c r="AA78" i="20"/>
  <c r="AH78" i="20" s="1"/>
  <c r="W78" i="20"/>
  <c r="AD78" i="20" s="1"/>
  <c r="Z77" i="20"/>
  <c r="AG77" i="20" s="1"/>
  <c r="V77" i="20"/>
  <c r="AC77" i="20" s="1"/>
  <c r="Y76" i="20"/>
  <c r="AF76" i="20" s="1"/>
  <c r="AB75" i="20"/>
  <c r="AI75" i="20" s="1"/>
  <c r="X75" i="20"/>
  <c r="AE75" i="20" s="1"/>
  <c r="AA74" i="20"/>
  <c r="AH74" i="20" s="1"/>
  <c r="W74" i="20"/>
  <c r="AD74" i="20" s="1"/>
  <c r="Z73" i="20"/>
  <c r="AG73" i="20" s="1"/>
  <c r="V73" i="20"/>
  <c r="AC73" i="20" s="1"/>
  <c r="Y72" i="20"/>
  <c r="AF72" i="20" s="1"/>
  <c r="AB71" i="20"/>
  <c r="AI71" i="20" s="1"/>
  <c r="X71" i="20"/>
  <c r="AE71" i="20" s="1"/>
  <c r="AA70" i="20"/>
  <c r="AH70" i="20" s="1"/>
  <c r="W70" i="20"/>
  <c r="AD70" i="20" s="1"/>
  <c r="Z69" i="20"/>
  <c r="AG69" i="20" s="1"/>
  <c r="V69" i="20"/>
  <c r="AC69" i="20" s="1"/>
  <c r="Y68" i="20"/>
  <c r="AF68" i="20" s="1"/>
  <c r="AB67" i="20"/>
  <c r="AI67" i="20" s="1"/>
  <c r="X67" i="20"/>
  <c r="AE67" i="20" s="1"/>
  <c r="AA66" i="20"/>
  <c r="AH66" i="20" s="1"/>
  <c r="W66" i="20"/>
  <c r="AD66" i="20" s="1"/>
  <c r="Z65" i="20"/>
  <c r="AG65" i="20" s="1"/>
  <c r="V65" i="20"/>
  <c r="AC65" i="20" s="1"/>
  <c r="Y64" i="20"/>
  <c r="AF64" i="20" s="1"/>
  <c r="AB63" i="20"/>
  <c r="AI63" i="20" s="1"/>
  <c r="X63" i="20"/>
  <c r="AE63" i="20" s="1"/>
  <c r="AA62" i="20"/>
  <c r="AH62" i="20" s="1"/>
  <c r="W62" i="20"/>
  <c r="AD62" i="20" s="1"/>
  <c r="Z61" i="20"/>
  <c r="AG61" i="20" s="1"/>
  <c r="V61" i="20"/>
  <c r="AC61" i="20" s="1"/>
  <c r="Y60" i="20"/>
  <c r="AF60" i="20" s="1"/>
  <c r="AB59" i="20"/>
  <c r="AI59" i="20" s="1"/>
  <c r="X59" i="20"/>
  <c r="AE59" i="20" s="1"/>
  <c r="AA58" i="20"/>
  <c r="AH58" i="20" s="1"/>
  <c r="W58" i="20"/>
  <c r="AD58" i="20" s="1"/>
  <c r="Z57" i="20"/>
  <c r="AG57" i="20" s="1"/>
  <c r="V57" i="20"/>
  <c r="AC57" i="20" s="1"/>
  <c r="Y56" i="20"/>
  <c r="AF56" i="20" s="1"/>
  <c r="AB55" i="20"/>
  <c r="AI55" i="20" s="1"/>
  <c r="X55" i="20"/>
  <c r="AE55" i="20" s="1"/>
  <c r="AA54" i="20"/>
  <c r="AH54" i="20" s="1"/>
  <c r="W54" i="20"/>
  <c r="AD54" i="20" s="1"/>
  <c r="Z53" i="20"/>
  <c r="AG53" i="20" s="1"/>
  <c r="V53" i="20"/>
  <c r="AC53" i="20" s="1"/>
  <c r="Y52" i="20"/>
  <c r="AF52" i="20" s="1"/>
  <c r="AB51" i="20"/>
  <c r="AI51" i="20" s="1"/>
  <c r="X51" i="20"/>
  <c r="AE51" i="20" s="1"/>
  <c r="AA50" i="20"/>
  <c r="AH50" i="20" s="1"/>
  <c r="W50" i="20"/>
  <c r="AD50" i="20" s="1"/>
  <c r="Z49" i="20"/>
  <c r="AG49" i="20" s="1"/>
  <c r="V49" i="20"/>
  <c r="AC49" i="20" s="1"/>
  <c r="Y48" i="20"/>
  <c r="AF48" i="20" s="1"/>
  <c r="AB105" i="20"/>
  <c r="AI105" i="20" s="1"/>
  <c r="W100" i="20"/>
  <c r="AD100" i="20" s="1"/>
  <c r="Z99" i="20"/>
  <c r="AG99" i="20" s="1"/>
  <c r="AB97" i="20"/>
  <c r="AI97" i="20" s="1"/>
  <c r="W92" i="20"/>
  <c r="AD92" i="20" s="1"/>
  <c r="Z91" i="20"/>
  <c r="AG91" i="20" s="1"/>
  <c r="AB89" i="20"/>
  <c r="AI89" i="20" s="1"/>
  <c r="AB88" i="20"/>
  <c r="AI88" i="20" s="1"/>
  <c r="X88" i="20"/>
  <c r="AE88" i="20" s="1"/>
  <c r="AA87" i="20"/>
  <c r="AH87" i="20" s="1"/>
  <c r="W87" i="20"/>
  <c r="AD87" i="20" s="1"/>
  <c r="Z86" i="20"/>
  <c r="AG86" i="20" s="1"/>
  <c r="V86" i="20"/>
  <c r="AC86" i="20" s="1"/>
  <c r="Y85" i="20"/>
  <c r="AF85" i="20" s="1"/>
  <c r="AB84" i="20"/>
  <c r="AI84" i="20" s="1"/>
  <c r="X84" i="20"/>
  <c r="AE84" i="20" s="1"/>
  <c r="AA83" i="20"/>
  <c r="AH83" i="20" s="1"/>
  <c r="W83" i="20"/>
  <c r="AD83" i="20" s="1"/>
  <c r="Z82" i="20"/>
  <c r="AG82" i="20" s="1"/>
  <c r="V82" i="20"/>
  <c r="AC82" i="20" s="1"/>
  <c r="Y81" i="20"/>
  <c r="AF81" i="20" s="1"/>
  <c r="AB80" i="20"/>
  <c r="AI80" i="20" s="1"/>
  <c r="X80" i="20"/>
  <c r="AE80" i="20" s="1"/>
  <c r="AA79" i="20"/>
  <c r="AH79" i="20" s="1"/>
  <c r="W79" i="20"/>
  <c r="AD79" i="20" s="1"/>
  <c r="Z78" i="20"/>
  <c r="AG78" i="20" s="1"/>
  <c r="V78" i="20"/>
  <c r="AC78" i="20" s="1"/>
  <c r="Y77" i="20"/>
  <c r="AF77" i="20" s="1"/>
  <c r="AB76" i="20"/>
  <c r="AI76" i="20" s="1"/>
  <c r="X76" i="20"/>
  <c r="AE76" i="20" s="1"/>
  <c r="AA75" i="20"/>
  <c r="AH75" i="20" s="1"/>
  <c r="W75" i="20"/>
  <c r="AD75" i="20" s="1"/>
  <c r="Z74" i="20"/>
  <c r="AG74" i="20" s="1"/>
  <c r="V74" i="20"/>
  <c r="AC74" i="20" s="1"/>
  <c r="Y73" i="20"/>
  <c r="AF73" i="20" s="1"/>
  <c r="AB72" i="20"/>
  <c r="AI72" i="20" s="1"/>
  <c r="X72" i="20"/>
  <c r="AE72" i="20" s="1"/>
  <c r="AA71" i="20"/>
  <c r="AH71" i="20" s="1"/>
  <c r="W71" i="20"/>
  <c r="AD71" i="20" s="1"/>
  <c r="Z70" i="20"/>
  <c r="AG70" i="20" s="1"/>
  <c r="V70" i="20"/>
  <c r="AC70" i="20" s="1"/>
  <c r="Y69" i="20"/>
  <c r="AF69" i="20" s="1"/>
  <c r="AB68" i="20"/>
  <c r="AI68" i="20" s="1"/>
  <c r="X68" i="20"/>
  <c r="AE68" i="20" s="1"/>
  <c r="AA67" i="20"/>
  <c r="AH67" i="20" s="1"/>
  <c r="W67" i="20"/>
  <c r="AD67" i="20" s="1"/>
  <c r="Z66" i="20"/>
  <c r="AG66" i="20" s="1"/>
  <c r="V66" i="20"/>
  <c r="AC66" i="20" s="1"/>
  <c r="Y65" i="20"/>
  <c r="AF65" i="20" s="1"/>
  <c r="AB64" i="20"/>
  <c r="AI64" i="20" s="1"/>
  <c r="X64" i="20"/>
  <c r="AE64" i="20" s="1"/>
  <c r="AA63" i="20"/>
  <c r="AH63" i="20" s="1"/>
  <c r="W63" i="20"/>
  <c r="AD63" i="20" s="1"/>
  <c r="Z62" i="20"/>
  <c r="AG62" i="20" s="1"/>
  <c r="V62" i="20"/>
  <c r="AC62" i="20" s="1"/>
  <c r="Y61" i="20"/>
  <c r="AF61" i="20" s="1"/>
  <c r="AB60" i="20"/>
  <c r="AI60" i="20" s="1"/>
  <c r="X60" i="20"/>
  <c r="AE60" i="20" s="1"/>
  <c r="AA59" i="20"/>
  <c r="AH59" i="20" s="1"/>
  <c r="W59" i="20"/>
  <c r="AD59" i="20" s="1"/>
  <c r="Z58" i="20"/>
  <c r="AG58" i="20" s="1"/>
  <c r="V58" i="20"/>
  <c r="AC58" i="20" s="1"/>
  <c r="Y57" i="20"/>
  <c r="AF57" i="20" s="1"/>
  <c r="AB56" i="20"/>
  <c r="AI56" i="20" s="1"/>
  <c r="X56" i="20"/>
  <c r="AE56" i="20" s="1"/>
  <c r="AA55" i="20"/>
  <c r="AH55" i="20" s="1"/>
  <c r="W55" i="20"/>
  <c r="AD55" i="20" s="1"/>
  <c r="Z54" i="20"/>
  <c r="AG54" i="20" s="1"/>
  <c r="V54" i="20"/>
  <c r="AC54" i="20" s="1"/>
  <c r="Y53" i="20"/>
  <c r="AF53" i="20" s="1"/>
  <c r="AB52" i="20"/>
  <c r="AI52" i="20" s="1"/>
  <c r="X52" i="20"/>
  <c r="AE52" i="20" s="1"/>
  <c r="AA51" i="20"/>
  <c r="AH51" i="20" s="1"/>
  <c r="W51" i="20"/>
  <c r="AD51" i="20" s="1"/>
  <c r="Z50" i="20"/>
  <c r="AG50" i="20" s="1"/>
  <c r="V50" i="20"/>
  <c r="AC50" i="20" s="1"/>
  <c r="Y49" i="20"/>
  <c r="AF49" i="20" s="1"/>
  <c r="AB48" i="20"/>
  <c r="AI48" i="20" s="1"/>
  <c r="X48" i="20"/>
  <c r="AE48" i="20" s="1"/>
  <c r="AA47" i="20"/>
  <c r="AH47" i="20" s="1"/>
  <c r="AA137" i="20"/>
  <c r="AH137" i="20" s="1"/>
  <c r="AA129" i="20"/>
  <c r="AH129" i="20" s="1"/>
  <c r="AA121" i="20"/>
  <c r="AH121" i="20" s="1"/>
  <c r="W113" i="20"/>
  <c r="AD113" i="20" s="1"/>
  <c r="W107" i="20"/>
  <c r="AD107" i="20" s="1"/>
  <c r="Y106" i="20"/>
  <c r="AF106" i="20" s="1"/>
  <c r="X105" i="20"/>
  <c r="AE105" i="20" s="1"/>
  <c r="AA104" i="20"/>
  <c r="AH104" i="20" s="1"/>
  <c r="V99" i="20"/>
  <c r="AC99" i="20" s="1"/>
  <c r="Y98" i="20"/>
  <c r="AF98" i="20" s="1"/>
  <c r="X97" i="20"/>
  <c r="AE97" i="20" s="1"/>
  <c r="AA96" i="20"/>
  <c r="AH96" i="20" s="1"/>
  <c r="V91" i="20"/>
  <c r="AC91" i="20" s="1"/>
  <c r="Y90" i="20"/>
  <c r="AF90" i="20" s="1"/>
  <c r="X89" i="20"/>
  <c r="AE89" i="20" s="1"/>
  <c r="AA88" i="20"/>
  <c r="AH88" i="20" s="1"/>
  <c r="W88" i="20"/>
  <c r="AD88" i="20" s="1"/>
  <c r="Z87" i="20"/>
  <c r="AG87" i="20" s="1"/>
  <c r="V87" i="20"/>
  <c r="AC87" i="20" s="1"/>
  <c r="Y86" i="20"/>
  <c r="AF86" i="20" s="1"/>
  <c r="AB85" i="20"/>
  <c r="AI85" i="20" s="1"/>
  <c r="X85" i="20"/>
  <c r="AE85" i="20" s="1"/>
  <c r="AA84" i="20"/>
  <c r="AH84" i="20" s="1"/>
  <c r="W84" i="20"/>
  <c r="AD84" i="20" s="1"/>
  <c r="Z83" i="20"/>
  <c r="AG83" i="20" s="1"/>
  <c r="V83" i="20"/>
  <c r="AC83" i="20" s="1"/>
  <c r="Y82" i="20"/>
  <c r="AF82" i="20" s="1"/>
  <c r="AB81" i="20"/>
  <c r="AI81" i="20" s="1"/>
  <c r="X81" i="20"/>
  <c r="AE81" i="20" s="1"/>
  <c r="AA80" i="20"/>
  <c r="AH80" i="20" s="1"/>
  <c r="W80" i="20"/>
  <c r="AD80" i="20" s="1"/>
  <c r="Z79" i="20"/>
  <c r="AG79" i="20" s="1"/>
  <c r="V79" i="20"/>
  <c r="AC79" i="20" s="1"/>
  <c r="Y78" i="20"/>
  <c r="AF78" i="20" s="1"/>
  <c r="AB77" i="20"/>
  <c r="AI77" i="20" s="1"/>
  <c r="X77" i="20"/>
  <c r="AE77" i="20" s="1"/>
  <c r="AA76" i="20"/>
  <c r="AH76" i="20" s="1"/>
  <c r="W76" i="20"/>
  <c r="AD76" i="20" s="1"/>
  <c r="Z75" i="20"/>
  <c r="AG75" i="20" s="1"/>
  <c r="V75" i="20"/>
  <c r="AC75" i="20" s="1"/>
  <c r="Y74" i="20"/>
  <c r="AF74" i="20" s="1"/>
  <c r="AB73" i="20"/>
  <c r="AI73" i="20" s="1"/>
  <c r="X73" i="20"/>
  <c r="AE73" i="20" s="1"/>
  <c r="AA72" i="20"/>
  <c r="AH72" i="20" s="1"/>
  <c r="W72" i="20"/>
  <c r="AD72" i="20" s="1"/>
  <c r="Z71" i="20"/>
  <c r="AG71" i="20" s="1"/>
  <c r="V71" i="20"/>
  <c r="AC71" i="20" s="1"/>
  <c r="Y70" i="20"/>
  <c r="AF70" i="20" s="1"/>
  <c r="AB69" i="20"/>
  <c r="AI69" i="20" s="1"/>
  <c r="X69" i="20"/>
  <c r="AE69" i="20" s="1"/>
  <c r="AA68" i="20"/>
  <c r="AH68" i="20" s="1"/>
  <c r="W68" i="20"/>
  <c r="AD68" i="20" s="1"/>
  <c r="Z67" i="20"/>
  <c r="AG67" i="20" s="1"/>
  <c r="V67" i="20"/>
  <c r="AC67" i="20" s="1"/>
  <c r="Y66" i="20"/>
  <c r="AF66" i="20" s="1"/>
  <c r="AB65" i="20"/>
  <c r="AI65" i="20" s="1"/>
  <c r="X65" i="20"/>
  <c r="AE65" i="20" s="1"/>
  <c r="AA64" i="20"/>
  <c r="AH64" i="20" s="1"/>
  <c r="W64" i="20"/>
  <c r="AD64" i="20" s="1"/>
  <c r="Z63" i="20"/>
  <c r="AG63" i="20" s="1"/>
  <c r="V63" i="20"/>
  <c r="AC63" i="20" s="1"/>
  <c r="Y62" i="20"/>
  <c r="AF62" i="20" s="1"/>
  <c r="AB61" i="20"/>
  <c r="AI61" i="20" s="1"/>
  <c r="X61" i="20"/>
  <c r="AE61" i="20" s="1"/>
  <c r="AA60" i="20"/>
  <c r="AH60" i="20" s="1"/>
  <c r="W60" i="20"/>
  <c r="AD60" i="20" s="1"/>
  <c r="Z59" i="20"/>
  <c r="AG59" i="20" s="1"/>
  <c r="V59" i="20"/>
  <c r="AC59" i="20" s="1"/>
  <c r="Y58" i="20"/>
  <c r="AF58" i="20" s="1"/>
  <c r="AB57" i="20"/>
  <c r="AI57" i="20" s="1"/>
  <c r="X57" i="20"/>
  <c r="AE57" i="20" s="1"/>
  <c r="AA56" i="20"/>
  <c r="AH56" i="20" s="1"/>
  <c r="W56" i="20"/>
  <c r="AD56" i="20" s="1"/>
  <c r="Z55" i="20"/>
  <c r="AG55" i="20" s="1"/>
  <c r="V55" i="20"/>
  <c r="AC55" i="20" s="1"/>
  <c r="Y54" i="20"/>
  <c r="AF54" i="20" s="1"/>
  <c r="AB53" i="20"/>
  <c r="AI53" i="20" s="1"/>
  <c r="X53" i="20"/>
  <c r="AE53" i="20" s="1"/>
  <c r="AA52" i="20"/>
  <c r="AH52" i="20" s="1"/>
  <c r="W52" i="20"/>
  <c r="AD52" i="20" s="1"/>
  <c r="Z51" i="20"/>
  <c r="AG51" i="20" s="1"/>
  <c r="V51" i="20"/>
  <c r="AC51" i="20" s="1"/>
  <c r="Y50" i="20"/>
  <c r="AF50" i="20" s="1"/>
  <c r="AB49" i="20"/>
  <c r="AI49" i="20" s="1"/>
  <c r="X49" i="20"/>
  <c r="AE49" i="20" s="1"/>
  <c r="W14" i="20"/>
  <c r="AD14" i="20" s="1"/>
  <c r="AA14" i="20"/>
  <c r="AH14" i="20" s="1"/>
  <c r="X15" i="20"/>
  <c r="AE15" i="20" s="1"/>
  <c r="AB15" i="20"/>
  <c r="AI15" i="20" s="1"/>
  <c r="Y16" i="20"/>
  <c r="AF16" i="20" s="1"/>
  <c r="V17" i="20"/>
  <c r="AC17" i="20" s="1"/>
  <c r="Z17" i="20"/>
  <c r="AG17" i="20" s="1"/>
  <c r="W18" i="20"/>
  <c r="AD18" i="20" s="1"/>
  <c r="AA18" i="20"/>
  <c r="AH18" i="20" s="1"/>
  <c r="X19" i="20"/>
  <c r="AE19" i="20" s="1"/>
  <c r="AB19" i="20"/>
  <c r="AI19" i="20" s="1"/>
  <c r="Y20" i="20"/>
  <c r="AF20" i="20" s="1"/>
  <c r="V21" i="20"/>
  <c r="AC21" i="20" s="1"/>
  <c r="Z21" i="20"/>
  <c r="AG21" i="20" s="1"/>
  <c r="W22" i="20"/>
  <c r="AD22" i="20" s="1"/>
  <c r="AA22" i="20"/>
  <c r="AH22" i="20" s="1"/>
  <c r="X23" i="20"/>
  <c r="AE23" i="20" s="1"/>
  <c r="AB23" i="20"/>
  <c r="AI23" i="20" s="1"/>
  <c r="Y24" i="20"/>
  <c r="AF24" i="20" s="1"/>
  <c r="V25" i="20"/>
  <c r="AC25" i="20" s="1"/>
  <c r="Z25" i="20"/>
  <c r="AG25" i="20" s="1"/>
  <c r="W26" i="20"/>
  <c r="AD26" i="20" s="1"/>
  <c r="AA26" i="20"/>
  <c r="AH26" i="20" s="1"/>
  <c r="X27" i="20"/>
  <c r="AE27" i="20" s="1"/>
  <c r="AB27" i="20"/>
  <c r="AI27" i="20" s="1"/>
  <c r="Y28" i="20"/>
  <c r="AF28" i="20" s="1"/>
  <c r="V29" i="20"/>
  <c r="AC29" i="20" s="1"/>
  <c r="Z29" i="20"/>
  <c r="AG29" i="20" s="1"/>
  <c r="W30" i="20"/>
  <c r="AD30" i="20" s="1"/>
  <c r="AA30" i="20"/>
  <c r="AH30" i="20" s="1"/>
  <c r="X31" i="20"/>
  <c r="AE31" i="20" s="1"/>
  <c r="AB31" i="20"/>
  <c r="AI31" i="20" s="1"/>
  <c r="Y32" i="20"/>
  <c r="AF32" i="20" s="1"/>
  <c r="V33" i="20"/>
  <c r="AC33" i="20" s="1"/>
  <c r="Z33" i="20"/>
  <c r="AG33" i="20" s="1"/>
  <c r="W34" i="20"/>
  <c r="AD34" i="20" s="1"/>
  <c r="AA34" i="20"/>
  <c r="AH34" i="20" s="1"/>
  <c r="X35" i="20"/>
  <c r="AE35" i="20" s="1"/>
  <c r="AB35" i="20"/>
  <c r="AI35" i="20" s="1"/>
  <c r="Y36" i="20"/>
  <c r="AF36" i="20" s="1"/>
  <c r="V37" i="20"/>
  <c r="AC37" i="20" s="1"/>
  <c r="Z37" i="20"/>
  <c r="AG37" i="20" s="1"/>
  <c r="W38" i="20"/>
  <c r="AD38" i="20" s="1"/>
  <c r="AA38" i="20"/>
  <c r="AH38" i="20" s="1"/>
  <c r="X39" i="20"/>
  <c r="AE39" i="20" s="1"/>
  <c r="AB39" i="20"/>
  <c r="AI39" i="20" s="1"/>
  <c r="Y40" i="20"/>
  <c r="AF40" i="20" s="1"/>
  <c r="V41" i="20"/>
  <c r="AC41" i="20" s="1"/>
  <c r="Z41" i="20"/>
  <c r="AG41" i="20" s="1"/>
  <c r="W42" i="20"/>
  <c r="AD42" i="20" s="1"/>
  <c r="AA42" i="20"/>
  <c r="AH42" i="20" s="1"/>
  <c r="X43" i="20"/>
  <c r="AE43" i="20" s="1"/>
  <c r="AB43" i="20"/>
  <c r="AI43" i="20" s="1"/>
  <c r="Y44" i="20"/>
  <c r="AF44" i="20" s="1"/>
  <c r="V45" i="20"/>
  <c r="AC45" i="20" s="1"/>
  <c r="Z45" i="20"/>
  <c r="AG45" i="20" s="1"/>
  <c r="W46" i="20"/>
  <c r="AD46" i="20" s="1"/>
  <c r="AA46" i="20"/>
  <c r="AH46" i="20" s="1"/>
  <c r="X47" i="20"/>
  <c r="AE47" i="20" s="1"/>
  <c r="AA48" i="20"/>
  <c r="AH48" i="20" s="1"/>
  <c r="AB50" i="20"/>
  <c r="AI50" i="20" s="1"/>
  <c r="Z52" i="20"/>
  <c r="AG52" i="20" s="1"/>
  <c r="W53" i="20"/>
  <c r="AD53" i="20" s="1"/>
  <c r="AB58" i="20"/>
  <c r="AI58" i="20" s="1"/>
  <c r="Z60" i="20"/>
  <c r="AG60" i="20" s="1"/>
  <c r="W61" i="20"/>
  <c r="AD61" i="20" s="1"/>
  <c r="AB66" i="20"/>
  <c r="AI66" i="20" s="1"/>
  <c r="Z68" i="20"/>
  <c r="AG68" i="20" s="1"/>
  <c r="W69" i="20"/>
  <c r="AD69" i="20" s="1"/>
  <c r="AB74" i="20"/>
  <c r="AI74" i="20" s="1"/>
  <c r="Z76" i="20"/>
  <c r="AG76" i="20" s="1"/>
  <c r="W77" i="20"/>
  <c r="AD77" i="20" s="1"/>
  <c r="AB82" i="20"/>
  <c r="AI82" i="20" s="1"/>
  <c r="Z84" i="20"/>
  <c r="AG84" i="20" s="1"/>
  <c r="W85" i="20"/>
  <c r="AD85" i="20" s="1"/>
  <c r="AB93" i="20"/>
  <c r="AI93" i="20" s="1"/>
  <c r="Z95" i="20"/>
  <c r="AG95" i="20" s="1"/>
  <c r="W104" i="20"/>
  <c r="AD104" i="20" s="1"/>
  <c r="X14" i="20"/>
  <c r="AE14" i="20" s="1"/>
  <c r="AB14" i="20"/>
  <c r="AI14" i="20" s="1"/>
  <c r="Y15" i="20"/>
  <c r="AF15" i="20" s="1"/>
  <c r="V16" i="20"/>
  <c r="AC16" i="20" s="1"/>
  <c r="Z16" i="20"/>
  <c r="AG16" i="20" s="1"/>
  <c r="W17" i="20"/>
  <c r="AD17" i="20" s="1"/>
  <c r="AA17" i="20"/>
  <c r="AH17" i="20" s="1"/>
  <c r="X18" i="20"/>
  <c r="AE18" i="20" s="1"/>
  <c r="AB18" i="20"/>
  <c r="AI18" i="20" s="1"/>
  <c r="Y19" i="20"/>
  <c r="AF19" i="20" s="1"/>
  <c r="V20" i="20"/>
  <c r="AC20" i="20" s="1"/>
  <c r="Z20" i="20"/>
  <c r="AG20" i="20" s="1"/>
  <c r="W21" i="20"/>
  <c r="AD21" i="20" s="1"/>
  <c r="AA21" i="20"/>
  <c r="AH21" i="20" s="1"/>
  <c r="X22" i="20"/>
  <c r="AE22" i="20" s="1"/>
  <c r="AB22" i="20"/>
  <c r="AI22" i="20" s="1"/>
  <c r="Y23" i="20"/>
  <c r="AF23" i="20" s="1"/>
  <c r="V24" i="20"/>
  <c r="AC24" i="20" s="1"/>
  <c r="Z24" i="20"/>
  <c r="AG24" i="20" s="1"/>
  <c r="W25" i="20"/>
  <c r="AD25" i="20" s="1"/>
  <c r="AA25" i="20"/>
  <c r="AH25" i="20" s="1"/>
  <c r="X26" i="20"/>
  <c r="AE26" i="20" s="1"/>
  <c r="AB26" i="20"/>
  <c r="AI26" i="20" s="1"/>
  <c r="Y27" i="20"/>
  <c r="AF27" i="20" s="1"/>
  <c r="V28" i="20"/>
  <c r="AC28" i="20" s="1"/>
  <c r="Z28" i="20"/>
  <c r="AG28" i="20" s="1"/>
  <c r="W29" i="20"/>
  <c r="AD29" i="20" s="1"/>
  <c r="AA29" i="20"/>
  <c r="AH29" i="20" s="1"/>
  <c r="X30" i="20"/>
  <c r="AE30" i="20" s="1"/>
  <c r="AB30" i="20"/>
  <c r="AI30" i="20" s="1"/>
  <c r="Y31" i="20"/>
  <c r="AF31" i="20" s="1"/>
  <c r="V32" i="20"/>
  <c r="AC32" i="20" s="1"/>
  <c r="Z32" i="20"/>
  <c r="AG32" i="20" s="1"/>
  <c r="W33" i="20"/>
  <c r="AD33" i="20" s="1"/>
  <c r="AA33" i="20"/>
  <c r="AH33" i="20" s="1"/>
  <c r="X34" i="20"/>
  <c r="AE34" i="20" s="1"/>
  <c r="AB34" i="20"/>
  <c r="AI34" i="20" s="1"/>
  <c r="Y35" i="20"/>
  <c r="AF35" i="20" s="1"/>
  <c r="V36" i="20"/>
  <c r="AC36" i="20" s="1"/>
  <c r="Z36" i="20"/>
  <c r="AG36" i="20" s="1"/>
  <c r="W37" i="20"/>
  <c r="AD37" i="20" s="1"/>
  <c r="AA37" i="20"/>
  <c r="AH37" i="20" s="1"/>
  <c r="X38" i="20"/>
  <c r="AE38" i="20" s="1"/>
  <c r="AB38" i="20"/>
  <c r="AI38" i="20" s="1"/>
  <c r="Y39" i="20"/>
  <c r="AF39" i="20" s="1"/>
  <c r="V40" i="20"/>
  <c r="AC40" i="20" s="1"/>
  <c r="Z40" i="20"/>
  <c r="AG40" i="20" s="1"/>
  <c r="W41" i="20"/>
  <c r="AD41" i="20" s="1"/>
  <c r="AA41" i="20"/>
  <c r="AH41" i="20" s="1"/>
  <c r="X42" i="20"/>
  <c r="AE42" i="20" s="1"/>
  <c r="AB42" i="20"/>
  <c r="AI42" i="20" s="1"/>
  <c r="Y43" i="20"/>
  <c r="AF43" i="20" s="1"/>
  <c r="V44" i="20"/>
  <c r="AC44" i="20" s="1"/>
  <c r="Z44" i="20"/>
  <c r="AG44" i="20" s="1"/>
  <c r="W45" i="20"/>
  <c r="AD45" i="20" s="1"/>
  <c r="AA45" i="20"/>
  <c r="AH45" i="20" s="1"/>
  <c r="X46" i="20"/>
  <c r="AE46" i="20" s="1"/>
  <c r="AB46" i="20"/>
  <c r="AI46" i="20" s="1"/>
  <c r="Y47" i="20"/>
  <c r="AF47" i="20" s="1"/>
  <c r="V48" i="20"/>
  <c r="AC48" i="20" s="1"/>
  <c r="AA53" i="20"/>
  <c r="AH53" i="20" s="1"/>
  <c r="X54" i="20"/>
  <c r="AE54" i="20" s="1"/>
  <c r="Y55" i="20"/>
  <c r="AF55" i="20" s="1"/>
  <c r="V56" i="20"/>
  <c r="AC56" i="20" s="1"/>
  <c r="AA61" i="20"/>
  <c r="AH61" i="20" s="1"/>
  <c r="X62" i="20"/>
  <c r="AE62" i="20" s="1"/>
  <c r="Y63" i="20"/>
  <c r="AF63" i="20" s="1"/>
  <c r="V64" i="20"/>
  <c r="AC64" i="20" s="1"/>
  <c r="AA69" i="20"/>
  <c r="AH69" i="20" s="1"/>
  <c r="X70" i="20"/>
  <c r="AE70" i="20" s="1"/>
  <c r="Y71" i="20"/>
  <c r="AF71" i="20" s="1"/>
  <c r="V72" i="20"/>
  <c r="AC72" i="20" s="1"/>
  <c r="AA77" i="20"/>
  <c r="AH77" i="20" s="1"/>
  <c r="X78" i="20"/>
  <c r="AE78" i="20" s="1"/>
  <c r="Y79" i="20"/>
  <c r="AF79" i="20" s="1"/>
  <c r="V80" i="20"/>
  <c r="AC80" i="20" s="1"/>
  <c r="AA85" i="20"/>
  <c r="AH85" i="20" s="1"/>
  <c r="X86" i="20"/>
  <c r="AE86" i="20" s="1"/>
  <c r="Y87" i="20"/>
  <c r="AF87" i="20" s="1"/>
  <c r="V88" i="20"/>
  <c r="AC88" i="20" s="1"/>
  <c r="V89" i="20"/>
  <c r="AC89" i="20" s="1"/>
  <c r="Y14" i="20"/>
  <c r="AF14" i="20" s="1"/>
  <c r="V15" i="20"/>
  <c r="AC15" i="20" s="1"/>
  <c r="Z15" i="20"/>
  <c r="AG15" i="20" s="1"/>
  <c r="W16" i="20"/>
  <c r="AD16" i="20" s="1"/>
  <c r="AA16" i="20"/>
  <c r="AH16" i="20" s="1"/>
  <c r="X17" i="20"/>
  <c r="AE17" i="20" s="1"/>
  <c r="AB17" i="20"/>
  <c r="AI17" i="20" s="1"/>
  <c r="Y18" i="20"/>
  <c r="AF18" i="20" s="1"/>
  <c r="V19" i="20"/>
  <c r="AC19" i="20" s="1"/>
  <c r="Z19" i="20"/>
  <c r="AG19" i="20" s="1"/>
  <c r="W20" i="20"/>
  <c r="AD20" i="20" s="1"/>
  <c r="AA20" i="20"/>
  <c r="AH20" i="20" s="1"/>
  <c r="X21" i="20"/>
  <c r="AE21" i="20" s="1"/>
  <c r="AB21" i="20"/>
  <c r="AI21" i="20" s="1"/>
  <c r="Y22" i="20"/>
  <c r="AF22" i="20" s="1"/>
  <c r="V23" i="20"/>
  <c r="AC23" i="20" s="1"/>
  <c r="Z23" i="20"/>
  <c r="AG23" i="20" s="1"/>
  <c r="W24" i="20"/>
  <c r="AD24" i="20" s="1"/>
  <c r="AA24" i="20"/>
  <c r="AH24" i="20" s="1"/>
  <c r="X25" i="20"/>
  <c r="AE25" i="20" s="1"/>
  <c r="AB25" i="20"/>
  <c r="AI25" i="20" s="1"/>
  <c r="Y26" i="20"/>
  <c r="AF26" i="20" s="1"/>
  <c r="V27" i="20"/>
  <c r="AC27" i="20" s="1"/>
  <c r="Z27" i="20"/>
  <c r="AG27" i="20" s="1"/>
  <c r="W28" i="20"/>
  <c r="AD28" i="20" s="1"/>
  <c r="AA28" i="20"/>
  <c r="AH28" i="20" s="1"/>
  <c r="X29" i="20"/>
  <c r="AE29" i="20" s="1"/>
  <c r="AB29" i="20"/>
  <c r="AI29" i="20" s="1"/>
  <c r="Y30" i="20"/>
  <c r="AF30" i="20" s="1"/>
  <c r="V31" i="20"/>
  <c r="AC31" i="20" s="1"/>
  <c r="Z31" i="20"/>
  <c r="AG31" i="20" s="1"/>
  <c r="W32" i="20"/>
  <c r="AD32" i="20" s="1"/>
  <c r="AA32" i="20"/>
  <c r="AH32" i="20" s="1"/>
  <c r="X33" i="20"/>
  <c r="AE33" i="20" s="1"/>
  <c r="AB33" i="20"/>
  <c r="AI33" i="20" s="1"/>
  <c r="Y34" i="20"/>
  <c r="AF34" i="20" s="1"/>
  <c r="V35" i="20"/>
  <c r="AC35" i="20" s="1"/>
  <c r="Z35" i="20"/>
  <c r="AG35" i="20" s="1"/>
  <c r="W36" i="20"/>
  <c r="AD36" i="20" s="1"/>
  <c r="AA36" i="20"/>
  <c r="AH36" i="20" s="1"/>
  <c r="X37" i="20"/>
  <c r="AE37" i="20" s="1"/>
  <c r="AB37" i="20"/>
  <c r="AI37" i="20" s="1"/>
  <c r="Y38" i="20"/>
  <c r="AF38" i="20" s="1"/>
  <c r="V39" i="20"/>
  <c r="AC39" i="20" s="1"/>
  <c r="Z39" i="20"/>
  <c r="AG39" i="20" s="1"/>
  <c r="W40" i="20"/>
  <c r="AD40" i="20" s="1"/>
  <c r="AA40" i="20"/>
  <c r="AH40" i="20" s="1"/>
  <c r="X41" i="20"/>
  <c r="AE41" i="20" s="1"/>
  <c r="AB41" i="20"/>
  <c r="AI41" i="20" s="1"/>
  <c r="Y42" i="20"/>
  <c r="AF42" i="20" s="1"/>
  <c r="V43" i="20"/>
  <c r="AC43" i="20" s="1"/>
  <c r="Z43" i="20"/>
  <c r="AG43" i="20" s="1"/>
  <c r="W44" i="20"/>
  <c r="AD44" i="20" s="1"/>
  <c r="AA44" i="20"/>
  <c r="AH44" i="20" s="1"/>
  <c r="X45" i="20"/>
  <c r="AE45" i="20" s="1"/>
  <c r="AB45" i="20"/>
  <c r="AI45" i="20" s="1"/>
  <c r="Y46" i="20"/>
  <c r="AF46" i="20" s="1"/>
  <c r="V47" i="20"/>
  <c r="AC47" i="20" s="1"/>
  <c r="Z47" i="20"/>
  <c r="AG47" i="20" s="1"/>
  <c r="W48" i="20"/>
  <c r="AD48" i="20" s="1"/>
  <c r="W49" i="20"/>
  <c r="AD49" i="20" s="1"/>
  <c r="AB54" i="20"/>
  <c r="AI54" i="20" s="1"/>
  <c r="Z56" i="20"/>
  <c r="AG56" i="20" s="1"/>
  <c r="W57" i="20"/>
  <c r="AD57" i="20" s="1"/>
  <c r="AB62" i="20"/>
  <c r="AI62" i="20" s="1"/>
  <c r="Z64" i="20"/>
  <c r="AG64" i="20" s="1"/>
  <c r="W65" i="20"/>
  <c r="AD65" i="20" s="1"/>
  <c r="AB70" i="20"/>
  <c r="AI70" i="20" s="1"/>
  <c r="Z72" i="20"/>
  <c r="AG72" i="20" s="1"/>
  <c r="W73" i="20"/>
  <c r="AD73" i="20" s="1"/>
  <c r="AB78" i="20"/>
  <c r="AI78" i="20" s="1"/>
  <c r="Z80" i="20"/>
  <c r="AG80" i="20" s="1"/>
  <c r="W81" i="20"/>
  <c r="AD81" i="20" s="1"/>
  <c r="AB86" i="20"/>
  <c r="AI86" i="20" s="1"/>
  <c r="Z88" i="20"/>
  <c r="AG88" i="20" s="1"/>
  <c r="W96" i="20"/>
  <c r="AD96" i="20" s="1"/>
  <c r="AB101" i="20"/>
  <c r="AI101" i="20" s="1"/>
  <c r="Z103" i="20"/>
  <c r="AG103" i="20" s="1"/>
  <c r="AI140" i="21" l="1"/>
  <c r="AG140" i="21"/>
  <c r="AF140" i="21"/>
  <c r="AE140" i="21"/>
  <c r="AG140" i="20"/>
  <c r="AE140" i="20"/>
  <c r="AI140" i="20"/>
  <c r="AC140" i="21"/>
  <c r="AC142" i="21"/>
  <c r="AC143" i="21" s="1"/>
  <c r="AE142" i="21"/>
  <c r="AE143" i="21" s="1"/>
  <c r="AG142" i="21"/>
  <c r="AG143" i="21" s="1"/>
  <c r="AF142" i="21"/>
  <c r="AF143" i="21" s="1"/>
  <c r="AI142" i="21"/>
  <c r="AI143" i="21" s="1"/>
  <c r="AD140" i="21"/>
  <c r="AD142" i="21"/>
  <c r="AD143" i="21" s="1"/>
  <c r="AH140" i="21"/>
  <c r="AH142" i="21"/>
  <c r="AH143" i="21" s="1"/>
  <c r="AC140" i="20"/>
  <c r="AE142" i="20"/>
  <c r="AE143" i="20" s="1"/>
  <c r="AC142" i="20"/>
  <c r="AC143" i="20" s="1"/>
  <c r="AI142" i="20"/>
  <c r="AI143" i="20" s="1"/>
  <c r="AD142" i="20"/>
  <c r="AD143" i="20" s="1"/>
  <c r="AD140" i="20"/>
  <c r="AF142" i="20"/>
  <c r="AF143" i="20" s="1"/>
  <c r="AF140" i="20"/>
  <c r="AH140" i="20"/>
  <c r="AH142" i="20"/>
  <c r="AH143" i="20" s="1"/>
  <c r="AG142" i="20"/>
  <c r="AG143" i="20" s="1"/>
  <c r="AI144" i="21" l="1"/>
  <c r="E17" i="17" s="1"/>
  <c r="AH144" i="21"/>
  <c r="E16" i="17" s="1"/>
  <c r="AG144" i="21"/>
  <c r="E15" i="17" s="1"/>
  <c r="AF144" i="21"/>
  <c r="E14" i="17" s="1"/>
  <c r="AE144" i="21"/>
  <c r="E13" i="17" s="1"/>
  <c r="AD144" i="21"/>
  <c r="E12" i="17" s="1"/>
  <c r="AC144" i="21"/>
  <c r="E11" i="17" s="1"/>
  <c r="AI144" i="20"/>
  <c r="D17" i="17" s="1"/>
  <c r="AH144" i="20"/>
  <c r="D16" i="17" s="1"/>
  <c r="AG144" i="20"/>
  <c r="D15" i="17" s="1"/>
  <c r="AF144" i="20"/>
  <c r="D14" i="17" s="1"/>
  <c r="AE144" i="20"/>
  <c r="D13" i="17" s="1"/>
  <c r="AD144" i="20"/>
  <c r="D12" i="17" s="1"/>
  <c r="AC144" i="20"/>
  <c r="D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V10" i="12" l="1"/>
  <c r="V9" i="12"/>
  <c r="Z9" i="12"/>
  <c r="Y9" i="12"/>
  <c r="W9" i="12"/>
  <c r="AA9" i="12"/>
  <c r="X9" i="12"/>
  <c r="AB9" i="12"/>
  <c r="U11" i="12"/>
  <c r="AI141" i="12" l="1"/>
  <c r="AH141" i="12"/>
  <c r="AG141" i="12"/>
  <c r="AF141" i="12"/>
  <c r="AE141" i="12"/>
  <c r="F17" i="19" l="1"/>
  <c r="H17" i="19"/>
  <c r="I17" i="19"/>
  <c r="J17" i="19"/>
  <c r="K17" i="19"/>
  <c r="L17" i="19"/>
  <c r="M17" i="19"/>
  <c r="C6" i="19"/>
  <c r="C5" i="19"/>
  <c r="A3" i="19"/>
  <c r="R11" i="15" l="1"/>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0" i="15"/>
  <c r="Q137" i="15"/>
  <c r="P137" i="15"/>
  <c r="O137" i="15"/>
  <c r="N137" i="15"/>
  <c r="M137" i="15"/>
  <c r="L137" i="15"/>
  <c r="K137" i="15"/>
  <c r="AD141" i="12"/>
  <c r="AC141" i="12"/>
  <c r="N136" i="15" l="1"/>
  <c r="M136" i="15"/>
  <c r="Q136" i="15"/>
  <c r="K136" i="15"/>
  <c r="P136" i="15"/>
  <c r="L136" i="15"/>
  <c r="O136" i="15"/>
  <c r="K138" i="15"/>
  <c r="K139" i="15" s="1"/>
  <c r="K140" i="15" s="1"/>
  <c r="I11" i="17" s="1"/>
  <c r="O138" i="15"/>
  <c r="O139" i="15" s="1"/>
  <c r="O140" i="15" s="1"/>
  <c r="I15" i="17" s="1"/>
  <c r="L138" i="15"/>
  <c r="L139" i="15" s="1"/>
  <c r="L140" i="15" s="1"/>
  <c r="I12" i="17" s="1"/>
  <c r="P138" i="15"/>
  <c r="P139" i="15" s="1"/>
  <c r="P140" i="15" s="1"/>
  <c r="I16" i="17" s="1"/>
  <c r="M138" i="15"/>
  <c r="M139" i="15" s="1"/>
  <c r="M140" i="15" s="1"/>
  <c r="I13" i="17" s="1"/>
  <c r="Q138" i="15"/>
  <c r="Q139" i="15" s="1"/>
  <c r="Q140" i="15" s="1"/>
  <c r="I17" i="17" s="1"/>
  <c r="N138" i="15"/>
  <c r="N139" i="15" s="1"/>
  <c r="N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E5" i="15"/>
  <c r="C5" i="15"/>
  <c r="A2" i="15"/>
  <c r="I18"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C20" i="12" s="1"/>
  <c r="W20" i="12"/>
  <c r="AD20" i="12" s="1"/>
  <c r="X20" i="12"/>
  <c r="AE20" i="12" s="1"/>
  <c r="Y20" i="12"/>
  <c r="AF20" i="12" s="1"/>
  <c r="Z20" i="12"/>
  <c r="AG20" i="12" s="1"/>
  <c r="AA20" i="12"/>
  <c r="AH20" i="12" s="1"/>
  <c r="AB20" i="12"/>
  <c r="AI20" i="12" s="1"/>
  <c r="V21" i="12"/>
  <c r="AC21" i="12" s="1"/>
  <c r="W21" i="12"/>
  <c r="AD21" i="12" s="1"/>
  <c r="X21" i="12"/>
  <c r="AE21" i="12" s="1"/>
  <c r="Y21" i="12"/>
  <c r="AF21" i="12" s="1"/>
  <c r="Z21" i="12"/>
  <c r="AG21" i="12" s="1"/>
  <c r="AA21" i="12"/>
  <c r="AH21" i="12" s="1"/>
  <c r="AB21" i="12"/>
  <c r="AI21" i="12" s="1"/>
  <c r="V22" i="12"/>
  <c r="AC22" i="12" s="1"/>
  <c r="W22" i="12"/>
  <c r="AD22" i="12" s="1"/>
  <c r="X22" i="12"/>
  <c r="AE22" i="12" s="1"/>
  <c r="Y22" i="12"/>
  <c r="AF22" i="12" s="1"/>
  <c r="Z22" i="12"/>
  <c r="AG22" i="12" s="1"/>
  <c r="AA22" i="12"/>
  <c r="AH22" i="12" s="1"/>
  <c r="AB22" i="12"/>
  <c r="AI22" i="12" s="1"/>
  <c r="V23" i="12"/>
  <c r="AC23" i="12" s="1"/>
  <c r="W23" i="12"/>
  <c r="AD23" i="12" s="1"/>
  <c r="X23" i="12"/>
  <c r="AE23" i="12" s="1"/>
  <c r="Y23" i="12"/>
  <c r="AF23" i="12" s="1"/>
  <c r="Z23" i="12"/>
  <c r="AG23" i="12" s="1"/>
  <c r="AA23" i="12"/>
  <c r="AH23" i="12" s="1"/>
  <c r="AB23" i="12"/>
  <c r="AI23" i="12" s="1"/>
  <c r="V24" i="12"/>
  <c r="AC24" i="12" s="1"/>
  <c r="W24" i="12"/>
  <c r="AD24" i="12" s="1"/>
  <c r="X24" i="12"/>
  <c r="AE24" i="12" s="1"/>
  <c r="Y24" i="12"/>
  <c r="AF24" i="12" s="1"/>
  <c r="Z24" i="12"/>
  <c r="AG24" i="12" s="1"/>
  <c r="AA24" i="12"/>
  <c r="AH24" i="12" s="1"/>
  <c r="AB24" i="12"/>
  <c r="AI24" i="12" s="1"/>
  <c r="V25" i="12"/>
  <c r="AC25" i="12" s="1"/>
  <c r="W25" i="12"/>
  <c r="AD25" i="12" s="1"/>
  <c r="X25" i="12"/>
  <c r="AE25" i="12" s="1"/>
  <c r="Y25" i="12"/>
  <c r="AF25" i="12" s="1"/>
  <c r="Z25" i="12"/>
  <c r="AG25" i="12" s="1"/>
  <c r="AA25" i="12"/>
  <c r="AH25" i="12" s="1"/>
  <c r="AB25" i="12"/>
  <c r="AI25" i="12" s="1"/>
  <c r="V26" i="12"/>
  <c r="AC26" i="12" s="1"/>
  <c r="W26" i="12"/>
  <c r="AD26" i="12" s="1"/>
  <c r="X26" i="12"/>
  <c r="AE26" i="12" s="1"/>
  <c r="Y26" i="12"/>
  <c r="AF26" i="12" s="1"/>
  <c r="Z26" i="12"/>
  <c r="AG26" i="12" s="1"/>
  <c r="AA26" i="12"/>
  <c r="AH26" i="12" s="1"/>
  <c r="AB26" i="12"/>
  <c r="AI26" i="12" s="1"/>
  <c r="V27" i="12"/>
  <c r="AC27" i="12" s="1"/>
  <c r="W27" i="12"/>
  <c r="AD27" i="12" s="1"/>
  <c r="X27" i="12"/>
  <c r="AE27" i="12" s="1"/>
  <c r="Y27" i="12"/>
  <c r="AF27" i="12" s="1"/>
  <c r="Z27" i="12"/>
  <c r="AG27" i="12" s="1"/>
  <c r="AA27" i="12"/>
  <c r="AH27" i="12" s="1"/>
  <c r="AB27" i="12"/>
  <c r="AI27" i="12" s="1"/>
  <c r="V28" i="12"/>
  <c r="AC28" i="12" s="1"/>
  <c r="W28" i="12"/>
  <c r="AD28" i="12" s="1"/>
  <c r="X28" i="12"/>
  <c r="AE28" i="12" s="1"/>
  <c r="Y28" i="12"/>
  <c r="AF28" i="12" s="1"/>
  <c r="Z28" i="12"/>
  <c r="AG28" i="12" s="1"/>
  <c r="AA28" i="12"/>
  <c r="AH28" i="12" s="1"/>
  <c r="AB28" i="12"/>
  <c r="AI28" i="12" s="1"/>
  <c r="V29" i="12"/>
  <c r="AC29" i="12" s="1"/>
  <c r="W29" i="12"/>
  <c r="AD29" i="12" s="1"/>
  <c r="X29" i="12"/>
  <c r="AE29" i="12" s="1"/>
  <c r="Y29" i="12"/>
  <c r="AF29" i="12" s="1"/>
  <c r="Z29" i="12"/>
  <c r="AG29" i="12" s="1"/>
  <c r="AA29" i="12"/>
  <c r="AH29" i="12" s="1"/>
  <c r="AB29" i="12"/>
  <c r="AI29" i="12" s="1"/>
  <c r="V30" i="12"/>
  <c r="AC30" i="12" s="1"/>
  <c r="W30" i="12"/>
  <c r="AD30" i="12" s="1"/>
  <c r="X30" i="12"/>
  <c r="AE30" i="12" s="1"/>
  <c r="Y30" i="12"/>
  <c r="AF30" i="12" s="1"/>
  <c r="Z30" i="12"/>
  <c r="AG30" i="12" s="1"/>
  <c r="AA30" i="12"/>
  <c r="AH30" i="12" s="1"/>
  <c r="AB30" i="12"/>
  <c r="AI30" i="12" s="1"/>
  <c r="V31" i="12"/>
  <c r="AC31" i="12" s="1"/>
  <c r="W31" i="12"/>
  <c r="AD31" i="12" s="1"/>
  <c r="X31" i="12"/>
  <c r="AE31" i="12" s="1"/>
  <c r="Y31" i="12"/>
  <c r="AF31" i="12" s="1"/>
  <c r="Z31" i="12"/>
  <c r="AG31" i="12" s="1"/>
  <c r="AA31" i="12"/>
  <c r="AH31" i="12" s="1"/>
  <c r="AB31" i="12"/>
  <c r="AI31" i="12" s="1"/>
  <c r="V32" i="12"/>
  <c r="AC32" i="12" s="1"/>
  <c r="W32" i="12"/>
  <c r="AD32" i="12" s="1"/>
  <c r="X32" i="12"/>
  <c r="AE32" i="12" s="1"/>
  <c r="Y32" i="12"/>
  <c r="AF32" i="12" s="1"/>
  <c r="Z32" i="12"/>
  <c r="AG32" i="12" s="1"/>
  <c r="AA32" i="12"/>
  <c r="AH32" i="12" s="1"/>
  <c r="AB32" i="12"/>
  <c r="AI32" i="12" s="1"/>
  <c r="V33" i="12"/>
  <c r="AC33" i="12" s="1"/>
  <c r="W33" i="12"/>
  <c r="AD33" i="12" s="1"/>
  <c r="X33" i="12"/>
  <c r="AE33" i="12" s="1"/>
  <c r="Y33" i="12"/>
  <c r="AF33" i="12" s="1"/>
  <c r="Z33" i="12"/>
  <c r="AG33" i="12" s="1"/>
  <c r="AA33" i="12"/>
  <c r="AH33" i="12" s="1"/>
  <c r="AB33" i="12"/>
  <c r="AI33" i="12" s="1"/>
  <c r="V34" i="12"/>
  <c r="AC34" i="12" s="1"/>
  <c r="W34" i="12"/>
  <c r="AD34" i="12" s="1"/>
  <c r="X34" i="12"/>
  <c r="AE34" i="12" s="1"/>
  <c r="Y34" i="12"/>
  <c r="AF34" i="12" s="1"/>
  <c r="Z34" i="12"/>
  <c r="AG34" i="12" s="1"/>
  <c r="AA34" i="12"/>
  <c r="AH34" i="12" s="1"/>
  <c r="AB34" i="12"/>
  <c r="AI34" i="12" s="1"/>
  <c r="V35" i="12"/>
  <c r="AC35" i="12" s="1"/>
  <c r="W35" i="12"/>
  <c r="AD35" i="12" s="1"/>
  <c r="X35" i="12"/>
  <c r="AE35" i="12" s="1"/>
  <c r="Y35" i="12"/>
  <c r="AF35" i="12" s="1"/>
  <c r="Z35" i="12"/>
  <c r="AG35" i="12" s="1"/>
  <c r="AA35" i="12"/>
  <c r="AH35" i="12" s="1"/>
  <c r="AB35" i="12"/>
  <c r="AI35" i="12" s="1"/>
  <c r="V36" i="12"/>
  <c r="AC36" i="12" s="1"/>
  <c r="W36" i="12"/>
  <c r="AD36" i="12" s="1"/>
  <c r="X36" i="12"/>
  <c r="AE36" i="12" s="1"/>
  <c r="Y36" i="12"/>
  <c r="AF36" i="12" s="1"/>
  <c r="Z36" i="12"/>
  <c r="AG36" i="12" s="1"/>
  <c r="AA36" i="12"/>
  <c r="AH36" i="12" s="1"/>
  <c r="AB36" i="12"/>
  <c r="AI36" i="12" s="1"/>
  <c r="V37" i="12"/>
  <c r="AC37" i="12" s="1"/>
  <c r="W37" i="12"/>
  <c r="AD37" i="12" s="1"/>
  <c r="X37" i="12"/>
  <c r="AE37" i="12" s="1"/>
  <c r="Y37" i="12"/>
  <c r="AF37" i="12" s="1"/>
  <c r="Z37" i="12"/>
  <c r="AG37" i="12" s="1"/>
  <c r="AA37" i="12"/>
  <c r="AH37" i="12" s="1"/>
  <c r="AB37" i="12"/>
  <c r="AI37" i="12" s="1"/>
  <c r="V38" i="12"/>
  <c r="AC38" i="12" s="1"/>
  <c r="W38" i="12"/>
  <c r="AD38" i="12" s="1"/>
  <c r="X38" i="12"/>
  <c r="AE38" i="12" s="1"/>
  <c r="Y38" i="12"/>
  <c r="AF38" i="12" s="1"/>
  <c r="Z38" i="12"/>
  <c r="AG38" i="12" s="1"/>
  <c r="AA38" i="12"/>
  <c r="AH38" i="12" s="1"/>
  <c r="AB38" i="12"/>
  <c r="AI38" i="12" s="1"/>
  <c r="V39" i="12"/>
  <c r="AC39" i="12" s="1"/>
  <c r="W39" i="12"/>
  <c r="AD39" i="12" s="1"/>
  <c r="X39" i="12"/>
  <c r="AE39" i="12" s="1"/>
  <c r="Y39" i="12"/>
  <c r="AF39" i="12" s="1"/>
  <c r="Z39" i="12"/>
  <c r="AG39" i="12" s="1"/>
  <c r="AA39" i="12"/>
  <c r="AH39" i="12" s="1"/>
  <c r="AB39" i="12"/>
  <c r="AI39" i="12" s="1"/>
  <c r="V40" i="12"/>
  <c r="AC40" i="12" s="1"/>
  <c r="W40" i="12"/>
  <c r="AD40" i="12" s="1"/>
  <c r="X40" i="12"/>
  <c r="AE40" i="12" s="1"/>
  <c r="Y40" i="12"/>
  <c r="AF40" i="12" s="1"/>
  <c r="Z40" i="12"/>
  <c r="AG40" i="12" s="1"/>
  <c r="AA40" i="12"/>
  <c r="AH40" i="12" s="1"/>
  <c r="AB40" i="12"/>
  <c r="AI40" i="12" s="1"/>
  <c r="V41" i="12"/>
  <c r="AC41" i="12" s="1"/>
  <c r="W41" i="12"/>
  <c r="AD41" i="12" s="1"/>
  <c r="X41" i="12"/>
  <c r="AE41" i="12" s="1"/>
  <c r="Y41" i="12"/>
  <c r="AF41" i="12" s="1"/>
  <c r="Z41" i="12"/>
  <c r="AG41" i="12" s="1"/>
  <c r="AA41" i="12"/>
  <c r="AH41" i="12" s="1"/>
  <c r="AB41" i="12"/>
  <c r="AI41" i="12" s="1"/>
  <c r="V42" i="12"/>
  <c r="AC42" i="12" s="1"/>
  <c r="W42" i="12"/>
  <c r="AD42" i="12" s="1"/>
  <c r="X42" i="12"/>
  <c r="AE42" i="12" s="1"/>
  <c r="Y42" i="12"/>
  <c r="AF42" i="12" s="1"/>
  <c r="Z42" i="12"/>
  <c r="AG42" i="12" s="1"/>
  <c r="AA42" i="12"/>
  <c r="AH42" i="12" s="1"/>
  <c r="AB42" i="12"/>
  <c r="AI42" i="12" s="1"/>
  <c r="V43" i="12"/>
  <c r="AC43" i="12" s="1"/>
  <c r="W43" i="12"/>
  <c r="AD43" i="12" s="1"/>
  <c r="X43" i="12"/>
  <c r="AE43" i="12" s="1"/>
  <c r="Y43" i="12"/>
  <c r="AF43" i="12" s="1"/>
  <c r="Z43" i="12"/>
  <c r="AG43" i="12" s="1"/>
  <c r="AA43" i="12"/>
  <c r="AH43" i="12" s="1"/>
  <c r="AB43" i="12"/>
  <c r="AI43" i="12" s="1"/>
  <c r="V44" i="12"/>
  <c r="AC44" i="12" s="1"/>
  <c r="W44" i="12"/>
  <c r="AD44" i="12" s="1"/>
  <c r="X44" i="12"/>
  <c r="AE44" i="12" s="1"/>
  <c r="Y44" i="12"/>
  <c r="AF44" i="12" s="1"/>
  <c r="Z44" i="12"/>
  <c r="AG44" i="12" s="1"/>
  <c r="AA44" i="12"/>
  <c r="AH44" i="12" s="1"/>
  <c r="AB44" i="12"/>
  <c r="AI44" i="12" s="1"/>
  <c r="V45" i="12"/>
  <c r="AC45" i="12" s="1"/>
  <c r="W45" i="12"/>
  <c r="AD45" i="12" s="1"/>
  <c r="X45" i="12"/>
  <c r="AE45" i="12" s="1"/>
  <c r="Y45" i="12"/>
  <c r="AF45" i="12" s="1"/>
  <c r="Z45" i="12"/>
  <c r="AG45" i="12" s="1"/>
  <c r="AA45" i="12"/>
  <c r="AH45" i="12" s="1"/>
  <c r="AB45" i="12"/>
  <c r="AI45" i="12" s="1"/>
  <c r="V46" i="12"/>
  <c r="AC46" i="12" s="1"/>
  <c r="W46" i="12"/>
  <c r="AD46" i="12" s="1"/>
  <c r="X46" i="12"/>
  <c r="AE46" i="12" s="1"/>
  <c r="Y46" i="12"/>
  <c r="AF46" i="12" s="1"/>
  <c r="Z46" i="12"/>
  <c r="AG46" i="12" s="1"/>
  <c r="AA46" i="12"/>
  <c r="AH46" i="12" s="1"/>
  <c r="AB46" i="12"/>
  <c r="AI46" i="12" s="1"/>
  <c r="V47" i="12"/>
  <c r="AC47" i="12" s="1"/>
  <c r="W47" i="12"/>
  <c r="AD47" i="12" s="1"/>
  <c r="X47" i="12"/>
  <c r="AE47" i="12" s="1"/>
  <c r="Y47" i="12"/>
  <c r="AF47" i="12" s="1"/>
  <c r="Z47" i="12"/>
  <c r="AG47" i="12" s="1"/>
  <c r="AA47" i="12"/>
  <c r="AH47" i="12" s="1"/>
  <c r="AB47" i="12"/>
  <c r="AI47" i="12" s="1"/>
  <c r="V48" i="12"/>
  <c r="AC48" i="12" s="1"/>
  <c r="W48" i="12"/>
  <c r="AD48" i="12" s="1"/>
  <c r="X48" i="12"/>
  <c r="AE48" i="12" s="1"/>
  <c r="Y48" i="12"/>
  <c r="AF48" i="12" s="1"/>
  <c r="Z48" i="12"/>
  <c r="AG48" i="12" s="1"/>
  <c r="AA48" i="12"/>
  <c r="AH48" i="12" s="1"/>
  <c r="AB48" i="12"/>
  <c r="AI48" i="12" s="1"/>
  <c r="V49" i="12"/>
  <c r="AC49" i="12" s="1"/>
  <c r="W49" i="12"/>
  <c r="AD49" i="12" s="1"/>
  <c r="X49" i="12"/>
  <c r="AE49" i="12" s="1"/>
  <c r="Y49" i="12"/>
  <c r="AF49" i="12" s="1"/>
  <c r="Z49" i="12"/>
  <c r="AG49" i="12" s="1"/>
  <c r="AA49" i="12"/>
  <c r="AH49" i="12" s="1"/>
  <c r="AB49" i="12"/>
  <c r="AI49" i="12" s="1"/>
  <c r="V50" i="12"/>
  <c r="AC50" i="12" s="1"/>
  <c r="W50" i="12"/>
  <c r="AD50" i="12" s="1"/>
  <c r="X50" i="12"/>
  <c r="AE50" i="12" s="1"/>
  <c r="Y50" i="12"/>
  <c r="AF50" i="12" s="1"/>
  <c r="Z50" i="12"/>
  <c r="AG50" i="12" s="1"/>
  <c r="AA50" i="12"/>
  <c r="AH50" i="12" s="1"/>
  <c r="AB50" i="12"/>
  <c r="AI50" i="12" s="1"/>
  <c r="V51" i="12"/>
  <c r="AC51" i="12" s="1"/>
  <c r="W51" i="12"/>
  <c r="AD51" i="12" s="1"/>
  <c r="X51" i="12"/>
  <c r="AE51" i="12" s="1"/>
  <c r="Y51" i="12"/>
  <c r="AF51" i="12" s="1"/>
  <c r="Z51" i="12"/>
  <c r="AG51" i="12" s="1"/>
  <c r="AA51" i="12"/>
  <c r="AH51" i="12" s="1"/>
  <c r="AB51" i="12"/>
  <c r="AI51" i="12" s="1"/>
  <c r="V52" i="12"/>
  <c r="AC52" i="12" s="1"/>
  <c r="W52" i="12"/>
  <c r="AD52" i="12" s="1"/>
  <c r="X52" i="12"/>
  <c r="AE52" i="12" s="1"/>
  <c r="Y52" i="12"/>
  <c r="AF52" i="12" s="1"/>
  <c r="Z52" i="12"/>
  <c r="AG52" i="12" s="1"/>
  <c r="AA52" i="12"/>
  <c r="AH52" i="12" s="1"/>
  <c r="AB52" i="12"/>
  <c r="AI52" i="12" s="1"/>
  <c r="V53" i="12"/>
  <c r="AC53" i="12" s="1"/>
  <c r="W53" i="12"/>
  <c r="AD53" i="12" s="1"/>
  <c r="X53" i="12"/>
  <c r="AE53" i="12" s="1"/>
  <c r="Y53" i="12"/>
  <c r="AF53" i="12" s="1"/>
  <c r="Z53" i="12"/>
  <c r="AG53" i="12" s="1"/>
  <c r="AA53" i="12"/>
  <c r="AH53" i="12" s="1"/>
  <c r="AB53" i="12"/>
  <c r="AI53" i="12" s="1"/>
  <c r="V54" i="12"/>
  <c r="AC54" i="12" s="1"/>
  <c r="W54" i="12"/>
  <c r="AD54" i="12" s="1"/>
  <c r="X54" i="12"/>
  <c r="AE54" i="12" s="1"/>
  <c r="Y54" i="12"/>
  <c r="AF54" i="12" s="1"/>
  <c r="Z54" i="12"/>
  <c r="AG54" i="12" s="1"/>
  <c r="AA54" i="12"/>
  <c r="AH54" i="12" s="1"/>
  <c r="AB54" i="12"/>
  <c r="AI54" i="12" s="1"/>
  <c r="V55" i="12"/>
  <c r="AC55" i="12" s="1"/>
  <c r="W55" i="12"/>
  <c r="AD55" i="12" s="1"/>
  <c r="X55" i="12"/>
  <c r="AE55" i="12" s="1"/>
  <c r="Y55" i="12"/>
  <c r="AF55" i="12" s="1"/>
  <c r="Z55" i="12"/>
  <c r="AG55" i="12" s="1"/>
  <c r="AA55" i="12"/>
  <c r="AH55" i="12" s="1"/>
  <c r="AB55" i="12"/>
  <c r="AI55" i="12" s="1"/>
  <c r="V56" i="12"/>
  <c r="AC56" i="12" s="1"/>
  <c r="W56" i="12"/>
  <c r="AD56" i="12" s="1"/>
  <c r="X56" i="12"/>
  <c r="AE56" i="12" s="1"/>
  <c r="Y56" i="12"/>
  <c r="AF56" i="12" s="1"/>
  <c r="Z56" i="12"/>
  <c r="AG56" i="12" s="1"/>
  <c r="AA56" i="12"/>
  <c r="AH56" i="12" s="1"/>
  <c r="AB56" i="12"/>
  <c r="AI56" i="12" s="1"/>
  <c r="V57" i="12"/>
  <c r="AC57" i="12" s="1"/>
  <c r="W57" i="12"/>
  <c r="AD57" i="12" s="1"/>
  <c r="X57" i="12"/>
  <c r="AE57" i="12" s="1"/>
  <c r="Y57" i="12"/>
  <c r="AF57" i="12" s="1"/>
  <c r="Z57" i="12"/>
  <c r="AG57" i="12" s="1"/>
  <c r="AA57" i="12"/>
  <c r="AH57" i="12" s="1"/>
  <c r="AB57" i="12"/>
  <c r="AI57" i="12" s="1"/>
  <c r="V58" i="12"/>
  <c r="AC58" i="12" s="1"/>
  <c r="W58" i="12"/>
  <c r="AD58" i="12" s="1"/>
  <c r="X58" i="12"/>
  <c r="AE58" i="12" s="1"/>
  <c r="Y58" i="12"/>
  <c r="AF58" i="12" s="1"/>
  <c r="Z58" i="12"/>
  <c r="AG58" i="12" s="1"/>
  <c r="AA58" i="12"/>
  <c r="AH58" i="12" s="1"/>
  <c r="AB58" i="12"/>
  <c r="AI58" i="12" s="1"/>
  <c r="V59" i="12"/>
  <c r="AC59" i="12" s="1"/>
  <c r="W59" i="12"/>
  <c r="AD59" i="12" s="1"/>
  <c r="X59" i="12"/>
  <c r="AE59" i="12" s="1"/>
  <c r="Y59" i="12"/>
  <c r="AF59" i="12" s="1"/>
  <c r="Z59" i="12"/>
  <c r="AG59" i="12" s="1"/>
  <c r="AA59" i="12"/>
  <c r="AH59" i="12" s="1"/>
  <c r="AB59" i="12"/>
  <c r="AI59" i="12" s="1"/>
  <c r="V60" i="12"/>
  <c r="AC60" i="12" s="1"/>
  <c r="W60" i="12"/>
  <c r="AD60" i="12" s="1"/>
  <c r="X60" i="12"/>
  <c r="AE60" i="12" s="1"/>
  <c r="Y60" i="12"/>
  <c r="AF60" i="12" s="1"/>
  <c r="Z60" i="12"/>
  <c r="AG60" i="12" s="1"/>
  <c r="AA60" i="12"/>
  <c r="AH60" i="12" s="1"/>
  <c r="AB60" i="12"/>
  <c r="AI60" i="12" s="1"/>
  <c r="V61" i="12"/>
  <c r="AC61" i="12" s="1"/>
  <c r="W61" i="12"/>
  <c r="AD61" i="12" s="1"/>
  <c r="X61" i="12"/>
  <c r="AE61" i="12" s="1"/>
  <c r="Y61" i="12"/>
  <c r="AF61" i="12" s="1"/>
  <c r="Z61" i="12"/>
  <c r="AG61" i="12" s="1"/>
  <c r="AA61" i="12"/>
  <c r="AH61" i="12" s="1"/>
  <c r="AB61" i="12"/>
  <c r="AI61" i="12" s="1"/>
  <c r="V62" i="12"/>
  <c r="AC62" i="12" s="1"/>
  <c r="W62" i="12"/>
  <c r="AD62" i="12" s="1"/>
  <c r="X62" i="12"/>
  <c r="AE62" i="12" s="1"/>
  <c r="Y62" i="12"/>
  <c r="AF62" i="12" s="1"/>
  <c r="Z62" i="12"/>
  <c r="AG62" i="12" s="1"/>
  <c r="AA62" i="12"/>
  <c r="AH62" i="12" s="1"/>
  <c r="AB62" i="12"/>
  <c r="AI62" i="12" s="1"/>
  <c r="V63" i="12"/>
  <c r="AC63" i="12" s="1"/>
  <c r="W63" i="12"/>
  <c r="AD63" i="12" s="1"/>
  <c r="X63" i="12"/>
  <c r="AE63" i="12" s="1"/>
  <c r="Y63" i="12"/>
  <c r="AF63" i="12" s="1"/>
  <c r="Z63" i="12"/>
  <c r="AG63" i="12" s="1"/>
  <c r="AA63" i="12"/>
  <c r="AH63" i="12" s="1"/>
  <c r="AB63" i="12"/>
  <c r="AI63" i="12" s="1"/>
  <c r="V64" i="12"/>
  <c r="AC64" i="12" s="1"/>
  <c r="W64" i="12"/>
  <c r="AD64" i="12" s="1"/>
  <c r="X64" i="12"/>
  <c r="AE64" i="12" s="1"/>
  <c r="Y64" i="12"/>
  <c r="AF64" i="12" s="1"/>
  <c r="Z64" i="12"/>
  <c r="AG64" i="12" s="1"/>
  <c r="AA64" i="12"/>
  <c r="AH64" i="12" s="1"/>
  <c r="AB64" i="12"/>
  <c r="AI64" i="12" s="1"/>
  <c r="V65" i="12"/>
  <c r="AC65" i="12" s="1"/>
  <c r="W65" i="12"/>
  <c r="AD65" i="12" s="1"/>
  <c r="X65" i="12"/>
  <c r="AE65" i="12" s="1"/>
  <c r="Y65" i="12"/>
  <c r="AF65" i="12" s="1"/>
  <c r="Z65" i="12"/>
  <c r="AG65" i="12" s="1"/>
  <c r="AA65" i="12"/>
  <c r="AH65" i="12" s="1"/>
  <c r="AB65" i="12"/>
  <c r="AI65" i="12" s="1"/>
  <c r="V66" i="12"/>
  <c r="AC66" i="12" s="1"/>
  <c r="W66" i="12"/>
  <c r="AD66" i="12" s="1"/>
  <c r="X66" i="12"/>
  <c r="AE66" i="12" s="1"/>
  <c r="Y66" i="12"/>
  <c r="AF66" i="12" s="1"/>
  <c r="Z66" i="12"/>
  <c r="AG66" i="12" s="1"/>
  <c r="AA66" i="12"/>
  <c r="AH66" i="12" s="1"/>
  <c r="AB66" i="12"/>
  <c r="AI66" i="12" s="1"/>
  <c r="V67" i="12"/>
  <c r="AC67" i="12" s="1"/>
  <c r="W67" i="12"/>
  <c r="AD67" i="12" s="1"/>
  <c r="X67" i="12"/>
  <c r="AE67" i="12" s="1"/>
  <c r="Y67" i="12"/>
  <c r="AF67" i="12" s="1"/>
  <c r="Z67" i="12"/>
  <c r="AG67" i="12" s="1"/>
  <c r="AA67" i="12"/>
  <c r="AH67" i="12" s="1"/>
  <c r="AB67" i="12"/>
  <c r="AI67" i="12" s="1"/>
  <c r="V68" i="12"/>
  <c r="AC68" i="12" s="1"/>
  <c r="W68" i="12"/>
  <c r="AD68" i="12" s="1"/>
  <c r="X68" i="12"/>
  <c r="AE68" i="12" s="1"/>
  <c r="Y68" i="12"/>
  <c r="AF68" i="12" s="1"/>
  <c r="Z68" i="12"/>
  <c r="AG68" i="12" s="1"/>
  <c r="AA68" i="12"/>
  <c r="AH68" i="12" s="1"/>
  <c r="AB68" i="12"/>
  <c r="AI68" i="12" s="1"/>
  <c r="V69" i="12"/>
  <c r="AC69" i="12" s="1"/>
  <c r="W69" i="12"/>
  <c r="AD69" i="12" s="1"/>
  <c r="X69" i="12"/>
  <c r="AE69" i="12" s="1"/>
  <c r="Y69" i="12"/>
  <c r="AF69" i="12" s="1"/>
  <c r="Z69" i="12"/>
  <c r="AG69" i="12" s="1"/>
  <c r="AA69" i="12"/>
  <c r="AH69" i="12" s="1"/>
  <c r="AB69" i="12"/>
  <c r="AI69" i="12" s="1"/>
  <c r="V70" i="12"/>
  <c r="AC70" i="12" s="1"/>
  <c r="W70" i="12"/>
  <c r="AD70" i="12" s="1"/>
  <c r="X70" i="12"/>
  <c r="AE70" i="12" s="1"/>
  <c r="Y70" i="12"/>
  <c r="AF70" i="12" s="1"/>
  <c r="Z70" i="12"/>
  <c r="AG70" i="12" s="1"/>
  <c r="AA70" i="12"/>
  <c r="AH70" i="12" s="1"/>
  <c r="AB70" i="12"/>
  <c r="AI70" i="12" s="1"/>
  <c r="V71" i="12"/>
  <c r="AC71" i="12" s="1"/>
  <c r="W71" i="12"/>
  <c r="AD71" i="12" s="1"/>
  <c r="X71" i="12"/>
  <c r="AE71" i="12" s="1"/>
  <c r="Y71" i="12"/>
  <c r="AF71" i="12" s="1"/>
  <c r="Z71" i="12"/>
  <c r="AG71" i="12" s="1"/>
  <c r="AA71" i="12"/>
  <c r="AH71" i="12" s="1"/>
  <c r="AB71" i="12"/>
  <c r="AI71" i="12" s="1"/>
  <c r="V72" i="12"/>
  <c r="AC72" i="12" s="1"/>
  <c r="W72" i="12"/>
  <c r="AD72" i="12" s="1"/>
  <c r="X72" i="12"/>
  <c r="AE72" i="12" s="1"/>
  <c r="Y72" i="12"/>
  <c r="AF72" i="12" s="1"/>
  <c r="Z72" i="12"/>
  <c r="AG72" i="12" s="1"/>
  <c r="AA72" i="12"/>
  <c r="AH72" i="12" s="1"/>
  <c r="AB72" i="12"/>
  <c r="AI72" i="12" s="1"/>
  <c r="V73" i="12"/>
  <c r="AC73" i="12" s="1"/>
  <c r="W73" i="12"/>
  <c r="AD73" i="12" s="1"/>
  <c r="X73" i="12"/>
  <c r="AE73" i="12" s="1"/>
  <c r="Y73" i="12"/>
  <c r="AF73" i="12" s="1"/>
  <c r="Z73" i="12"/>
  <c r="AG73" i="12" s="1"/>
  <c r="AA73" i="12"/>
  <c r="AH73" i="12" s="1"/>
  <c r="AB73" i="12"/>
  <c r="AI73" i="12" s="1"/>
  <c r="V74" i="12"/>
  <c r="AC74" i="12" s="1"/>
  <c r="W74" i="12"/>
  <c r="AD74" i="12" s="1"/>
  <c r="X74" i="12"/>
  <c r="AE74" i="12" s="1"/>
  <c r="Y74" i="12"/>
  <c r="AF74" i="12" s="1"/>
  <c r="Z74" i="12"/>
  <c r="AG74" i="12" s="1"/>
  <c r="AA74" i="12"/>
  <c r="AH74" i="12" s="1"/>
  <c r="AB74" i="12"/>
  <c r="AI74" i="12" s="1"/>
  <c r="V75" i="12"/>
  <c r="AC75" i="12" s="1"/>
  <c r="W75" i="12"/>
  <c r="AD75" i="12" s="1"/>
  <c r="X75" i="12"/>
  <c r="AE75" i="12" s="1"/>
  <c r="Y75" i="12"/>
  <c r="AF75" i="12" s="1"/>
  <c r="Z75" i="12"/>
  <c r="AG75" i="12" s="1"/>
  <c r="AA75" i="12"/>
  <c r="AH75" i="12" s="1"/>
  <c r="AB75" i="12"/>
  <c r="AI75" i="12" s="1"/>
  <c r="V76" i="12"/>
  <c r="AC76" i="12" s="1"/>
  <c r="W76" i="12"/>
  <c r="AD76" i="12" s="1"/>
  <c r="X76" i="12"/>
  <c r="AE76" i="12" s="1"/>
  <c r="Y76" i="12"/>
  <c r="AF76" i="12" s="1"/>
  <c r="Z76" i="12"/>
  <c r="AG76" i="12" s="1"/>
  <c r="AA76" i="12"/>
  <c r="AH76" i="12" s="1"/>
  <c r="AB76" i="12"/>
  <c r="AI76" i="12" s="1"/>
  <c r="V77" i="12"/>
  <c r="AC77" i="12" s="1"/>
  <c r="W77" i="12"/>
  <c r="AD77" i="12" s="1"/>
  <c r="X77" i="12"/>
  <c r="AE77" i="12" s="1"/>
  <c r="Y77" i="12"/>
  <c r="AF77" i="12" s="1"/>
  <c r="Z77" i="12"/>
  <c r="AG77" i="12" s="1"/>
  <c r="AA77" i="12"/>
  <c r="AH77" i="12" s="1"/>
  <c r="AB77" i="12"/>
  <c r="AI77" i="12" s="1"/>
  <c r="V78" i="12"/>
  <c r="AC78" i="12" s="1"/>
  <c r="W78" i="12"/>
  <c r="AD78" i="12" s="1"/>
  <c r="X78" i="12"/>
  <c r="AE78" i="12" s="1"/>
  <c r="Y78" i="12"/>
  <c r="AF78" i="12" s="1"/>
  <c r="Z78" i="12"/>
  <c r="AG78" i="12" s="1"/>
  <c r="AA78" i="12"/>
  <c r="AH78" i="12" s="1"/>
  <c r="AB78" i="12"/>
  <c r="AI78" i="12" s="1"/>
  <c r="V79" i="12"/>
  <c r="AC79" i="12" s="1"/>
  <c r="W79" i="12"/>
  <c r="AD79" i="12" s="1"/>
  <c r="X79" i="12"/>
  <c r="AE79" i="12" s="1"/>
  <c r="Y79" i="12"/>
  <c r="AF79" i="12" s="1"/>
  <c r="Z79" i="12"/>
  <c r="AG79" i="12" s="1"/>
  <c r="AA79" i="12"/>
  <c r="AH79" i="12" s="1"/>
  <c r="AB79" i="12"/>
  <c r="AI79" i="12" s="1"/>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D124" i="13" l="1"/>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I139" i="12" s="1"/>
  <c r="AA139" i="12"/>
  <c r="AH139" i="12" s="1"/>
  <c r="Z139" i="12"/>
  <c r="AG139" i="12" s="1"/>
  <c r="Y139" i="12"/>
  <c r="AF139" i="12" s="1"/>
  <c r="X139" i="12"/>
  <c r="AE139" i="12" s="1"/>
  <c r="W139" i="12"/>
  <c r="AD139" i="12" s="1"/>
  <c r="V139" i="12"/>
  <c r="AC139" i="12" s="1"/>
  <c r="AB138" i="12"/>
  <c r="AI138" i="12" s="1"/>
  <c r="AA138" i="12"/>
  <c r="AH138" i="12" s="1"/>
  <c r="Z138" i="12"/>
  <c r="AG138" i="12" s="1"/>
  <c r="Y138" i="12"/>
  <c r="AF138" i="12" s="1"/>
  <c r="X138" i="12"/>
  <c r="AE138" i="12" s="1"/>
  <c r="W138" i="12"/>
  <c r="AD138" i="12" s="1"/>
  <c r="V138" i="12"/>
  <c r="AC138" i="12" s="1"/>
  <c r="AB137" i="12"/>
  <c r="AI137" i="12" s="1"/>
  <c r="AA137" i="12"/>
  <c r="AH137" i="12" s="1"/>
  <c r="Z137" i="12"/>
  <c r="AG137" i="12" s="1"/>
  <c r="Y137" i="12"/>
  <c r="AF137" i="12" s="1"/>
  <c r="X137" i="12"/>
  <c r="AE137" i="12" s="1"/>
  <c r="W137" i="12"/>
  <c r="AD137" i="12" s="1"/>
  <c r="V137" i="12"/>
  <c r="AC137" i="12" s="1"/>
  <c r="AB136" i="12"/>
  <c r="AI136" i="12" s="1"/>
  <c r="AA136" i="12"/>
  <c r="AH136" i="12" s="1"/>
  <c r="Z136" i="12"/>
  <c r="AG136" i="12" s="1"/>
  <c r="Y136" i="12"/>
  <c r="AF136" i="12" s="1"/>
  <c r="X136" i="12"/>
  <c r="AE136" i="12" s="1"/>
  <c r="W136" i="12"/>
  <c r="AD136" i="12" s="1"/>
  <c r="V136" i="12"/>
  <c r="AC136" i="12" s="1"/>
  <c r="AB135" i="12"/>
  <c r="AI135" i="12" s="1"/>
  <c r="AA135" i="12"/>
  <c r="AH135" i="12" s="1"/>
  <c r="Z135" i="12"/>
  <c r="AG135" i="12" s="1"/>
  <c r="Y135" i="12"/>
  <c r="AF135" i="12" s="1"/>
  <c r="X135" i="12"/>
  <c r="AE135" i="12" s="1"/>
  <c r="W135" i="12"/>
  <c r="AD135" i="12" s="1"/>
  <c r="V135" i="12"/>
  <c r="AC135" i="12" s="1"/>
  <c r="AB134" i="12"/>
  <c r="AI134" i="12" s="1"/>
  <c r="AA134" i="12"/>
  <c r="AH134" i="12" s="1"/>
  <c r="Z134" i="12"/>
  <c r="AG134" i="12" s="1"/>
  <c r="Y134" i="12"/>
  <c r="AF134" i="12" s="1"/>
  <c r="X134" i="12"/>
  <c r="AE134" i="12" s="1"/>
  <c r="W134" i="12"/>
  <c r="AD134" i="12" s="1"/>
  <c r="V134" i="12"/>
  <c r="AC134" i="12" s="1"/>
  <c r="AB133" i="12"/>
  <c r="AI133" i="12" s="1"/>
  <c r="AA133" i="12"/>
  <c r="AH133" i="12" s="1"/>
  <c r="Z133" i="12"/>
  <c r="AG133" i="12" s="1"/>
  <c r="Y133" i="12"/>
  <c r="AF133" i="12" s="1"/>
  <c r="X133" i="12"/>
  <c r="AE133" i="12" s="1"/>
  <c r="W133" i="12"/>
  <c r="AD133" i="12" s="1"/>
  <c r="V133" i="12"/>
  <c r="AC133" i="12" s="1"/>
  <c r="AB132" i="12"/>
  <c r="AI132" i="12" s="1"/>
  <c r="AA132" i="12"/>
  <c r="AH132" i="12" s="1"/>
  <c r="Z132" i="12"/>
  <c r="AG132" i="12" s="1"/>
  <c r="Y132" i="12"/>
  <c r="AF132" i="12" s="1"/>
  <c r="X132" i="12"/>
  <c r="AE132" i="12" s="1"/>
  <c r="W132" i="12"/>
  <c r="AD132" i="12" s="1"/>
  <c r="V132" i="12"/>
  <c r="AC132" i="12" s="1"/>
  <c r="AB131" i="12"/>
  <c r="AI131" i="12" s="1"/>
  <c r="AA131" i="12"/>
  <c r="AH131" i="12" s="1"/>
  <c r="Z131" i="12"/>
  <c r="AG131" i="12" s="1"/>
  <c r="Y131" i="12"/>
  <c r="AF131" i="12" s="1"/>
  <c r="X131" i="12"/>
  <c r="AE131" i="12" s="1"/>
  <c r="W131" i="12"/>
  <c r="AD131" i="12" s="1"/>
  <c r="V131" i="12"/>
  <c r="AC131" i="12" s="1"/>
  <c r="AB130" i="12"/>
  <c r="AI130" i="12" s="1"/>
  <c r="AA130" i="12"/>
  <c r="AH130" i="12" s="1"/>
  <c r="Z130" i="12"/>
  <c r="AG130" i="12" s="1"/>
  <c r="Y130" i="12"/>
  <c r="AF130" i="12" s="1"/>
  <c r="X130" i="12"/>
  <c r="AE130" i="12" s="1"/>
  <c r="W130" i="12"/>
  <c r="AD130" i="12" s="1"/>
  <c r="V130" i="12"/>
  <c r="AC130" i="12" s="1"/>
  <c r="AB129" i="12"/>
  <c r="AI129" i="12" s="1"/>
  <c r="AA129" i="12"/>
  <c r="AH129" i="12" s="1"/>
  <c r="Z129" i="12"/>
  <c r="AG129" i="12" s="1"/>
  <c r="Y129" i="12"/>
  <c r="AF129" i="12" s="1"/>
  <c r="X129" i="12"/>
  <c r="AE129" i="12" s="1"/>
  <c r="W129" i="12"/>
  <c r="AD129" i="12" s="1"/>
  <c r="V129" i="12"/>
  <c r="AC129" i="12" s="1"/>
  <c r="AB128" i="12"/>
  <c r="AI128" i="12" s="1"/>
  <c r="AA128" i="12"/>
  <c r="AH128" i="12" s="1"/>
  <c r="Z128" i="12"/>
  <c r="AG128" i="12" s="1"/>
  <c r="Y128" i="12"/>
  <c r="AF128" i="12" s="1"/>
  <c r="X128" i="12"/>
  <c r="AE128" i="12" s="1"/>
  <c r="W128" i="12"/>
  <c r="AD128" i="12" s="1"/>
  <c r="V128" i="12"/>
  <c r="AC128" i="12" s="1"/>
  <c r="AB127" i="12"/>
  <c r="AI127" i="12" s="1"/>
  <c r="AA127" i="12"/>
  <c r="AH127" i="12" s="1"/>
  <c r="Z127" i="12"/>
  <c r="AG127" i="12" s="1"/>
  <c r="Y127" i="12"/>
  <c r="AF127" i="12" s="1"/>
  <c r="X127" i="12"/>
  <c r="AE127" i="12" s="1"/>
  <c r="W127" i="12"/>
  <c r="AD127" i="12" s="1"/>
  <c r="V127" i="12"/>
  <c r="AC127" i="12" s="1"/>
  <c r="AB126" i="12"/>
  <c r="AI126" i="12" s="1"/>
  <c r="AA126" i="12"/>
  <c r="AH126" i="12" s="1"/>
  <c r="Z126" i="12"/>
  <c r="AG126" i="12" s="1"/>
  <c r="Y126" i="12"/>
  <c r="AF126" i="12" s="1"/>
  <c r="X126" i="12"/>
  <c r="AE126" i="12" s="1"/>
  <c r="W126" i="12"/>
  <c r="AD126" i="12" s="1"/>
  <c r="V126" i="12"/>
  <c r="AC126" i="12" s="1"/>
  <c r="AB125" i="12"/>
  <c r="AI125" i="12" s="1"/>
  <c r="AA125" i="12"/>
  <c r="AH125" i="12" s="1"/>
  <c r="Z125" i="12"/>
  <c r="AG125" i="12" s="1"/>
  <c r="Y125" i="12"/>
  <c r="AF125" i="12" s="1"/>
  <c r="X125" i="12"/>
  <c r="AE125" i="12" s="1"/>
  <c r="W125" i="12"/>
  <c r="AD125" i="12" s="1"/>
  <c r="V125" i="12"/>
  <c r="AC125" i="12" s="1"/>
  <c r="AB124" i="12"/>
  <c r="AI124" i="12" s="1"/>
  <c r="AA124" i="12"/>
  <c r="AH124" i="12" s="1"/>
  <c r="Z124" i="12"/>
  <c r="AG124" i="12" s="1"/>
  <c r="Y124" i="12"/>
  <c r="AF124" i="12" s="1"/>
  <c r="X124" i="12"/>
  <c r="AE124" i="12" s="1"/>
  <c r="W124" i="12"/>
  <c r="AD124" i="12" s="1"/>
  <c r="V124" i="12"/>
  <c r="AC124" i="12" s="1"/>
  <c r="AB123" i="12"/>
  <c r="AI123" i="12" s="1"/>
  <c r="AA123" i="12"/>
  <c r="AH123" i="12" s="1"/>
  <c r="Z123" i="12"/>
  <c r="AG123" i="12" s="1"/>
  <c r="Y123" i="12"/>
  <c r="AF123" i="12" s="1"/>
  <c r="X123" i="12"/>
  <c r="AE123" i="12" s="1"/>
  <c r="W123" i="12"/>
  <c r="AD123" i="12" s="1"/>
  <c r="V123" i="12"/>
  <c r="AC123" i="12" s="1"/>
  <c r="AB122" i="12"/>
  <c r="AI122" i="12" s="1"/>
  <c r="AA122" i="12"/>
  <c r="AH122" i="12" s="1"/>
  <c r="Z122" i="12"/>
  <c r="AG122" i="12" s="1"/>
  <c r="Y122" i="12"/>
  <c r="AF122" i="12" s="1"/>
  <c r="X122" i="12"/>
  <c r="AE122" i="12" s="1"/>
  <c r="W122" i="12"/>
  <c r="AD122" i="12" s="1"/>
  <c r="V122" i="12"/>
  <c r="AC122" i="12" s="1"/>
  <c r="AB121" i="12"/>
  <c r="AI121" i="12" s="1"/>
  <c r="AA121" i="12"/>
  <c r="AH121" i="12" s="1"/>
  <c r="Z121" i="12"/>
  <c r="AG121" i="12" s="1"/>
  <c r="Y121" i="12"/>
  <c r="AF121" i="12" s="1"/>
  <c r="X121" i="12"/>
  <c r="AE121" i="12" s="1"/>
  <c r="W121" i="12"/>
  <c r="AD121" i="12" s="1"/>
  <c r="V121" i="12"/>
  <c r="AC121" i="12" s="1"/>
  <c r="AB120" i="12"/>
  <c r="AI120" i="12" s="1"/>
  <c r="AA120" i="12"/>
  <c r="AH120" i="12" s="1"/>
  <c r="Z120" i="12"/>
  <c r="AG120" i="12" s="1"/>
  <c r="Y120" i="12"/>
  <c r="AF120" i="12" s="1"/>
  <c r="X120" i="12"/>
  <c r="AE120" i="12" s="1"/>
  <c r="W120" i="12"/>
  <c r="AD120" i="12" s="1"/>
  <c r="V120" i="12"/>
  <c r="AC120" i="12" s="1"/>
  <c r="AB119" i="12"/>
  <c r="AI119" i="12" s="1"/>
  <c r="AA119" i="12"/>
  <c r="AH119" i="12" s="1"/>
  <c r="Z119" i="12"/>
  <c r="AG119" i="12" s="1"/>
  <c r="Y119" i="12"/>
  <c r="AF119" i="12" s="1"/>
  <c r="X119" i="12"/>
  <c r="AE119" i="12" s="1"/>
  <c r="W119" i="12"/>
  <c r="AD119" i="12" s="1"/>
  <c r="V119" i="12"/>
  <c r="AC119" i="12" s="1"/>
  <c r="AB118" i="12"/>
  <c r="AI118" i="12" s="1"/>
  <c r="AA118" i="12"/>
  <c r="AH118" i="12" s="1"/>
  <c r="Z118" i="12"/>
  <c r="AG118" i="12" s="1"/>
  <c r="Y118" i="12"/>
  <c r="AF118" i="12" s="1"/>
  <c r="X118" i="12"/>
  <c r="AE118" i="12" s="1"/>
  <c r="W118" i="12"/>
  <c r="AD118" i="12" s="1"/>
  <c r="V118" i="12"/>
  <c r="AC118" i="12" s="1"/>
  <c r="AB117" i="12"/>
  <c r="AI117" i="12" s="1"/>
  <c r="AA117" i="12"/>
  <c r="AH117" i="12" s="1"/>
  <c r="Z117" i="12"/>
  <c r="AG117" i="12" s="1"/>
  <c r="Y117" i="12"/>
  <c r="AF117" i="12" s="1"/>
  <c r="X117" i="12"/>
  <c r="AE117" i="12" s="1"/>
  <c r="W117" i="12"/>
  <c r="AD117" i="12" s="1"/>
  <c r="V117" i="12"/>
  <c r="AC117" i="12" s="1"/>
  <c r="AB116" i="12"/>
  <c r="AI116" i="12" s="1"/>
  <c r="AA116" i="12"/>
  <c r="AH116" i="12" s="1"/>
  <c r="Z116" i="12"/>
  <c r="AG116" i="12" s="1"/>
  <c r="Y116" i="12"/>
  <c r="AF116" i="12" s="1"/>
  <c r="X116" i="12"/>
  <c r="AE116" i="12" s="1"/>
  <c r="W116" i="12"/>
  <c r="AD116" i="12" s="1"/>
  <c r="V116" i="12"/>
  <c r="AC116" i="12" s="1"/>
  <c r="AB115" i="12"/>
  <c r="AI115" i="12" s="1"/>
  <c r="AA115" i="12"/>
  <c r="AH115" i="12" s="1"/>
  <c r="Z115" i="12"/>
  <c r="AG115" i="12" s="1"/>
  <c r="Y115" i="12"/>
  <c r="AF115" i="12" s="1"/>
  <c r="X115" i="12"/>
  <c r="AE115" i="12" s="1"/>
  <c r="W115" i="12"/>
  <c r="AD115" i="12" s="1"/>
  <c r="V115" i="12"/>
  <c r="AC115" i="12" s="1"/>
  <c r="AB114" i="12"/>
  <c r="AI114" i="12" s="1"/>
  <c r="AA114" i="12"/>
  <c r="AH114" i="12" s="1"/>
  <c r="Z114" i="12"/>
  <c r="AG114" i="12" s="1"/>
  <c r="Y114" i="12"/>
  <c r="AF114" i="12" s="1"/>
  <c r="X114" i="12"/>
  <c r="AE114" i="12" s="1"/>
  <c r="W114" i="12"/>
  <c r="AD114" i="12" s="1"/>
  <c r="V114" i="12"/>
  <c r="AC114" i="12" s="1"/>
  <c r="AB113" i="12"/>
  <c r="AI113" i="12" s="1"/>
  <c r="AA113" i="12"/>
  <c r="AH113" i="12" s="1"/>
  <c r="Z113" i="12"/>
  <c r="AG113" i="12" s="1"/>
  <c r="Y113" i="12"/>
  <c r="AF113" i="12" s="1"/>
  <c r="X113" i="12"/>
  <c r="AE113" i="12" s="1"/>
  <c r="W113" i="12"/>
  <c r="AD113" i="12" s="1"/>
  <c r="V113" i="12"/>
  <c r="AC113" i="12" s="1"/>
  <c r="AB112" i="12"/>
  <c r="AI112" i="12" s="1"/>
  <c r="AA112" i="12"/>
  <c r="AH112" i="12" s="1"/>
  <c r="Z112" i="12"/>
  <c r="AG112" i="12" s="1"/>
  <c r="Y112" i="12"/>
  <c r="AF112" i="12" s="1"/>
  <c r="X112" i="12"/>
  <c r="AE112" i="12" s="1"/>
  <c r="W112" i="12"/>
  <c r="AD112" i="12" s="1"/>
  <c r="V112" i="12"/>
  <c r="AC112" i="12" s="1"/>
  <c r="AB111" i="12"/>
  <c r="AI111" i="12" s="1"/>
  <c r="AA111" i="12"/>
  <c r="AH111" i="12" s="1"/>
  <c r="Z111" i="12"/>
  <c r="AG111" i="12" s="1"/>
  <c r="Y111" i="12"/>
  <c r="AF111" i="12" s="1"/>
  <c r="X111" i="12"/>
  <c r="AE111" i="12" s="1"/>
  <c r="W111" i="12"/>
  <c r="AD111" i="12" s="1"/>
  <c r="V111" i="12"/>
  <c r="AC111" i="12" s="1"/>
  <c r="AB110" i="12"/>
  <c r="AI110" i="12" s="1"/>
  <c r="AA110" i="12"/>
  <c r="AH110" i="12" s="1"/>
  <c r="Z110" i="12"/>
  <c r="AG110" i="12" s="1"/>
  <c r="Y110" i="12"/>
  <c r="AF110" i="12" s="1"/>
  <c r="X110" i="12"/>
  <c r="AE110" i="12" s="1"/>
  <c r="W110" i="12"/>
  <c r="AD110" i="12" s="1"/>
  <c r="V110" i="12"/>
  <c r="AC110" i="12" s="1"/>
  <c r="AB109" i="12"/>
  <c r="AI109" i="12" s="1"/>
  <c r="AA109" i="12"/>
  <c r="AH109" i="12" s="1"/>
  <c r="Z109" i="12"/>
  <c r="AG109" i="12" s="1"/>
  <c r="Y109" i="12"/>
  <c r="AF109" i="12" s="1"/>
  <c r="X109" i="12"/>
  <c r="AE109" i="12" s="1"/>
  <c r="W109" i="12"/>
  <c r="AD109" i="12" s="1"/>
  <c r="V109" i="12"/>
  <c r="AC109" i="12" s="1"/>
  <c r="AB108" i="12"/>
  <c r="AI108" i="12" s="1"/>
  <c r="AA108" i="12"/>
  <c r="AH108" i="12" s="1"/>
  <c r="Z108" i="12"/>
  <c r="AG108" i="12" s="1"/>
  <c r="Y108" i="12"/>
  <c r="AF108" i="12" s="1"/>
  <c r="X108" i="12"/>
  <c r="AE108" i="12" s="1"/>
  <c r="W108" i="12"/>
  <c r="AD108" i="12" s="1"/>
  <c r="V108" i="12"/>
  <c r="AC108" i="12" s="1"/>
  <c r="AB107" i="12"/>
  <c r="AI107" i="12" s="1"/>
  <c r="AA107" i="12"/>
  <c r="AH107" i="12" s="1"/>
  <c r="Z107" i="12"/>
  <c r="AG107" i="12" s="1"/>
  <c r="Y107" i="12"/>
  <c r="AF107" i="12" s="1"/>
  <c r="X107" i="12"/>
  <c r="AE107" i="12" s="1"/>
  <c r="W107" i="12"/>
  <c r="AD107" i="12" s="1"/>
  <c r="V107" i="12"/>
  <c r="AC107" i="12" s="1"/>
  <c r="AB106" i="12"/>
  <c r="AI106" i="12" s="1"/>
  <c r="AA106" i="12"/>
  <c r="AH106" i="12" s="1"/>
  <c r="Z106" i="12"/>
  <c r="AG106" i="12" s="1"/>
  <c r="Y106" i="12"/>
  <c r="AF106" i="12" s="1"/>
  <c r="X106" i="12"/>
  <c r="AE106" i="12" s="1"/>
  <c r="W106" i="12"/>
  <c r="AD106" i="12" s="1"/>
  <c r="V106" i="12"/>
  <c r="AC106" i="12" s="1"/>
  <c r="AB105" i="12"/>
  <c r="AI105" i="12" s="1"/>
  <c r="AA105" i="12"/>
  <c r="AH105" i="12" s="1"/>
  <c r="Z105" i="12"/>
  <c r="AG105" i="12" s="1"/>
  <c r="Y105" i="12"/>
  <c r="AF105" i="12" s="1"/>
  <c r="X105" i="12"/>
  <c r="AE105" i="12" s="1"/>
  <c r="W105" i="12"/>
  <c r="AD105" i="12" s="1"/>
  <c r="V105" i="12"/>
  <c r="AC105" i="12" s="1"/>
  <c r="AB104" i="12"/>
  <c r="AI104" i="12" s="1"/>
  <c r="AA104" i="12"/>
  <c r="AH104" i="12" s="1"/>
  <c r="Z104" i="12"/>
  <c r="AG104" i="12" s="1"/>
  <c r="Y104" i="12"/>
  <c r="AF104" i="12" s="1"/>
  <c r="X104" i="12"/>
  <c r="AE104" i="12" s="1"/>
  <c r="W104" i="12"/>
  <c r="AD104" i="12" s="1"/>
  <c r="V104" i="12"/>
  <c r="AC104" i="12" s="1"/>
  <c r="AB103" i="12"/>
  <c r="AI103" i="12" s="1"/>
  <c r="AA103" i="12"/>
  <c r="AH103" i="12" s="1"/>
  <c r="Z103" i="12"/>
  <c r="AG103" i="12" s="1"/>
  <c r="Y103" i="12"/>
  <c r="AF103" i="12" s="1"/>
  <c r="X103" i="12"/>
  <c r="AE103" i="12" s="1"/>
  <c r="W103" i="12"/>
  <c r="AD103" i="12" s="1"/>
  <c r="V103" i="12"/>
  <c r="AC103" i="12" s="1"/>
  <c r="AB102" i="12"/>
  <c r="AI102" i="12" s="1"/>
  <c r="AA102" i="12"/>
  <c r="AH102" i="12" s="1"/>
  <c r="Z102" i="12"/>
  <c r="AG102" i="12" s="1"/>
  <c r="Y102" i="12"/>
  <c r="AF102" i="12" s="1"/>
  <c r="X102" i="12"/>
  <c r="AE102" i="12" s="1"/>
  <c r="W102" i="12"/>
  <c r="AD102" i="12" s="1"/>
  <c r="V102" i="12"/>
  <c r="AC102" i="12" s="1"/>
  <c r="AB101" i="12"/>
  <c r="AI101" i="12" s="1"/>
  <c r="AA101" i="12"/>
  <c r="AH101" i="12" s="1"/>
  <c r="Z101" i="12"/>
  <c r="AG101" i="12" s="1"/>
  <c r="Y101" i="12"/>
  <c r="AF101" i="12" s="1"/>
  <c r="X101" i="12"/>
  <c r="AE101" i="12" s="1"/>
  <c r="W101" i="12"/>
  <c r="AD101" i="12" s="1"/>
  <c r="V101" i="12"/>
  <c r="AC101" i="12" s="1"/>
  <c r="AB100" i="12"/>
  <c r="AI100" i="12" s="1"/>
  <c r="AA100" i="12"/>
  <c r="AH100" i="12" s="1"/>
  <c r="Z100" i="12"/>
  <c r="AG100" i="12" s="1"/>
  <c r="Y100" i="12"/>
  <c r="AF100" i="12" s="1"/>
  <c r="X100" i="12"/>
  <c r="AE100" i="12" s="1"/>
  <c r="W100" i="12"/>
  <c r="AD100" i="12" s="1"/>
  <c r="V100" i="12"/>
  <c r="AC100" i="12" s="1"/>
  <c r="AB99" i="12"/>
  <c r="AI99" i="12" s="1"/>
  <c r="AA99" i="12"/>
  <c r="AH99" i="12" s="1"/>
  <c r="Z99" i="12"/>
  <c r="AG99" i="12" s="1"/>
  <c r="Y99" i="12"/>
  <c r="AF99" i="12" s="1"/>
  <c r="X99" i="12"/>
  <c r="AE99" i="12" s="1"/>
  <c r="W99" i="12"/>
  <c r="AD99" i="12" s="1"/>
  <c r="V99" i="12"/>
  <c r="AC99" i="12" s="1"/>
  <c r="AB98" i="12"/>
  <c r="AI98" i="12" s="1"/>
  <c r="AA98" i="12"/>
  <c r="AH98" i="12" s="1"/>
  <c r="Z98" i="12"/>
  <c r="AG98" i="12" s="1"/>
  <c r="Y98" i="12"/>
  <c r="AF98" i="12" s="1"/>
  <c r="X98" i="12"/>
  <c r="AE98" i="12" s="1"/>
  <c r="W98" i="12"/>
  <c r="AD98" i="12" s="1"/>
  <c r="V98" i="12"/>
  <c r="AC98" i="12" s="1"/>
  <c r="AB97" i="12"/>
  <c r="AI97" i="12" s="1"/>
  <c r="AA97" i="12"/>
  <c r="AH97" i="12" s="1"/>
  <c r="Z97" i="12"/>
  <c r="AG97" i="12" s="1"/>
  <c r="Y97" i="12"/>
  <c r="AF97" i="12" s="1"/>
  <c r="X97" i="12"/>
  <c r="AE97" i="12" s="1"/>
  <c r="W97" i="12"/>
  <c r="AD97" i="12" s="1"/>
  <c r="V97" i="12"/>
  <c r="AC97" i="12" s="1"/>
  <c r="AB96" i="12"/>
  <c r="AI96" i="12" s="1"/>
  <c r="AA96" i="12"/>
  <c r="AH96" i="12" s="1"/>
  <c r="Z96" i="12"/>
  <c r="AG96" i="12" s="1"/>
  <c r="Y96" i="12"/>
  <c r="AF96" i="12" s="1"/>
  <c r="X96" i="12"/>
  <c r="AE96" i="12" s="1"/>
  <c r="W96" i="12"/>
  <c r="AD96" i="12" s="1"/>
  <c r="V96" i="12"/>
  <c r="AC96" i="12" s="1"/>
  <c r="AB95" i="12"/>
  <c r="AI95" i="12" s="1"/>
  <c r="AA95" i="12"/>
  <c r="AH95" i="12" s="1"/>
  <c r="Z95" i="12"/>
  <c r="AG95" i="12" s="1"/>
  <c r="Y95" i="12"/>
  <c r="AF95" i="12" s="1"/>
  <c r="X95" i="12"/>
  <c r="AE95" i="12" s="1"/>
  <c r="W95" i="12"/>
  <c r="AD95" i="12" s="1"/>
  <c r="V95" i="12"/>
  <c r="AC95" i="12" s="1"/>
  <c r="AB94" i="12"/>
  <c r="AI94" i="12" s="1"/>
  <c r="AA94" i="12"/>
  <c r="AH94" i="12" s="1"/>
  <c r="Z94" i="12"/>
  <c r="AG94" i="12" s="1"/>
  <c r="Y94" i="12"/>
  <c r="AF94" i="12" s="1"/>
  <c r="X94" i="12"/>
  <c r="AE94" i="12" s="1"/>
  <c r="W94" i="12"/>
  <c r="AD94" i="12" s="1"/>
  <c r="V94" i="12"/>
  <c r="AC94" i="12" s="1"/>
  <c r="AB93" i="12"/>
  <c r="AI93" i="12" s="1"/>
  <c r="AA93" i="12"/>
  <c r="AH93" i="12" s="1"/>
  <c r="Z93" i="12"/>
  <c r="AG93" i="12" s="1"/>
  <c r="Y93" i="12"/>
  <c r="AF93" i="12" s="1"/>
  <c r="X93" i="12"/>
  <c r="AE93" i="12" s="1"/>
  <c r="W93" i="12"/>
  <c r="AD93" i="12" s="1"/>
  <c r="V93" i="12"/>
  <c r="AC93" i="12" s="1"/>
  <c r="AB92" i="12"/>
  <c r="AI92" i="12" s="1"/>
  <c r="AA92" i="12"/>
  <c r="AH92" i="12" s="1"/>
  <c r="Z92" i="12"/>
  <c r="AG92" i="12" s="1"/>
  <c r="Y92" i="12"/>
  <c r="AF92" i="12" s="1"/>
  <c r="X92" i="12"/>
  <c r="AE92" i="12" s="1"/>
  <c r="W92" i="12"/>
  <c r="AD92" i="12" s="1"/>
  <c r="V92" i="12"/>
  <c r="AC92" i="12" s="1"/>
  <c r="AB91" i="12"/>
  <c r="AI91" i="12" s="1"/>
  <c r="AA91" i="12"/>
  <c r="AH91" i="12" s="1"/>
  <c r="Z91" i="12"/>
  <c r="AG91" i="12" s="1"/>
  <c r="Y91" i="12"/>
  <c r="AF91" i="12" s="1"/>
  <c r="X91" i="12"/>
  <c r="AE91" i="12" s="1"/>
  <c r="W91" i="12"/>
  <c r="AD91" i="12" s="1"/>
  <c r="V91" i="12"/>
  <c r="AC91" i="12" s="1"/>
  <c r="AB90" i="12"/>
  <c r="AI90" i="12" s="1"/>
  <c r="AA90" i="12"/>
  <c r="AH90" i="12" s="1"/>
  <c r="Z90" i="12"/>
  <c r="AG90" i="12" s="1"/>
  <c r="Y90" i="12"/>
  <c r="AF90" i="12" s="1"/>
  <c r="X90" i="12"/>
  <c r="AE90" i="12" s="1"/>
  <c r="W90" i="12"/>
  <c r="AD90" i="12" s="1"/>
  <c r="V90" i="12"/>
  <c r="AC90" i="12" s="1"/>
  <c r="AB89" i="12"/>
  <c r="AI89" i="12" s="1"/>
  <c r="AA89" i="12"/>
  <c r="AH89" i="12" s="1"/>
  <c r="Z89" i="12"/>
  <c r="AG89" i="12" s="1"/>
  <c r="Y89" i="12"/>
  <c r="AF89" i="12" s="1"/>
  <c r="X89" i="12"/>
  <c r="AE89" i="12" s="1"/>
  <c r="W89" i="12"/>
  <c r="AD89" i="12" s="1"/>
  <c r="V89" i="12"/>
  <c r="AC89" i="12" s="1"/>
  <c r="AB88" i="12"/>
  <c r="AI88" i="12" s="1"/>
  <c r="AA88" i="12"/>
  <c r="AH88" i="12" s="1"/>
  <c r="Z88" i="12"/>
  <c r="AG88" i="12" s="1"/>
  <c r="Y88" i="12"/>
  <c r="AF88" i="12" s="1"/>
  <c r="X88" i="12"/>
  <c r="AE88" i="12" s="1"/>
  <c r="W88" i="12"/>
  <c r="AD88" i="12" s="1"/>
  <c r="V88" i="12"/>
  <c r="AC88" i="12" s="1"/>
  <c r="AB87" i="12"/>
  <c r="AI87" i="12" s="1"/>
  <c r="AA87" i="12"/>
  <c r="AH87" i="12" s="1"/>
  <c r="Z87" i="12"/>
  <c r="AG87" i="12" s="1"/>
  <c r="Y87" i="12"/>
  <c r="AF87" i="12" s="1"/>
  <c r="X87" i="12"/>
  <c r="AE87" i="12" s="1"/>
  <c r="W87" i="12"/>
  <c r="AD87" i="12" s="1"/>
  <c r="V87" i="12"/>
  <c r="AC87" i="12" s="1"/>
  <c r="AB86" i="12"/>
  <c r="AI86" i="12" s="1"/>
  <c r="AA86" i="12"/>
  <c r="AH86" i="12" s="1"/>
  <c r="Z86" i="12"/>
  <c r="AG86" i="12" s="1"/>
  <c r="Y86" i="12"/>
  <c r="AF86" i="12" s="1"/>
  <c r="X86" i="12"/>
  <c r="AE86" i="12" s="1"/>
  <c r="W86" i="12"/>
  <c r="AD86" i="12" s="1"/>
  <c r="V86" i="12"/>
  <c r="AC86" i="12" s="1"/>
  <c r="AB85" i="12"/>
  <c r="AI85" i="12" s="1"/>
  <c r="AA85" i="12"/>
  <c r="AH85" i="12" s="1"/>
  <c r="Z85" i="12"/>
  <c r="AG85" i="12" s="1"/>
  <c r="Y85" i="12"/>
  <c r="AF85" i="12" s="1"/>
  <c r="X85" i="12"/>
  <c r="AE85" i="12" s="1"/>
  <c r="W85" i="12"/>
  <c r="AD85" i="12" s="1"/>
  <c r="V85" i="12"/>
  <c r="AC85" i="12" s="1"/>
  <c r="AB84" i="12"/>
  <c r="AI84" i="12" s="1"/>
  <c r="AA84" i="12"/>
  <c r="AH84" i="12" s="1"/>
  <c r="Z84" i="12"/>
  <c r="AG84" i="12" s="1"/>
  <c r="Y84" i="12"/>
  <c r="AF84" i="12" s="1"/>
  <c r="X84" i="12"/>
  <c r="AE84" i="12" s="1"/>
  <c r="W84" i="12"/>
  <c r="AD84" i="12" s="1"/>
  <c r="V84" i="12"/>
  <c r="AC84" i="12" s="1"/>
  <c r="AB83" i="12"/>
  <c r="AI83" i="12" s="1"/>
  <c r="AA83" i="12"/>
  <c r="AH83" i="12" s="1"/>
  <c r="Z83" i="12"/>
  <c r="AG83" i="12" s="1"/>
  <c r="Y83" i="12"/>
  <c r="AF83" i="12" s="1"/>
  <c r="X83" i="12"/>
  <c r="AE83" i="12" s="1"/>
  <c r="W83" i="12"/>
  <c r="AD83" i="12" s="1"/>
  <c r="V83" i="12"/>
  <c r="AC83" i="12" s="1"/>
  <c r="AB82" i="12"/>
  <c r="AI82" i="12" s="1"/>
  <c r="AA82" i="12"/>
  <c r="AH82" i="12" s="1"/>
  <c r="Z82" i="12"/>
  <c r="AG82" i="12" s="1"/>
  <c r="Y82" i="12"/>
  <c r="AF82" i="12" s="1"/>
  <c r="X82" i="12"/>
  <c r="AE82" i="12" s="1"/>
  <c r="W82" i="12"/>
  <c r="AD82" i="12" s="1"/>
  <c r="V82" i="12"/>
  <c r="AC82" i="12" s="1"/>
  <c r="AB81" i="12"/>
  <c r="AI81" i="12" s="1"/>
  <c r="AA81" i="12"/>
  <c r="AH81" i="12" s="1"/>
  <c r="Z81" i="12"/>
  <c r="AG81" i="12" s="1"/>
  <c r="Y81" i="12"/>
  <c r="AF81" i="12" s="1"/>
  <c r="X81" i="12"/>
  <c r="AE81" i="12" s="1"/>
  <c r="W81" i="12"/>
  <c r="AD81" i="12" s="1"/>
  <c r="V81" i="12"/>
  <c r="AC81" i="12" s="1"/>
  <c r="AB80" i="12"/>
  <c r="AI80" i="12" s="1"/>
  <c r="AA80" i="12"/>
  <c r="AH80" i="12" s="1"/>
  <c r="Z80" i="12"/>
  <c r="AG80" i="12" s="1"/>
  <c r="Y80" i="12"/>
  <c r="AF80" i="12" s="1"/>
  <c r="X80" i="12"/>
  <c r="AE80" i="12" s="1"/>
  <c r="W80" i="12"/>
  <c r="AD80" i="12" s="1"/>
  <c r="V80" i="12"/>
  <c r="AC80" i="12" s="1"/>
  <c r="AB19" i="12"/>
  <c r="AI19" i="12" s="1"/>
  <c r="AA19" i="12"/>
  <c r="AH19" i="12" s="1"/>
  <c r="Z19" i="12"/>
  <c r="AG19" i="12" s="1"/>
  <c r="Y19" i="12"/>
  <c r="AF19" i="12" s="1"/>
  <c r="X19" i="12"/>
  <c r="AE19" i="12" s="1"/>
  <c r="W19" i="12"/>
  <c r="AD19" i="12" s="1"/>
  <c r="V19" i="12"/>
  <c r="AC19" i="12" s="1"/>
  <c r="AB18" i="12"/>
  <c r="AI18" i="12" s="1"/>
  <c r="AA18" i="12"/>
  <c r="AH18" i="12" s="1"/>
  <c r="Z18" i="12"/>
  <c r="AG18" i="12" s="1"/>
  <c r="Y18" i="12"/>
  <c r="AF18" i="12" s="1"/>
  <c r="X18" i="12"/>
  <c r="AE18" i="12" s="1"/>
  <c r="W18" i="12"/>
  <c r="AD18" i="12" s="1"/>
  <c r="V18" i="12"/>
  <c r="AC18" i="12" s="1"/>
  <c r="AB17" i="12"/>
  <c r="AI17" i="12" s="1"/>
  <c r="AA17" i="12"/>
  <c r="AH17" i="12" s="1"/>
  <c r="Z17" i="12"/>
  <c r="AG17" i="12" s="1"/>
  <c r="Y17" i="12"/>
  <c r="AF17" i="12" s="1"/>
  <c r="X17" i="12"/>
  <c r="AE17" i="12" s="1"/>
  <c r="W17" i="12"/>
  <c r="AD17" i="12" s="1"/>
  <c r="V17" i="12"/>
  <c r="AC17" i="12" s="1"/>
  <c r="AB16" i="12"/>
  <c r="AI16" i="12" s="1"/>
  <c r="AA16" i="12"/>
  <c r="AH16" i="12" s="1"/>
  <c r="Z16" i="12"/>
  <c r="AG16" i="12" s="1"/>
  <c r="Y16" i="12"/>
  <c r="AF16" i="12" s="1"/>
  <c r="X16" i="12"/>
  <c r="AE16" i="12" s="1"/>
  <c r="W16" i="12"/>
  <c r="AD16" i="12" s="1"/>
  <c r="V16" i="12"/>
  <c r="AC16" i="12" s="1"/>
  <c r="AB15" i="12"/>
  <c r="AI15" i="12" s="1"/>
  <c r="AA15" i="12"/>
  <c r="AH15" i="12" s="1"/>
  <c r="Z15" i="12"/>
  <c r="AG15" i="12" s="1"/>
  <c r="Y15" i="12"/>
  <c r="AF15" i="12" s="1"/>
  <c r="X15" i="12"/>
  <c r="AE15" i="12" s="1"/>
  <c r="W15" i="12"/>
  <c r="AD15" i="12" s="1"/>
  <c r="V15" i="12"/>
  <c r="AC15" i="12" s="1"/>
  <c r="AB14" i="12"/>
  <c r="AI14" i="12" s="1"/>
  <c r="AA14" i="12"/>
  <c r="AH14" i="12" s="1"/>
  <c r="Z14" i="12"/>
  <c r="AG14" i="12" s="1"/>
  <c r="Y14" i="12"/>
  <c r="AF14" i="12" s="1"/>
  <c r="X14" i="12"/>
  <c r="AE14" i="12" s="1"/>
  <c r="W14" i="12"/>
  <c r="AD14" i="12" s="1"/>
  <c r="V14" i="12"/>
  <c r="AC14" i="12" s="1"/>
  <c r="AB10" i="12"/>
  <c r="AA10" i="12"/>
  <c r="Z10" i="12"/>
  <c r="Y10" i="12"/>
  <c r="X10" i="12"/>
  <c r="W10" i="12"/>
  <c r="F80" i="13" l="1"/>
  <c r="E143" i="14"/>
  <c r="AF140" i="12"/>
  <c r="AD140" i="12"/>
  <c r="AH140" i="12"/>
  <c r="AC140" i="12"/>
  <c r="AE140" i="12"/>
  <c r="AG140" i="12"/>
  <c r="AI140" i="12"/>
  <c r="AD142" i="12"/>
  <c r="AD143" i="12" s="1"/>
  <c r="AD144" i="12" s="1"/>
  <c r="AF142" i="12"/>
  <c r="AF143" i="12" s="1"/>
  <c r="AH142" i="12"/>
  <c r="AH143" i="12" s="1"/>
  <c r="AC142" i="12"/>
  <c r="AC143" i="12" s="1"/>
  <c r="AE142" i="12"/>
  <c r="AE143" i="12" s="1"/>
  <c r="AE144" i="12" s="1"/>
  <c r="AG142" i="12"/>
  <c r="AG143" i="12" s="1"/>
  <c r="AI142" i="12"/>
  <c r="AI143" i="12" s="1"/>
  <c r="G12" i="17" l="1"/>
  <c r="G14" i="17"/>
  <c r="G11" i="17"/>
  <c r="G13" i="17"/>
  <c r="G15" i="17"/>
  <c r="G17" i="17"/>
  <c r="G16" i="17"/>
  <c r="AI144" i="12"/>
  <c r="C17" i="17" s="1"/>
  <c r="F17" i="17" s="1"/>
  <c r="AH144" i="12"/>
  <c r="C16" i="17" s="1"/>
  <c r="F16" i="17" s="1"/>
  <c r="AG144" i="12"/>
  <c r="C15" i="17" s="1"/>
  <c r="F15" i="17" s="1"/>
  <c r="AF144" i="12"/>
  <c r="C14" i="17" s="1"/>
  <c r="F14" i="17" s="1"/>
  <c r="AC144" i="12"/>
  <c r="C11" i="17" s="1"/>
  <c r="F11" i="17" s="1"/>
  <c r="C13" i="17"/>
  <c r="F13" i="17" s="1"/>
  <c r="F82" i="13"/>
  <c r="F81" i="13"/>
  <c r="H11" i="17" l="1"/>
  <c r="H15" i="17"/>
  <c r="H17" i="17"/>
  <c r="J17" i="17" s="1"/>
  <c r="H14" i="17"/>
  <c r="H13" i="17"/>
  <c r="H16" i="17"/>
  <c r="G18" i="17"/>
  <c r="C12" i="17"/>
  <c r="F12" i="17" s="1"/>
  <c r="H12" i="17" s="1"/>
  <c r="F140" i="13"/>
  <c r="F141" i="13" s="1"/>
  <c r="J16" i="17" l="1"/>
  <c r="J14" i="17"/>
  <c r="J15" i="17"/>
  <c r="J13" i="17"/>
  <c r="J11" i="17"/>
  <c r="G17" i="19"/>
  <c r="H18" i="17" l="1"/>
  <c r="J18" i="17" s="1"/>
  <c r="F18" i="17"/>
  <c r="J12" i="17" l="1"/>
  <c r="D17" i="19" l="1"/>
  <c r="P17" i="19"/>
  <c r="E17" i="19"/>
  <c r="B17" i="19"/>
  <c r="N17" i="19"/>
  <c r="C17" i="19"/>
  <c r="O17" i="19"/>
</calcChain>
</file>

<file path=xl/sharedStrings.xml><?xml version="1.0" encoding="utf-8"?>
<sst xmlns="http://schemas.openxmlformats.org/spreadsheetml/2006/main" count="422" uniqueCount="156">
  <si>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</si>
  <si>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</si>
  <si>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</si>
  <si>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</si>
  <si>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</si>
  <si>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</si>
  <si>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</si>
  <si>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</si>
  <si>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</si>
  <si>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</si>
  <si>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</si>
  <si>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</si>
  <si>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</si>
  <si>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</si>
  <si>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</si>
  <si>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</si>
  <si>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</si>
  <si>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</si>
  <si>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</si>
  <si>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</si>
  <si>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</si>
  <si>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</si>
  <si>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</si>
  <si>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</si>
  <si>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</si>
  <si>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</si>
  <si>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</si>
  <si>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</si>
  <si>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</si>
  <si>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</si>
  <si>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</si>
  <si>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</si>
  <si>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</si>
  <si>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</si>
  <si>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</si>
  <si>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</si>
  <si>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</si>
  <si>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</si>
  <si>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</si>
  <si>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</si>
  <si>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</si>
  <si>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</si>
  <si>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</si>
  <si>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</si>
  <si>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</si>
  <si>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</si>
  <si>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</si>
  <si>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</si>
  <si>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</si>
  <si>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</si>
  <si>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</si>
  <si>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</si>
  <si>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</si>
  <si>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</si>
  <si>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</si>
  <si>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</si>
  <si>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</si>
  <si>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</si>
  <si>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</si>
  <si>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</si>
  <si>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</si>
  <si>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</si>
  <si>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</si>
  <si>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</si>
  <si>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</si>
  <si>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</si>
  <si>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</si>
  <si>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</si>
  <si>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</si>
  <si>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</si>
  <si>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</si>
  <si>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</si>
  <si>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</si>
  <si>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</si>
  <si>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</si>
  <si>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</si>
  <si>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</si>
  <si>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</si>
  <si>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CO Average</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</si>
  <si>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</si>
  <si>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</si>
  <si>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</si>
  <si>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</si>
  <si>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</si>
  <si>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</si>
  <si>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</si>
  <si>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</si>
  <si>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</si>
  <si>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</si>
  <si>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</si>
  <si>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</si>
  <si>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</si>
  <si>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</si>
  <si>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</si>
  <si>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</si>
  <si>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</si>
  <si>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</si>
  <si>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</si>
  <si>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</si>
  <si>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</si>
  <si>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</si>
  <si>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</si>
  <si>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</si>
  <si>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</si>
  <si>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</si>
  <si>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</si>
  <si>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</si>
  <si>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</si>
  <si>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</si>
  <si>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</si>
  <si>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</si>
  <si>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</si>
  <si>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</si>
  <si>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</si>
  <si>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</si>
  <si>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</si>
  <si>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</si>
  <si>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</si>
  <si>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</si>
  <si>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</si>
  <si>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</si>
  <si>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</si>
  <si>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</si>
  <si>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</si>
  <si>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</si>
  <si>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</si>
  <si>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</si>
  <si>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</si>
  <si>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</si>
  <si>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</si>
  <si>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</si>
  <si>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</si>
  <si>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</si>
  <si>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</si>
  <si>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</si>
  <si>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</si>
  <si>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</si>
  <si>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</si>
  <si>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</si>
  <si>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</si>
  <si>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</si>
  <si>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</si>
  <si>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</si>
  <si>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</si>
  <si>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</si>
  <si>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</si>
  <si>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</si>
  <si>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</si>
  <si>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</si>
  <si>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</si>
  <si>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</si>
  <si>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</si>
  <si>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</si>
  <si>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</si>
  <si>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</si>
  <si>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Internal 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</si>
</sst>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s>
  <fills count="9">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s>
  <cellStyleXfs count="1">
    <xf numFmtId="0" fontId="0" fillId="0" borderId="0"/>
  </cellStyleXfs>
  <cellXfs count="199">
    <xf numFmtId="0" fontId="0" fillId="0" borderId="0" xfId="0"/>
    <xf numFmtId="0" fontId="0" fillId="0" borderId="1" xfId="0" applyBorder="1"/>
    <xf numFmtId="0" fontId="0" fillId="0" borderId="0" xfId="0" applyProtection="1">
      <protection locked="0"/>
    </xf>
    <xf numFmtId="0" fontId="1" fillId="0" borderId="0" xfId="0" applyFont="1"/>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7" xfId="0" applyFont="1" applyBorder="1" applyAlignment="1" applyProtection="1">
      <alignment horizontal="center" vertical="center"/>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7" fillId="0" borderId="12" xfId="0" applyFont="1" applyBorder="1" applyAlignment="1" applyProtection="1">
      <alignment horizontal="center" vertical="center"/>
    </xf>
    <xf numFmtId="0" fontId="6" fillId="0" borderId="13" xfId="0" applyFont="1" applyBorder="1" applyAlignment="1" applyProtection="1">
      <alignment horizontal="center" vertical="center"/>
    </xf>
    <xf numFmtId="0" fontId="6" fillId="0" borderId="14" xfId="0" applyFont="1" applyBorder="1" applyAlignment="1" applyProtection="1">
      <alignment horizontal="center" vertical="center"/>
    </xf>
    <xf numFmtId="0" fontId="6" fillId="0" borderId="15"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6" fillId="0" borderId="2" xfId="0" applyFont="1" applyFill="1" applyBorder="1" applyAlignment="1" applyProtection="1">
      <alignment horizontal="center" vertical="center"/>
    </xf>
    <xf numFmtId="164" fontId="6" fillId="0" borderId="3" xfId="0" applyNumberFormat="1" applyFont="1" applyFill="1" applyBorder="1" applyAlignment="1" applyProtection="1">
      <alignment horizontal="center" vertical="center"/>
    </xf>
    <xf numFmtId="164" fontId="6" fillId="0" borderId="4" xfId="0" applyNumberFormat="1" applyFont="1" applyFill="1" applyBorder="1" applyAlignment="1" applyProtection="1">
      <alignment horizontal="center" vertical="center"/>
    </xf>
    <xf numFmtId="0" fontId="0" fillId="0" borderId="1" xfId="0" applyBorder="1" applyProtection="1">
      <protection locked="0"/>
    </xf>
    <xf numFmtId="0" fontId="7" fillId="0" borderId="17" xfId="0" applyFont="1" applyBorder="1" applyAlignment="1" applyProtection="1">
      <alignment horizontal="center" vertical="center"/>
    </xf>
    <xf numFmtId="0" fontId="7" fillId="0" borderId="0" xfId="0" applyFont="1" applyBorder="1" applyAlignment="1" applyProtection="1">
      <alignment horizontal="center" vertical="center"/>
    </xf>
    <xf numFmtId="0" fontId="6" fillId="0" borderId="16" xfId="0" applyFont="1" applyBorder="1" applyAlignment="1" applyProtection="1">
      <alignment horizontal="center" vertical="center"/>
    </xf>
    <xf numFmtId="0" fontId="6" fillId="0" borderId="8" xfId="0" applyFont="1" applyFill="1" applyBorder="1" applyAlignment="1" applyProtection="1">
      <alignment horizontal="center" vertical="center"/>
    </xf>
    <xf numFmtId="164" fontId="6" fillId="0" borderId="9" xfId="0" applyNumberFormat="1" applyFont="1" applyFill="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wrapText="1"/>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2" fillId="0" borderId="0" xfId="0" applyFont="1" applyBorder="1" applyAlignment="1">
      <alignment horizont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0" fillId="0" borderId="1" xfId="0" applyBorder="1" applyAlignment="1">
      <alignment horizontal="center" vertical="center"/>
    </xf>
    <xf numFmtId="0" fontId="5" fillId="0" borderId="0" xfId="0" applyFont="1" applyBorder="1" applyAlignment="1">
      <alignment horizontal="center"/>
    </xf>
    <xf numFmtId="0" fontId="5" fillId="0" borderId="0" xfId="0" applyFont="1" applyBorder="1" applyAlignment="1">
      <alignment horizontal="left"/>
    </xf>
    <xf numFmtId="0" fontId="5" fillId="0" borderId="0" xfId="0" applyFont="1" applyBorder="1" applyAlignment="1">
      <alignment horizontal="right"/>
    </xf>
    <xf numFmtId="0" fontId="0" fillId="0" borderId="0" xfId="0" applyBorder="1"/>
    <xf numFmtId="0" fontId="7" fillId="0" borderId="6" xfId="0" applyFont="1" applyBorder="1" applyAlignment="1" applyProtection="1">
      <alignment horizontal="center" vertical="center"/>
      <protection locked="0"/>
    </xf>
    <xf numFmtId="0" fontId="7" fillId="0" borderId="6" xfId="0" applyFont="1" applyBorder="1" applyAlignment="1" applyProtection="1">
      <alignment wrapText="1"/>
      <protection locked="0"/>
    </xf>
    <xf numFmtId="0" fontId="7" fillId="0" borderId="6" xfId="0" applyFont="1" applyBorder="1" applyAlignment="1" applyProtection="1">
      <alignment horizontal="center" vertical="center"/>
    </xf>
    <xf numFmtId="0" fontId="2" fillId="0" borderId="0" xfId="0" applyFont="1" applyBorder="1" applyAlignment="1"/>
    <xf numFmtId="0" fontId="1" fillId="0" borderId="1" xfId="0" applyFont="1" applyFill="1" applyBorder="1" applyAlignment="1">
      <alignment horizontal="center" vertical="center"/>
    </xf>
    <xf numFmtId="0" fontId="0" fillId="0" borderId="0" xfId="0" applyAlignment="1">
      <alignment wrapText="1"/>
    </xf>
    <xf numFmtId="0" fontId="5" fillId="0" borderId="0" xfId="0" applyFont="1" applyBorder="1" applyAlignment="1"/>
    <xf numFmtId="0" fontId="5" fillId="0" borderId="5" xfId="0" applyFont="1" applyBorder="1" applyAlignment="1">
      <alignment wrapText="1"/>
    </xf>
    <xf numFmtId="0" fontId="5" fillId="0" borderId="0" xfId="0" applyFont="1" applyBorder="1" applyAlignment="1">
      <alignment wrapText="1"/>
    </xf>
    <xf numFmtId="0" fontId="5" fillId="0" borderId="5" xfId="0" applyFont="1" applyBorder="1" applyAlignment="1">
      <alignment horizontal="left" wrapText="1"/>
    </xf>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1" fillId="0" borderId="1" xfId="0" applyFont="1" applyBorder="1" applyAlignment="1">
      <alignment horizontal="center"/>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 fillId="0" borderId="1" xfId="0" applyFont="1" applyFill="1" applyBorder="1" applyAlignment="1" applyProtection="1">
      <alignment horizontal="center" vertical="center" textRotation="90"/>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18" xfId="0" applyFont="1" applyBorder="1" applyAlignment="1" applyProtection="1">
      <alignment horizontal="left" vertical="center" wrapText="1"/>
    </xf>
    <xf numFmtId="0" fontId="1" fillId="0" borderId="6" xfId="0" applyFont="1" applyBorder="1" applyAlignment="1" applyProtection="1">
      <alignment horizontal="center"/>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0" fillId="7" borderId="0" xfId="0" applyFill="1" applyBorder="1" applyAlignment="1" applyProtection="1">
      <alignment vertical="center"/>
      <protection locked="0"/>
    </xf>
    <xf numFmtId="0" fontId="0" fillId="7" borderId="0" xfId="0" applyFill="1" applyBorder="1" applyAlignment="1" applyProtection="1">
      <alignment vertical="center" wrapText="1"/>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5" borderId="1" xfId="0" applyFont="1" applyFill="1" applyBorder="1" applyAlignment="1" applyProtection="1">
      <alignment horizontal="center" vertical="center"/>
      <protection locked="0"/>
    </xf>
    <xf numFmtId="0" fontId="0" fillId="3" borderId="18" xfId="0" applyFill="1" applyBorder="1" applyAlignment="1" applyProtection="1">
      <alignment horizontal="center"/>
      <protection locked="0"/>
    </xf>
    <xf numFmtId="0" fontId="0" fillId="3" borderId="8" xfId="0" applyFill="1" applyBorder="1" applyAlignment="1" applyProtection="1">
      <alignment horizontal="center"/>
      <protection locked="0"/>
    </xf>
    <xf numFmtId="0" fontId="0" fillId="5" borderId="1" xfId="0" applyFill="1" applyBorder="1" applyAlignment="1" applyProtection="1">
      <alignment horizontal="left" vertical="center" wrapText="1"/>
      <protection locked="0"/>
    </xf>
    <xf numFmtId="0" fontId="0" fillId="4" borderId="1" xfId="0" applyFill="1" applyBorder="1" applyAlignment="1" applyProtection="1">
      <alignment horizont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0" fillId="5" borderId="18" xfId="0" applyFill="1" applyBorder="1" applyAlignment="1" applyProtection="1">
      <alignment horizontal="left" vertical="center" wrapText="1"/>
      <protection locked="0"/>
    </xf>
    <xf numFmtId="0" fontId="0" fillId="5" borderId="20" xfId="0" applyFill="1" applyBorder="1" applyAlignment="1" applyProtection="1">
      <alignment horizontal="left" vertical="center" wrapText="1"/>
      <protection locked="0"/>
    </xf>
    <xf numFmtId="0" fontId="0" fillId="5" borderId="8" xfId="0" applyFill="1" applyBorder="1" applyAlignment="1" applyProtection="1">
      <alignment horizontal="left" vertical="center" wrapText="1"/>
      <protection locked="0"/>
    </xf>
    <xf numFmtId="0" fontId="0" fillId="3" borderId="18" xfId="0" applyFill="1" applyBorder="1" applyAlignment="1" applyProtection="1">
      <alignment horizontal="left" vertical="center"/>
      <protection locked="0"/>
    </xf>
    <xf numFmtId="0" fontId="0" fillId="3" borderId="2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7"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3" borderId="8" xfId="0" applyFill="1" applyBorder="1" applyAlignment="1" applyProtection="1">
      <alignment horizontal="left" vertical="center"/>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3" borderId="19" xfId="0" applyFont="1" applyFill="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8" borderId="1" xfId="0" applyFill="1" applyBorder="1" applyAlignment="1" applyProtection="1">
      <alignment horizontal="center" vertical="center"/>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6" fillId="0" borderId="1" xfId="0" applyFont="1" applyBorder="1" applyAlignment="1" applyProtection="1">
      <alignment horizontal="center" vertical="center" textRotation="90" wrapText="1"/>
      <protection locked="0"/>
    </xf>
    <xf numFmtId="0" fontId="6" fillId="0" borderId="1" xfId="0" applyFont="1" applyBorder="1" applyAlignment="1" applyProtection="1">
      <alignment horizontal="center" vertical="center" textRotation="90" wrapText="1"/>
    </xf>
    <xf numFmtId="0" fontId="6" fillId="0" borderId="1" xfId="0" applyFont="1" applyBorder="1" applyAlignment="1" applyProtection="1">
      <alignment horizontal="right" vertical="center" wrapText="1"/>
      <protection locked="0"/>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13" fillId="0" borderId="0" xfId="0" applyFont="1" applyBorder="1" applyAlignment="1" applyProtection="1">
      <alignment horizontal="left"/>
      <protection locked="0"/>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xf>
    <xf numFmtId="0" fontId="2" fillId="0" borderId="0" xfId="0" applyFont="1" applyBorder="1" applyAlignment="1" applyProtection="1">
      <alignment horizontal="center"/>
    </xf>
    <xf numFmtId="0" fontId="5" fillId="0" borderId="0" xfId="0" applyFont="1" applyBorder="1" applyAlignment="1" applyProtection="1">
      <alignment horizontal="left"/>
    </xf>
    <xf numFmtId="0" fontId="1" fillId="0" borderId="1" xfId="0" applyFont="1" applyBorder="1" applyAlignment="1" applyProtection="1">
      <alignment horizontal="right"/>
      <protection locked="0"/>
    </xf>
    <xf numFmtId="0" fontId="1" fillId="0" borderId="6" xfId="0" applyFont="1" applyBorder="1" applyAlignment="1" applyProtection="1">
      <alignment horizontal="right"/>
      <protection locked="0"/>
    </xf>
    <xf numFmtId="0" fontId="3" fillId="2" borderId="0" xfId="0" applyFont="1" applyFill="1" applyBorder="1" applyAlignment="1">
      <alignment horizontal="center" vertical="center"/>
    </xf>
    <xf numFmtId="0" fontId="2" fillId="0" borderId="0" xfId="0" applyFont="1" applyBorder="1" applyAlignment="1">
      <alignment horizontal="center"/>
    </xf>
    <xf numFmtId="0" fontId="1" fillId="0" borderId="1" xfId="0" applyFont="1" applyBorder="1" applyAlignment="1" applyProtection="1">
      <alignment horizontal="center" vertical="center" wrapText="1"/>
      <protection locked="0"/>
    </xf>
    <xf numFmtId="0" fontId="5"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protection locked="0"/>
    </xf>
    <xf numFmtId="0" fontId="1" fillId="0" borderId="1" xfId="0" applyFont="1" applyBorder="1" applyAlignment="1">
      <alignment horizontal="center"/>
    </xf>
    <xf numFmtId="0" fontId="1" fillId="0" borderId="1" xfId="0" applyFont="1" applyBorder="1" applyAlignment="1">
      <alignment horizontal="right"/>
    </xf>
    <xf numFmtId="0" fontId="4" fillId="0" borderId="5" xfId="0" applyFont="1" applyBorder="1" applyAlignment="1">
      <alignment horizontal="center"/>
    </xf>
    <xf numFmtId="0" fontId="4" fillId="0" borderId="0" xfId="0" applyFont="1" applyBorder="1" applyAlignment="1">
      <alignment horizontal="center"/>
    </xf>
    <xf numFmtId="0" fontId="8" fillId="2" borderId="5" xfId="0" applyFont="1" applyFill="1" applyBorder="1" applyAlignment="1">
      <alignment horizontal="center" vertical="center"/>
    </xf>
    <xf numFmtId="0" fontId="8" fillId="2" borderId="0" xfId="0" applyFont="1" applyFill="1" applyBorder="1" applyAlignment="1">
      <alignment horizontal="center" vertical="center"/>
    </xf>
    <xf numFmtId="0" fontId="2" fillId="0" borderId="5" xfId="0" applyFont="1"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0" fillId="0" borderId="0" xfId="0" applyAlignment="1">
      <alignment horizontal="left"/>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1" fillId="0" borderId="1" xfId="0" applyFont="1" applyBorder="1" applyAlignment="1">
      <alignment horizontal="center" vertical="center" textRotation="90" wrapText="1"/>
    </xf>
    <xf numFmtId="0" fontId="0" fillId="0" borderId="1" xfId="0" applyBorder="1" applyAlignment="1">
      <alignment horizontal="center"/>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0" fillId="0" borderId="0" xfId="0" applyBorder="1" applyAlignment="1" applyProtection="1">
      <alignment horizontal="left"/>
    </xf>
    <xf numFmtId="0" fontId="1" fillId="0" borderId="1" xfId="0" applyFont="1" applyBorder="1" applyAlignment="1" applyProtection="1">
      <alignment horizontal="center" vertical="center" wrapText="1"/>
    </xf>
    <xf numFmtId="0" fontId="0" fillId="0" borderId="0" xfId="0" applyAlignment="1">
      <alignment horizontal="righ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1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51"/>
  <sheetViews>
    <sheetView tabSelected="1" zoomScale="115" zoomScaleNormal="115" workbookViewId="0">
      <selection activeCell="J1" sqref="J1"/>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30" t="s">
        <v>110</v>
      </c>
      <c r="B1" s="131"/>
      <c r="C1" s="131"/>
      <c r="D1" s="131"/>
      <c r="E1" s="131"/>
      <c r="F1" s="63"/>
      <c r="G1" s="133" t="str">
        <f>IF(E5="Yes","Lab Experiments",IF(E4="Yes","Project Reviews","Internal Test 1"))</f>
        <v>Internal Test 1</v>
      </c>
      <c r="H1" s="133"/>
      <c r="I1" s="133"/>
      <c r="J1" s="64" t="s">
        <v>152</v>
      </c>
      <c r="K1" s="65"/>
      <c r="L1" s="133" t="str">
        <f>IF(OR(E5="Yes",E4="Yes")," ","Internal Test 2")</f>
        <v>Internal Test 2</v>
      </c>
      <c r="M1" s="133"/>
      <c r="N1" s="133"/>
      <c r="O1" s="64" t="s">
        <v>152</v>
      </c>
      <c r="Q1" s="133" t="str">
        <f>IF(OR(E5="Yes",E4="Yes")," ","Assignments")</f>
        <v>Assignments</v>
      </c>
      <c r="R1" s="133"/>
      <c r="S1" s="133"/>
      <c r="T1" s="64" t="s">
        <v>152</v>
      </c>
      <c r="U1" s="138" t="s">
        <v>126</v>
      </c>
      <c r="V1" s="138"/>
      <c r="W1" s="138"/>
      <c r="X1" s="66" t="s">
        <v>152</v>
      </c>
    </row>
    <row r="2" spans="1:24" ht="28.8">
      <c r="A2" s="67" t="s">
        <v>59</v>
      </c>
      <c r="B2" s="129"/>
      <c r="C2" s="129"/>
      <c r="D2" s="129"/>
      <c r="E2" s="129"/>
      <c r="F2" s="65"/>
      <c r="G2" s="137" t="s">
        <v>97</v>
      </c>
      <c r="H2" s="137"/>
      <c r="I2" s="68" t="s">
        <v>17</v>
      </c>
      <c r="J2" s="69" t="s">
        <v>98</v>
      </c>
      <c r="K2" s="65"/>
      <c r="L2" s="134" t="str">
        <f>IF(OR(E5="Yes",E4="Yes")," ","Qn")</f>
        <v>Qn</v>
      </c>
      <c r="M2" s="134"/>
      <c r="N2" s="114" t="str">
        <f>IF(OR(E5="Yes",E4="Yes"),"","CO")</f>
        <v>CO</v>
      </c>
      <c r="O2" s="59" t="str">
        <f>IF(OR(E5="Yes",E4="Yes"),"","Max. Marks")</f>
        <v>Max. Marks</v>
      </c>
      <c r="Q2" s="113" t="str">
        <f>IF(OR(E5="Yes",E4="Yes")," ","Assignment")</f>
        <v>Assignment</v>
      </c>
      <c r="R2" s="113" t="str">
        <f>IF(OR(E5="Yes",E4="Yes")," ","Qn")</f>
        <v>Qn</v>
      </c>
      <c r="S2" s="113" t="str">
        <f>IF(OR(E5="Yes",E4="Yes")," ","CO")</f>
        <v>CO</v>
      </c>
      <c r="T2" s="60" t="str">
        <f>IF(OR(E5="Yes",E4="Yes")," ","Max. Marks")</f>
        <v>Max. Marks</v>
      </c>
    </row>
    <row r="3" spans="1:24">
      <c r="A3" s="67" t="s">
        <v>56</v>
      </c>
      <c r="B3" s="129"/>
      <c r="C3" s="129"/>
      <c r="D3" s="129"/>
      <c r="E3" s="129"/>
      <c r="F3" s="65"/>
      <c r="G3" s="58"/>
      <c r="H3" s="58"/>
      <c r="I3" s="58"/>
      <c r="J3" s="58"/>
      <c r="K3" s="65"/>
      <c r="L3" s="58"/>
      <c r="M3" s="58"/>
      <c r="N3" s="58"/>
      <c r="O3" s="58"/>
      <c r="Q3" s="58"/>
      <c r="R3" s="58"/>
      <c r="S3" s="58"/>
      <c r="T3" s="58"/>
    </row>
    <row r="4" spans="1:24">
      <c r="A4" s="67" t="s">
        <v>60</v>
      </c>
      <c r="B4" s="127"/>
      <c r="C4" s="132"/>
      <c r="D4" s="70" t="s">
        <v>146</v>
      </c>
      <c r="E4" s="71" t="s">
        <v>144</v>
      </c>
      <c r="F4" s="65"/>
      <c r="G4" s="58"/>
      <c r="H4" s="58"/>
      <c r="I4" s="58"/>
      <c r="J4" s="58"/>
      <c r="K4" s="65"/>
      <c r="L4" s="58"/>
      <c r="M4" s="58"/>
      <c r="N4" s="58"/>
      <c r="O4" s="58"/>
      <c r="Q4" s="58"/>
      <c r="R4" s="58"/>
      <c r="S4" s="58"/>
      <c r="T4" s="58"/>
    </row>
    <row r="5" spans="1:24">
      <c r="A5" s="67" t="s">
        <v>70</v>
      </c>
      <c r="B5" s="127"/>
      <c r="C5" s="132"/>
      <c r="D5" s="70" t="s">
        <v>145</v>
      </c>
      <c r="E5" s="71" t="s">
        <v>144</v>
      </c>
      <c r="F5" s="65"/>
      <c r="G5" s="58"/>
      <c r="H5" s="58"/>
      <c r="I5" s="58"/>
      <c r="J5" s="58"/>
      <c r="K5" s="65"/>
      <c r="L5" s="58"/>
      <c r="M5" s="58"/>
      <c r="N5" s="58"/>
      <c r="O5" s="58"/>
      <c r="Q5" s="58"/>
      <c r="R5" s="58"/>
      <c r="S5" s="58"/>
      <c r="T5" s="58"/>
    </row>
    <row r="6" spans="1:24">
      <c r="A6" s="67" t="s">
        <v>69</v>
      </c>
      <c r="B6" s="127"/>
      <c r="C6" s="128"/>
      <c r="D6" s="128"/>
      <c r="E6" s="128"/>
      <c r="F6" s="65"/>
      <c r="G6" s="58"/>
      <c r="H6" s="58"/>
      <c r="I6" s="58"/>
      <c r="J6" s="58"/>
      <c r="K6" s="65"/>
      <c r="L6" s="58"/>
      <c r="M6" s="58"/>
      <c r="N6" s="58"/>
      <c r="O6" s="58"/>
      <c r="Q6" s="58"/>
      <c r="R6" s="58"/>
      <c r="S6" s="58"/>
      <c r="T6" s="58"/>
    </row>
    <row r="7" spans="1:24">
      <c r="A7" s="67" t="s">
        <v>61</v>
      </c>
      <c r="B7" s="129"/>
      <c r="C7" s="129"/>
      <c r="D7" s="129"/>
      <c r="E7" s="129"/>
      <c r="F7" s="65"/>
      <c r="G7" s="58"/>
      <c r="H7" s="58"/>
      <c r="I7" s="58"/>
      <c r="J7" s="58"/>
      <c r="K7" s="65"/>
      <c r="L7" s="58"/>
      <c r="M7" s="58"/>
      <c r="N7" s="58"/>
      <c r="O7" s="58"/>
      <c r="Q7" s="58"/>
      <c r="R7" s="58"/>
      <c r="S7" s="58"/>
      <c r="T7" s="58"/>
    </row>
    <row r="8" spans="1:24">
      <c r="A8" s="67" t="s">
        <v>109</v>
      </c>
      <c r="B8" s="116">
        <v>0</v>
      </c>
      <c r="C8" s="117"/>
      <c r="D8" s="70" t="s">
        <v>147</v>
      </c>
      <c r="E8" s="71" t="s">
        <v>143</v>
      </c>
      <c r="F8" s="65"/>
      <c r="G8" s="58"/>
      <c r="H8" s="58"/>
      <c r="I8" s="58"/>
      <c r="J8" s="58"/>
      <c r="K8" s="65"/>
      <c r="L8" s="58"/>
      <c r="M8" s="58"/>
      <c r="N8" s="58"/>
      <c r="O8" s="58"/>
      <c r="Q8" s="58"/>
      <c r="R8" s="58"/>
      <c r="S8" s="58"/>
      <c r="T8" s="58"/>
    </row>
    <row r="9" spans="1:24">
      <c r="D9" s="121"/>
      <c r="E9" s="121"/>
      <c r="F9" s="65"/>
      <c r="G9" s="58"/>
      <c r="H9" s="58"/>
      <c r="I9" s="58"/>
      <c r="J9" s="58"/>
      <c r="K9" s="65"/>
      <c r="L9" s="58"/>
      <c r="M9" s="58"/>
      <c r="N9" s="58"/>
      <c r="O9" s="58"/>
      <c r="Q9" s="58"/>
      <c r="R9" s="58"/>
      <c r="S9" s="58"/>
      <c r="T9" s="58"/>
    </row>
    <row r="10" spans="1:24">
      <c r="A10" s="122" t="s">
        <v>54</v>
      </c>
      <c r="B10" s="122"/>
      <c r="C10" s="122"/>
      <c r="D10" s="122"/>
      <c r="E10" s="122"/>
      <c r="F10" s="65"/>
      <c r="G10" s="58"/>
      <c r="H10" s="58"/>
      <c r="I10" s="58"/>
      <c r="J10" s="58"/>
      <c r="K10" s="65"/>
      <c r="L10" s="58"/>
      <c r="M10" s="58"/>
      <c r="N10" s="58"/>
      <c r="O10" s="58"/>
      <c r="Q10" s="58"/>
      <c r="R10" s="58"/>
      <c r="S10" s="58"/>
      <c r="T10" s="58"/>
    </row>
    <row r="11" spans="1:24">
      <c r="A11" s="72" t="s">
        <v>17</v>
      </c>
      <c r="B11" s="115" t="s">
        <v>111</v>
      </c>
      <c r="C11" s="115"/>
      <c r="D11" s="115"/>
      <c r="E11" s="72" t="s">
        <v>35</v>
      </c>
      <c r="F11" s="65"/>
      <c r="G11" s="58"/>
      <c r="H11" s="58"/>
      <c r="I11" s="58"/>
      <c r="J11" s="58"/>
      <c r="K11" s="65"/>
      <c r="L11" s="58"/>
      <c r="M11" s="58"/>
      <c r="N11" s="58"/>
      <c r="O11" s="58"/>
      <c r="Q11" s="58"/>
      <c r="R11" s="58"/>
      <c r="S11" s="58"/>
      <c r="T11" s="58"/>
    </row>
    <row r="12" spans="1:24" ht="28.2" customHeight="1">
      <c r="A12" s="73" t="s">
        <v>4</v>
      </c>
      <c r="B12" s="124"/>
      <c r="C12" s="125"/>
      <c r="D12" s="126"/>
      <c r="E12" s="73">
        <v>50</v>
      </c>
      <c r="F12" s="65" t="s">
        <v>154</v>
      </c>
      <c r="G12" s="58"/>
      <c r="H12" s="58"/>
      <c r="I12" s="58"/>
      <c r="J12" s="58"/>
      <c r="K12" s="65"/>
      <c r="L12" s="58"/>
      <c r="M12" s="58"/>
      <c r="N12" s="58"/>
      <c r="O12" s="58"/>
      <c r="Q12" s="58"/>
      <c r="R12" s="58"/>
      <c r="S12" s="58"/>
      <c r="T12" s="58"/>
    </row>
    <row r="13" spans="1:24" ht="30" customHeight="1">
      <c r="A13" s="110" t="s">
        <v>5</v>
      </c>
      <c r="B13" s="118"/>
      <c r="C13" s="118"/>
      <c r="D13" s="118"/>
      <c r="E13" s="108">
        <v>50</v>
      </c>
      <c r="F13" s="65"/>
      <c r="G13" s="58"/>
      <c r="H13" s="58"/>
      <c r="I13" s="58"/>
      <c r="J13" s="58"/>
      <c r="K13" s="65"/>
      <c r="L13" s="58"/>
      <c r="M13" s="58"/>
      <c r="N13" s="58"/>
      <c r="O13" s="58"/>
      <c r="Q13" s="58"/>
      <c r="R13" s="58"/>
      <c r="S13" s="58"/>
      <c r="T13" s="58"/>
    </row>
    <row r="14" spans="1:24" ht="30" customHeight="1">
      <c r="A14" s="110" t="s">
        <v>6</v>
      </c>
      <c r="B14" s="118"/>
      <c r="C14" s="118"/>
      <c r="D14" s="118"/>
      <c r="E14" s="108">
        <v>50</v>
      </c>
      <c r="F14" s="65"/>
      <c r="G14" s="58"/>
      <c r="H14" s="58"/>
      <c r="I14" s="58"/>
      <c r="J14" s="58"/>
      <c r="K14" s="65"/>
      <c r="L14" s="58"/>
      <c r="M14" s="58"/>
      <c r="N14" s="58"/>
      <c r="O14" s="58"/>
      <c r="Q14" s="58"/>
      <c r="R14" s="58"/>
      <c r="S14" s="58"/>
      <c r="T14" s="58"/>
    </row>
    <row r="15" spans="1:24" ht="47.4" customHeight="1">
      <c r="A15" s="110" t="s">
        <v>7</v>
      </c>
      <c r="B15" s="118"/>
      <c r="C15" s="118"/>
      <c r="D15" s="118"/>
      <c r="E15" s="108">
        <v>50</v>
      </c>
      <c r="F15" s="65"/>
      <c r="G15" s="58"/>
      <c r="H15" s="58"/>
      <c r="I15" s="58"/>
      <c r="J15" s="58"/>
      <c r="K15" s="65"/>
      <c r="L15" s="58"/>
      <c r="M15" s="58"/>
      <c r="N15" s="58"/>
      <c r="O15" s="58"/>
      <c r="Q15" s="58"/>
      <c r="R15" s="58"/>
      <c r="S15" s="58"/>
      <c r="T15" s="58"/>
    </row>
    <row r="16" spans="1:24" ht="30" customHeight="1">
      <c r="A16" s="110" t="s">
        <v>8</v>
      </c>
      <c r="B16" s="118"/>
      <c r="C16" s="118"/>
      <c r="D16" s="118"/>
      <c r="E16" s="108">
        <v>50</v>
      </c>
      <c r="F16" s="65"/>
      <c r="G16" s="58"/>
      <c r="H16" s="58"/>
      <c r="I16" s="58"/>
      <c r="J16" s="58"/>
      <c r="K16" s="65"/>
      <c r="L16" s="58"/>
      <c r="M16" s="58"/>
      <c r="N16" s="58"/>
      <c r="O16" s="58"/>
      <c r="Q16" s="58"/>
      <c r="R16" s="58"/>
      <c r="S16" s="58"/>
      <c r="T16" s="58"/>
    </row>
    <row r="17" spans="1:22" ht="30" customHeight="1">
      <c r="A17" s="110" t="s">
        <v>9</v>
      </c>
      <c r="B17" s="118"/>
      <c r="C17" s="118"/>
      <c r="D17" s="118"/>
      <c r="E17" s="108">
        <v>50</v>
      </c>
      <c r="F17" s="65"/>
      <c r="G17" s="58"/>
      <c r="H17" s="58"/>
      <c r="I17" s="58"/>
      <c r="J17" s="58"/>
      <c r="K17" s="65"/>
      <c r="L17" s="58"/>
      <c r="M17" s="58"/>
      <c r="N17" s="58"/>
      <c r="O17" s="58"/>
      <c r="Q17" s="58"/>
      <c r="R17" s="58"/>
      <c r="S17" s="58"/>
      <c r="T17" s="58"/>
    </row>
    <row r="18" spans="1:22" ht="30" customHeight="1">
      <c r="A18" s="110" t="s">
        <v>10</v>
      </c>
      <c r="B18" s="118"/>
      <c r="C18" s="118"/>
      <c r="D18" s="118"/>
      <c r="E18" s="110" t="s">
        <v>153</v>
      </c>
      <c r="F18" s="65"/>
      <c r="G18" s="58"/>
      <c r="H18" s="58"/>
      <c r="I18" s="58"/>
      <c r="J18" s="58"/>
      <c r="K18" s="65"/>
      <c r="L18" s="58"/>
      <c r="M18" s="58"/>
      <c r="N18" s="58"/>
      <c r="O18" s="58"/>
      <c r="Q18" s="58"/>
      <c r="R18" s="58"/>
      <c r="S18" s="58"/>
      <c r="T18" s="58"/>
    </row>
    <row r="19" spans="1:22">
      <c r="A19" s="111"/>
      <c r="B19" s="112"/>
      <c r="C19" s="112"/>
      <c r="D19" s="112"/>
      <c r="E19" s="111"/>
      <c r="F19" s="65"/>
      <c r="G19" s="58"/>
      <c r="H19" s="58"/>
      <c r="I19" s="58"/>
      <c r="J19" s="58"/>
      <c r="K19" s="65"/>
      <c r="L19" s="58"/>
      <c r="M19" s="58"/>
      <c r="N19" s="58"/>
      <c r="O19" s="58"/>
      <c r="Q19" s="58"/>
      <c r="R19" s="58"/>
      <c r="S19" s="58"/>
      <c r="T19" s="58"/>
    </row>
    <row r="20" spans="1:22">
      <c r="A20" s="121"/>
      <c r="B20" s="121"/>
      <c r="F20" s="65"/>
      <c r="G20" s="74"/>
      <c r="H20" s="74"/>
      <c r="I20" s="74"/>
      <c r="J20" s="74"/>
      <c r="K20" s="65"/>
      <c r="L20" s="65"/>
      <c r="M20" s="65"/>
      <c r="N20" s="65"/>
    </row>
    <row r="21" spans="1:22">
      <c r="A21" s="75"/>
      <c r="B21" s="75"/>
      <c r="F21" s="65"/>
      <c r="G21" s="135" t="s">
        <v>17</v>
      </c>
      <c r="H21" s="135" t="s">
        <v>79</v>
      </c>
      <c r="I21" s="135" t="s">
        <v>80</v>
      </c>
      <c r="J21" s="135" t="s">
        <v>81</v>
      </c>
      <c r="K21" s="135" t="s">
        <v>82</v>
      </c>
      <c r="L21" s="135" t="s">
        <v>83</v>
      </c>
      <c r="M21" s="135" t="s">
        <v>84</v>
      </c>
      <c r="N21" s="135" t="s">
        <v>85</v>
      </c>
      <c r="O21" s="135" t="s">
        <v>86</v>
      </c>
      <c r="P21" s="135" t="s">
        <v>87</v>
      </c>
      <c r="Q21" s="135" t="s">
        <v>88</v>
      </c>
      <c r="R21" s="135" t="s">
        <v>89</v>
      </c>
      <c r="S21" s="135" t="s">
        <v>90</v>
      </c>
      <c r="T21" s="135" t="s">
        <v>91</v>
      </c>
      <c r="U21" s="135" t="s">
        <v>92</v>
      </c>
      <c r="V21" s="135" t="s">
        <v>93</v>
      </c>
    </row>
    <row r="22" spans="1:22">
      <c r="A22" s="123" t="s">
        <v>112</v>
      </c>
      <c r="B22" s="123"/>
      <c r="C22" s="123"/>
      <c r="D22" s="123"/>
      <c r="E22" s="123"/>
      <c r="F22" s="65"/>
      <c r="G22" s="136"/>
      <c r="H22" s="136"/>
      <c r="I22" s="136"/>
      <c r="J22" s="136"/>
      <c r="K22" s="136"/>
      <c r="L22" s="136"/>
      <c r="M22" s="136"/>
      <c r="N22" s="136"/>
      <c r="O22" s="136"/>
      <c r="P22" s="136"/>
      <c r="Q22" s="136"/>
      <c r="R22" s="136"/>
      <c r="S22" s="136"/>
      <c r="T22" s="136"/>
      <c r="U22" s="136"/>
      <c r="V22" s="136"/>
    </row>
    <row r="23" spans="1:22">
      <c r="A23" s="76">
        <v>70</v>
      </c>
      <c r="B23" s="119" t="s">
        <v>76</v>
      </c>
      <c r="C23" s="119"/>
      <c r="D23" s="119"/>
      <c r="E23" s="77">
        <v>3</v>
      </c>
      <c r="F23" s="65"/>
      <c r="G23" s="61" t="str">
        <f>IF(A12=0,"-",A12)</f>
        <v>CO1</v>
      </c>
      <c r="H23" s="78" t="s">
        <v>113</v>
      </c>
      <c r="I23" s="78" t="s">
        <v>113</v>
      </c>
      <c r="J23" s="78" t="s">
        <v>113</v>
      </c>
      <c r="K23" s="78" t="s">
        <v>113</v>
      </c>
      <c r="L23" s="78" t="s">
        <v>113</v>
      </c>
      <c r="M23" s="78" t="s">
        <v>113</v>
      </c>
      <c r="N23" s="78" t="s">
        <v>113</v>
      </c>
      <c r="O23" s="78" t="s">
        <v>113</v>
      </c>
      <c r="P23" s="78" t="s">
        <v>113</v>
      </c>
      <c r="Q23" s="78" t="s">
        <v>113</v>
      </c>
      <c r="R23" s="78" t="s">
        <v>113</v>
      </c>
      <c r="S23" s="78" t="s">
        <v>113</v>
      </c>
      <c r="T23" s="78" t="s">
        <v>113</v>
      </c>
      <c r="U23" s="78" t="s">
        <v>113</v>
      </c>
      <c r="V23" s="78" t="s">
        <v>113</v>
      </c>
    </row>
    <row r="24" spans="1:22">
      <c r="A24" s="76">
        <v>60</v>
      </c>
      <c r="B24" s="119" t="s">
        <v>76</v>
      </c>
      <c r="C24" s="119"/>
      <c r="D24" s="119"/>
      <c r="E24" s="77">
        <v>2</v>
      </c>
      <c r="F24" s="65"/>
      <c r="G24" s="61" t="str">
        <f t="shared" ref="G24:G29" si="0">IF(A13=0,"-",A13)</f>
        <v>CO2</v>
      </c>
      <c r="H24" s="78" t="s">
        <v>113</v>
      </c>
      <c r="I24" s="78" t="s">
        <v>113</v>
      </c>
      <c r="J24" s="78" t="s">
        <v>113</v>
      </c>
      <c r="K24" s="78" t="s">
        <v>113</v>
      </c>
      <c r="L24" s="78" t="s">
        <v>113</v>
      </c>
      <c r="M24" s="78" t="s">
        <v>113</v>
      </c>
      <c r="N24" s="78" t="s">
        <v>113</v>
      </c>
      <c r="O24" s="78" t="s">
        <v>113</v>
      </c>
      <c r="P24" s="78" t="s">
        <v>113</v>
      </c>
      <c r="Q24" s="78" t="s">
        <v>113</v>
      </c>
      <c r="R24" s="78" t="s">
        <v>113</v>
      </c>
      <c r="S24" s="78" t="s">
        <v>113</v>
      </c>
      <c r="T24" s="78" t="s">
        <v>113</v>
      </c>
      <c r="U24" s="78" t="s">
        <v>113</v>
      </c>
      <c r="V24" s="78" t="s">
        <v>113</v>
      </c>
    </row>
    <row r="25" spans="1:22">
      <c r="A25" s="76">
        <v>50</v>
      </c>
      <c r="B25" s="119" t="s">
        <v>76</v>
      </c>
      <c r="C25" s="119"/>
      <c r="D25" s="119"/>
      <c r="E25" s="77">
        <v>1</v>
      </c>
      <c r="F25" s="65"/>
      <c r="G25" s="61" t="str">
        <f t="shared" si="0"/>
        <v>CO3</v>
      </c>
      <c r="H25" s="78" t="s">
        <v>113</v>
      </c>
      <c r="I25" s="78" t="s">
        <v>113</v>
      </c>
      <c r="J25" s="78" t="s">
        <v>113</v>
      </c>
      <c r="K25" s="78" t="s">
        <v>113</v>
      </c>
      <c r="L25" s="78" t="s">
        <v>113</v>
      </c>
      <c r="M25" s="78" t="s">
        <v>113</v>
      </c>
      <c r="N25" s="78" t="s">
        <v>113</v>
      </c>
      <c r="O25" s="78" t="s">
        <v>113</v>
      </c>
      <c r="P25" s="78" t="s">
        <v>113</v>
      </c>
      <c r="Q25" s="78" t="s">
        <v>113</v>
      </c>
      <c r="R25" s="78" t="s">
        <v>113</v>
      </c>
      <c r="S25" s="78" t="s">
        <v>113</v>
      </c>
      <c r="T25" s="78" t="s">
        <v>113</v>
      </c>
      <c r="U25" s="78" t="s">
        <v>113</v>
      </c>
      <c r="V25" s="78" t="s">
        <v>113</v>
      </c>
    </row>
    <row r="26" spans="1:22">
      <c r="A26" s="120" t="str">
        <f>CONCATENATE("Less than ",A25,"% students Score More than Set Target:")</f>
        <v>Less than 50% students Score More than Set Target:</v>
      </c>
      <c r="B26" s="120"/>
      <c r="C26" s="120"/>
      <c r="D26" s="120"/>
      <c r="E26" s="77">
        <v>0</v>
      </c>
      <c r="F26" s="65"/>
      <c r="G26" s="61" t="str">
        <f t="shared" si="0"/>
        <v>CO4</v>
      </c>
      <c r="H26" s="78" t="s">
        <v>113</v>
      </c>
      <c r="I26" s="78" t="s">
        <v>113</v>
      </c>
      <c r="J26" s="78" t="s">
        <v>113</v>
      </c>
      <c r="K26" s="78" t="s">
        <v>113</v>
      </c>
      <c r="L26" s="78" t="s">
        <v>113</v>
      </c>
      <c r="M26" s="78" t="s">
        <v>113</v>
      </c>
      <c r="N26" s="78" t="s">
        <v>113</v>
      </c>
      <c r="O26" s="78" t="s">
        <v>113</v>
      </c>
      <c r="P26" s="78" t="s">
        <v>113</v>
      </c>
      <c r="Q26" s="78" t="s">
        <v>113</v>
      </c>
      <c r="R26" s="78" t="s">
        <v>113</v>
      </c>
      <c r="S26" s="78" t="s">
        <v>113</v>
      </c>
      <c r="T26" s="78" t="s">
        <v>113</v>
      </c>
      <c r="U26" s="78" t="s">
        <v>113</v>
      </c>
      <c r="V26" s="78" t="s">
        <v>113</v>
      </c>
    </row>
    <row r="27" spans="1:22">
      <c r="A27" s="75"/>
      <c r="B27" s="74"/>
      <c r="F27" s="65"/>
      <c r="G27" s="61" t="str">
        <f t="shared" si="0"/>
        <v>CO5</v>
      </c>
      <c r="H27" s="78" t="s">
        <v>113</v>
      </c>
      <c r="I27" s="78" t="s">
        <v>113</v>
      </c>
      <c r="J27" s="78" t="s">
        <v>113</v>
      </c>
      <c r="K27" s="78" t="s">
        <v>113</v>
      </c>
      <c r="L27" s="78" t="s">
        <v>113</v>
      </c>
      <c r="M27" s="78" t="s">
        <v>113</v>
      </c>
      <c r="N27" s="78" t="s">
        <v>113</v>
      </c>
      <c r="O27" s="78" t="s">
        <v>113</v>
      </c>
      <c r="P27" s="78" t="s">
        <v>113</v>
      </c>
      <c r="Q27" s="78" t="s">
        <v>113</v>
      </c>
      <c r="R27" s="78" t="s">
        <v>113</v>
      </c>
      <c r="S27" s="78" t="s">
        <v>113</v>
      </c>
      <c r="T27" s="78" t="s">
        <v>113</v>
      </c>
      <c r="U27" s="78" t="s">
        <v>113</v>
      </c>
      <c r="V27" s="78" t="s">
        <v>113</v>
      </c>
    </row>
    <row r="28" spans="1:22">
      <c r="A28" s="75"/>
      <c r="B28" s="74"/>
      <c r="G28" s="61" t="str">
        <f t="shared" si="0"/>
        <v>CO6</v>
      </c>
      <c r="H28" s="78" t="s">
        <v>113</v>
      </c>
      <c r="I28" s="78" t="s">
        <v>113</v>
      </c>
      <c r="J28" s="78" t="s">
        <v>113</v>
      </c>
      <c r="K28" s="78" t="s">
        <v>113</v>
      </c>
      <c r="L28" s="78" t="s">
        <v>113</v>
      </c>
      <c r="M28" s="78" t="s">
        <v>113</v>
      </c>
      <c r="N28" s="78" t="s">
        <v>113</v>
      </c>
      <c r="O28" s="78" t="s">
        <v>113</v>
      </c>
      <c r="P28" s="78" t="s">
        <v>113</v>
      </c>
      <c r="Q28" s="78" t="s">
        <v>113</v>
      </c>
      <c r="R28" s="78" t="s">
        <v>113</v>
      </c>
      <c r="S28" s="78" t="s">
        <v>113</v>
      </c>
      <c r="T28" s="78" t="s">
        <v>113</v>
      </c>
      <c r="U28" s="78" t="s">
        <v>113</v>
      </c>
      <c r="V28" s="78" t="s">
        <v>113</v>
      </c>
    </row>
    <row r="29" spans="1:22">
      <c r="A29" s="141" t="s">
        <v>148</v>
      </c>
      <c r="B29" s="141"/>
      <c r="C29" s="141"/>
      <c r="D29" s="79" t="s">
        <v>52</v>
      </c>
      <c r="E29" s="80">
        <v>70</v>
      </c>
      <c r="G29" s="61" t="str">
        <f t="shared" si="0"/>
        <v>CO7</v>
      </c>
      <c r="H29" s="78" t="s">
        <v>113</v>
      </c>
      <c r="I29" s="78" t="s">
        <v>113</v>
      </c>
      <c r="J29" s="78" t="s">
        <v>113</v>
      </c>
      <c r="K29" s="78" t="s">
        <v>113</v>
      </c>
      <c r="L29" s="78" t="s">
        <v>113</v>
      </c>
      <c r="M29" s="78" t="s">
        <v>113</v>
      </c>
      <c r="N29" s="78" t="s">
        <v>113</v>
      </c>
      <c r="O29" s="78" t="s">
        <v>113</v>
      </c>
      <c r="P29" s="78" t="s">
        <v>113</v>
      </c>
      <c r="Q29" s="78" t="s">
        <v>113</v>
      </c>
      <c r="R29" s="78" t="s">
        <v>113</v>
      </c>
      <c r="S29" s="78" t="s">
        <v>113</v>
      </c>
      <c r="T29" s="78" t="s">
        <v>113</v>
      </c>
      <c r="U29" s="78" t="s">
        <v>113</v>
      </c>
      <c r="V29" s="78" t="s">
        <v>113</v>
      </c>
    </row>
    <row r="30" spans="1:22">
      <c r="A30" s="141"/>
      <c r="B30" s="141"/>
      <c r="C30" s="141"/>
      <c r="D30" s="79" t="s">
        <v>41</v>
      </c>
      <c r="E30" s="80">
        <v>30</v>
      </c>
      <c r="G30" s="81" t="s">
        <v>115</v>
      </c>
      <c r="H30" s="62" t="str">
        <f>IFERROR(ROUND(AVERAGE(H23:H29),0),"-")</f>
        <v>-</v>
      </c>
      <c r="I30" s="62" t="str">
        <f t="shared" ref="I30:V30" si="1">IFERROR(ROUND(AVERAGE(I23:I29),0),"-")</f>
        <v>-</v>
      </c>
      <c r="J30" s="62" t="str">
        <f t="shared" si="1"/>
        <v>-</v>
      </c>
      <c r="K30" s="62" t="str">
        <f t="shared" si="1"/>
        <v>-</v>
      </c>
      <c r="L30" s="62" t="str">
        <f t="shared" si="1"/>
        <v>-</v>
      </c>
      <c r="M30" s="62" t="str">
        <f t="shared" si="1"/>
        <v>-</v>
      </c>
      <c r="N30" s="62" t="str">
        <f t="shared" si="1"/>
        <v>-</v>
      </c>
      <c r="O30" s="62" t="str">
        <f t="shared" si="1"/>
        <v>-</v>
      </c>
      <c r="P30" s="62" t="str">
        <f t="shared" si="1"/>
        <v>-</v>
      </c>
      <c r="Q30" s="62" t="str">
        <f t="shared" si="1"/>
        <v>-</v>
      </c>
      <c r="R30" s="62" t="str">
        <f t="shared" si="1"/>
        <v>-</v>
      </c>
      <c r="S30" s="62" t="str">
        <f t="shared" si="1"/>
        <v>-</v>
      </c>
      <c r="T30" s="62" t="str">
        <f t="shared" si="1"/>
        <v>-</v>
      </c>
      <c r="U30" s="62" t="str">
        <f t="shared" si="1"/>
        <v>-</v>
      </c>
      <c r="V30" s="62" t="str">
        <f t="shared" si="1"/>
        <v>-</v>
      </c>
    </row>
    <row r="31" spans="1:22">
      <c r="A31" s="141" t="s">
        <v>151</v>
      </c>
      <c r="B31" s="141"/>
      <c r="C31" s="141"/>
      <c r="D31" s="79" t="s">
        <v>149</v>
      </c>
      <c r="E31" s="80">
        <v>80</v>
      </c>
      <c r="G31" s="142" t="s">
        <v>125</v>
      </c>
      <c r="H31" s="142"/>
      <c r="I31" s="142"/>
      <c r="J31" s="142"/>
      <c r="K31" s="83" t="s">
        <v>120</v>
      </c>
    </row>
    <row r="32" spans="1:22">
      <c r="A32" s="141"/>
      <c r="B32" s="141"/>
      <c r="C32" s="141"/>
      <c r="D32" s="79" t="s">
        <v>150</v>
      </c>
      <c r="E32" s="80">
        <v>20</v>
      </c>
      <c r="G32" s="143" t="s">
        <v>121</v>
      </c>
      <c r="H32" s="143"/>
      <c r="I32" s="143"/>
      <c r="J32" s="143"/>
      <c r="K32" s="84">
        <v>1</v>
      </c>
    </row>
    <row r="33" spans="7:22">
      <c r="G33" s="143" t="s">
        <v>122</v>
      </c>
      <c r="H33" s="143"/>
      <c r="I33" s="143"/>
      <c r="J33" s="143"/>
      <c r="K33" s="84">
        <v>2</v>
      </c>
    </row>
    <row r="34" spans="7:22">
      <c r="G34" s="143" t="s">
        <v>123</v>
      </c>
      <c r="H34" s="143"/>
      <c r="I34" s="143"/>
      <c r="J34" s="143"/>
      <c r="K34" s="84">
        <v>3</v>
      </c>
    </row>
    <row r="35" spans="7:22">
      <c r="G35" s="143" t="s">
        <v>124</v>
      </c>
      <c r="H35" s="143"/>
      <c r="I35" s="143"/>
      <c r="J35" s="143"/>
      <c r="K35" s="85" t="s">
        <v>113</v>
      </c>
    </row>
    <row r="37" spans="7:22" ht="30" customHeight="1">
      <c r="G37" s="82" t="s">
        <v>79</v>
      </c>
      <c r="H37" s="139" t="s">
        <v>127</v>
      </c>
      <c r="I37" s="140"/>
      <c r="J37" s="140"/>
      <c r="K37" s="140"/>
      <c r="L37" s="140"/>
      <c r="M37" s="140"/>
      <c r="N37" s="140"/>
      <c r="O37" s="140"/>
      <c r="P37" s="140"/>
      <c r="Q37" s="140"/>
      <c r="R37" s="140"/>
      <c r="S37" s="140"/>
      <c r="T37" s="140"/>
      <c r="U37" s="140"/>
      <c r="V37" s="140"/>
    </row>
    <row r="38" spans="7:22" ht="32.4" customHeight="1">
      <c r="G38" s="82" t="s">
        <v>80</v>
      </c>
      <c r="H38" s="139" t="s">
        <v>128</v>
      </c>
      <c r="I38" s="140"/>
      <c r="J38" s="140"/>
      <c r="K38" s="140"/>
      <c r="L38" s="140"/>
      <c r="M38" s="140"/>
      <c r="N38" s="140"/>
      <c r="O38" s="140"/>
      <c r="P38" s="140"/>
      <c r="Q38" s="140"/>
      <c r="R38" s="140"/>
      <c r="S38" s="140"/>
      <c r="T38" s="140"/>
      <c r="U38" s="140"/>
      <c r="V38" s="140"/>
    </row>
    <row r="39" spans="7:22" ht="31.8" customHeight="1">
      <c r="G39" s="82" t="s">
        <v>81</v>
      </c>
      <c r="H39" s="139" t="s">
        <v>129</v>
      </c>
      <c r="I39" s="140"/>
      <c r="J39" s="140"/>
      <c r="K39" s="140"/>
      <c r="L39" s="140"/>
      <c r="M39" s="140"/>
      <c r="N39" s="140"/>
      <c r="O39" s="140"/>
      <c r="P39" s="140"/>
      <c r="Q39" s="140"/>
      <c r="R39" s="140"/>
      <c r="S39" s="140"/>
      <c r="T39" s="140"/>
      <c r="U39" s="140"/>
      <c r="V39" s="140"/>
    </row>
    <row r="40" spans="7:22" ht="28.2" customHeight="1">
      <c r="G40" s="82" t="s">
        <v>82</v>
      </c>
      <c r="H40" s="139" t="s">
        <v>130</v>
      </c>
      <c r="I40" s="140"/>
      <c r="J40" s="140"/>
      <c r="K40" s="140"/>
      <c r="L40" s="140"/>
      <c r="M40" s="140"/>
      <c r="N40" s="140"/>
      <c r="O40" s="140"/>
      <c r="P40" s="140"/>
      <c r="Q40" s="140"/>
      <c r="R40" s="140"/>
      <c r="S40" s="140"/>
      <c r="T40" s="140"/>
      <c r="U40" s="140"/>
      <c r="V40" s="140"/>
    </row>
    <row r="41" spans="7:22" ht="27.6" customHeight="1">
      <c r="G41" s="82" t="s">
        <v>83</v>
      </c>
      <c r="H41" s="139" t="s">
        <v>131</v>
      </c>
      <c r="I41" s="140"/>
      <c r="J41" s="140"/>
      <c r="K41" s="140"/>
      <c r="L41" s="140"/>
      <c r="M41" s="140"/>
      <c r="N41" s="140"/>
      <c r="O41" s="140"/>
      <c r="P41" s="140"/>
      <c r="Q41" s="140"/>
      <c r="R41" s="140"/>
      <c r="S41" s="140"/>
      <c r="T41" s="140"/>
      <c r="U41" s="140"/>
      <c r="V41" s="140"/>
    </row>
    <row r="42" spans="7:22" ht="30.6" customHeight="1">
      <c r="G42" s="82" t="s">
        <v>84</v>
      </c>
      <c r="H42" s="139" t="s">
        <v>132</v>
      </c>
      <c r="I42" s="140"/>
      <c r="J42" s="140"/>
      <c r="K42" s="140"/>
      <c r="L42" s="140"/>
      <c r="M42" s="140"/>
      <c r="N42" s="140"/>
      <c r="O42" s="140"/>
      <c r="P42" s="140"/>
      <c r="Q42" s="140"/>
      <c r="R42" s="140"/>
      <c r="S42" s="140"/>
      <c r="T42" s="140"/>
      <c r="U42" s="140"/>
      <c r="V42" s="140"/>
    </row>
    <row r="43" spans="7:22" ht="31.8" customHeight="1">
      <c r="G43" s="82" t="s">
        <v>85</v>
      </c>
      <c r="H43" s="139" t="s">
        <v>133</v>
      </c>
      <c r="I43" s="140"/>
      <c r="J43" s="140"/>
      <c r="K43" s="140"/>
      <c r="L43" s="140"/>
      <c r="M43" s="140"/>
      <c r="N43" s="140"/>
      <c r="O43" s="140"/>
      <c r="P43" s="140"/>
      <c r="Q43" s="140"/>
      <c r="R43" s="140"/>
      <c r="S43" s="140"/>
      <c r="T43" s="140"/>
      <c r="U43" s="140"/>
      <c r="V43" s="140"/>
    </row>
    <row r="44" spans="7:22">
      <c r="G44" s="82" t="s">
        <v>86</v>
      </c>
      <c r="H44" s="139" t="s">
        <v>134</v>
      </c>
      <c r="I44" s="140"/>
      <c r="J44" s="140"/>
      <c r="K44" s="140"/>
      <c r="L44" s="140"/>
      <c r="M44" s="140"/>
      <c r="N44" s="140"/>
      <c r="O44" s="140"/>
      <c r="P44" s="140"/>
      <c r="Q44" s="140"/>
      <c r="R44" s="140"/>
      <c r="S44" s="140"/>
      <c r="T44" s="140"/>
      <c r="U44" s="140"/>
      <c r="V44" s="140"/>
    </row>
    <row r="45" spans="7:22">
      <c r="G45" s="82" t="s">
        <v>87</v>
      </c>
      <c r="H45" s="139" t="s">
        <v>141</v>
      </c>
      <c r="I45" s="140"/>
      <c r="J45" s="140"/>
      <c r="K45" s="140"/>
      <c r="L45" s="140"/>
      <c r="M45" s="140"/>
      <c r="N45" s="140"/>
      <c r="O45" s="140"/>
      <c r="P45" s="140"/>
      <c r="Q45" s="140"/>
      <c r="R45" s="140"/>
      <c r="S45" s="140"/>
      <c r="T45" s="140"/>
      <c r="U45" s="140"/>
      <c r="V45" s="140"/>
    </row>
    <row r="46" spans="7:22" ht="32.4" customHeight="1">
      <c r="G46" s="82" t="s">
        <v>88</v>
      </c>
      <c r="H46" s="139" t="s">
        <v>135</v>
      </c>
      <c r="I46" s="140"/>
      <c r="J46" s="140"/>
      <c r="K46" s="140"/>
      <c r="L46" s="140"/>
      <c r="M46" s="140"/>
      <c r="N46" s="140"/>
      <c r="O46" s="140"/>
      <c r="P46" s="140"/>
      <c r="Q46" s="140"/>
      <c r="R46" s="140"/>
      <c r="S46" s="140"/>
      <c r="T46" s="140"/>
      <c r="U46" s="140"/>
      <c r="V46" s="140"/>
    </row>
    <row r="47" spans="7:22" ht="28.8" customHeight="1">
      <c r="G47" s="82" t="s">
        <v>89</v>
      </c>
      <c r="H47" s="139" t="s">
        <v>136</v>
      </c>
      <c r="I47" s="140"/>
      <c r="J47" s="140"/>
      <c r="K47" s="140"/>
      <c r="L47" s="140"/>
      <c r="M47" s="140"/>
      <c r="N47" s="140"/>
      <c r="O47" s="140"/>
      <c r="P47" s="140"/>
      <c r="Q47" s="140"/>
      <c r="R47" s="140"/>
      <c r="S47" s="140"/>
      <c r="T47" s="140"/>
      <c r="U47" s="140"/>
      <c r="V47" s="140"/>
    </row>
    <row r="48" spans="7:22" ht="35.4" customHeight="1">
      <c r="G48" s="82" t="s">
        <v>90</v>
      </c>
      <c r="H48" s="139" t="s">
        <v>137</v>
      </c>
      <c r="I48" s="140"/>
      <c r="J48" s="140"/>
      <c r="K48" s="140"/>
      <c r="L48" s="140"/>
      <c r="M48" s="140"/>
      <c r="N48" s="140"/>
      <c r="O48" s="140"/>
      <c r="P48" s="140"/>
      <c r="Q48" s="140"/>
      <c r="R48" s="140"/>
      <c r="S48" s="140"/>
      <c r="T48" s="140"/>
      <c r="U48" s="140"/>
      <c r="V48" s="140"/>
    </row>
    <row r="49" spans="7:22">
      <c r="G49" s="82" t="s">
        <v>91</v>
      </c>
      <c r="H49" s="139" t="s">
        <v>140</v>
      </c>
      <c r="I49" s="140"/>
      <c r="J49" s="140"/>
      <c r="K49" s="140"/>
      <c r="L49" s="140"/>
      <c r="M49" s="140"/>
      <c r="N49" s="140"/>
      <c r="O49" s="140"/>
      <c r="P49" s="140"/>
      <c r="Q49" s="140"/>
      <c r="R49" s="140"/>
      <c r="S49" s="140"/>
      <c r="T49" s="140"/>
      <c r="U49" s="140"/>
      <c r="V49" s="140"/>
    </row>
    <row r="50" spans="7:22">
      <c r="G50" s="82" t="s">
        <v>92</v>
      </c>
      <c r="H50" s="139" t="s">
        <v>138</v>
      </c>
      <c r="I50" s="140"/>
      <c r="J50" s="140"/>
      <c r="K50" s="140"/>
      <c r="L50" s="140"/>
      <c r="M50" s="140"/>
      <c r="N50" s="140"/>
      <c r="O50" s="140"/>
      <c r="P50" s="140"/>
      <c r="Q50" s="140"/>
      <c r="R50" s="140"/>
      <c r="S50" s="140"/>
      <c r="T50" s="140"/>
      <c r="U50" s="140"/>
      <c r="V50" s="140"/>
    </row>
    <row r="51" spans="7:22">
      <c r="G51" s="82" t="s">
        <v>93</v>
      </c>
      <c r="H51" s="139" t="s">
        <v>139</v>
      </c>
      <c r="I51" s="140"/>
      <c r="J51" s="140"/>
      <c r="K51" s="140"/>
      <c r="L51" s="140"/>
      <c r="M51" s="140"/>
      <c r="N51" s="140"/>
      <c r="O51" s="140"/>
      <c r="P51" s="140"/>
      <c r="Q51" s="140"/>
      <c r="R51" s="140"/>
      <c r="S51" s="140"/>
      <c r="T51" s="140"/>
      <c r="U51" s="140"/>
      <c r="V51" s="140"/>
    </row>
  </sheetData>
  <sheetProtection algorithmName="SHA-512" hashValue="MKY7wjSLVnp+cTNuffJxdjtmebp+sAOPp4dXX1HjoNseSl8c2sE60MjRPWDX/qEkAHQRIdso62DW0ysXuUqVhA==" saltValue="CT1M5rfurGjzjobVEj7Lbg==" spinCount="100000" sheet="1" objects="1" scenarios="1"/>
  <dataConsolidate/>
  <mergeCells count="68">
    <mergeCell ref="A29:C30"/>
    <mergeCell ref="A31:C32"/>
    <mergeCell ref="H47:V47"/>
    <mergeCell ref="H48:V48"/>
    <mergeCell ref="H49:V49"/>
    <mergeCell ref="H37:V37"/>
    <mergeCell ref="H38:V38"/>
    <mergeCell ref="H39:V39"/>
    <mergeCell ref="H40:V40"/>
    <mergeCell ref="H41:V41"/>
    <mergeCell ref="G31:J31"/>
    <mergeCell ref="G32:J32"/>
    <mergeCell ref="G33:J33"/>
    <mergeCell ref="G34:J34"/>
    <mergeCell ref="G35:J35"/>
    <mergeCell ref="H50:V50"/>
    <mergeCell ref="H51:V51"/>
    <mergeCell ref="H42:V42"/>
    <mergeCell ref="H43:V43"/>
    <mergeCell ref="H44:V44"/>
    <mergeCell ref="H45:V45"/>
    <mergeCell ref="H46:V46"/>
    <mergeCell ref="T21:T22"/>
    <mergeCell ref="U21:U22"/>
    <mergeCell ref="V21:V22"/>
    <mergeCell ref="Q1:S1"/>
    <mergeCell ref="O21:O22"/>
    <mergeCell ref="P21:P22"/>
    <mergeCell ref="Q21:Q22"/>
    <mergeCell ref="R21:R22"/>
    <mergeCell ref="S21:S22"/>
    <mergeCell ref="U1:W1"/>
    <mergeCell ref="L1:N1"/>
    <mergeCell ref="L2:M2"/>
    <mergeCell ref="H21:H22"/>
    <mergeCell ref="I21:I22"/>
    <mergeCell ref="J21:J22"/>
    <mergeCell ref="G1:I1"/>
    <mergeCell ref="G2:H2"/>
    <mergeCell ref="G21:G22"/>
    <mergeCell ref="K21:K22"/>
    <mergeCell ref="L21:L22"/>
    <mergeCell ref="M21:M22"/>
    <mergeCell ref="N21:N22"/>
    <mergeCell ref="B6:E6"/>
    <mergeCell ref="B7:E7"/>
    <mergeCell ref="A1:E1"/>
    <mergeCell ref="B2:E2"/>
    <mergeCell ref="B3:E3"/>
    <mergeCell ref="B5:C5"/>
    <mergeCell ref="B4:C4"/>
    <mergeCell ref="A26:D26"/>
    <mergeCell ref="D9:E9"/>
    <mergeCell ref="A20:B20"/>
    <mergeCell ref="B17:D17"/>
    <mergeCell ref="A10:E10"/>
    <mergeCell ref="A22:E22"/>
    <mergeCell ref="B12:D12"/>
    <mergeCell ref="B13:D13"/>
    <mergeCell ref="B14:D14"/>
    <mergeCell ref="B15:D15"/>
    <mergeCell ref="B16:D16"/>
    <mergeCell ref="B23:D23"/>
    <mergeCell ref="B11:D11"/>
    <mergeCell ref="B8:C8"/>
    <mergeCell ref="B18:D18"/>
    <mergeCell ref="B24:D24"/>
    <mergeCell ref="B25:D25"/>
  </mergeCells>
  <dataValidations count="9">
    <dataValidation type="list" allowBlank="1" showInputMessage="1" showErrorMessage="1" sqref="J1 X1 T1">
      <formula1>"Show,Hide"</formula1>
    </dataValidation>
    <dataValidation type="list" allowBlank="1" showInputMessage="1" showErrorMessage="1" sqref="Q3:Q19">
      <formula1>"1,2,3,4,5,6,7,8,9,10,11,12"</formula1>
    </dataValidation>
    <dataValidation type="list" allowBlank="1" showInputMessage="1" showErrorMessage="1" sqref="I3:I19 S3:S19 N3:N19">
      <formula1>"CO1,CO2,CO3,CO4,CO5,CO6,CO7"</formula1>
    </dataValidation>
    <dataValidation type="list" allowBlank="1" showInputMessage="1" showErrorMessage="1" sqref="H23:V29">
      <formula1>"-,1,2,3"</formula1>
    </dataValidation>
    <dataValidation type="list" allowBlank="1" showInputMessage="1" showErrorMessage="1" sqref="E4:E5 E8">
      <formula1>"Yes,No"</formula1>
    </dataValidation>
    <dataValidation type="list" allowBlank="1" showInputMessage="1" showErrorMessage="1" sqref="O1">
      <formula1>"Show,Hide"</formula1>
    </dataValidation>
    <dataValidation type="list" allowBlank="1" showInputMessage="1" showErrorMessage="1" sqref="G3:G19 L3:L19">
      <formula1>"1,2,3,4,5,6,7,8,9,10,11,12,13,14,15,16,17,18,19"</formula1>
    </dataValidation>
    <dataValidation type="list" allowBlank="1" showInputMessage="1" showErrorMessage="1" sqref="H3:H19 M3:M19 R3:R19">
      <formula1>"a,b,c,d,e,f,g"</formula1>
    </dataValidation>
    <dataValidation type="list" allowBlank="1" showInputMessage="1" showErrorMessage="1" sqref="T21:V22">
      <formula1>"PSO1,PSO2,PSO3"</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144"/>
  <sheetViews>
    <sheetView workbookViewId="0">
      <selection activeCell="C21" sqref="C21"/>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28" width="9.109375" style="2" hidden="1" customWidth="1"/>
    <col min="29"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48">
        <f>INPUT!B2</f>
        <v>0</v>
      </c>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35" ht="21">
      <c r="A3" s="148" t="str">
        <f>INPUT!G1</f>
        <v>Internal Test 1</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c r="A4" s="148" t="s">
        <v>49</v>
      </c>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c r="A5" s="30"/>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ht="21">
      <c r="A6" s="151" t="s">
        <v>56</v>
      </c>
      <c r="B6" s="151"/>
      <c r="C6" s="6">
        <f>INPUT!B3</f>
        <v>0</v>
      </c>
      <c r="D6" s="149" t="s">
        <v>57</v>
      </c>
      <c r="E6" s="149"/>
      <c r="F6" s="149"/>
      <c r="G6" s="6"/>
      <c r="H6" s="6">
        <f>INPUT!B4</f>
        <v>0</v>
      </c>
      <c r="I6" s="6"/>
      <c r="J6" s="6"/>
      <c r="K6" s="6"/>
      <c r="L6" s="151" t="s">
        <v>70</v>
      </c>
      <c r="M6" s="151"/>
      <c r="N6" s="151"/>
      <c r="O6" s="151"/>
      <c r="P6" s="151"/>
      <c r="Q6" s="5"/>
      <c r="R6" s="150">
        <f>INPUT!B5</f>
        <v>0</v>
      </c>
      <c r="S6" s="150"/>
      <c r="T6" s="150"/>
      <c r="U6" s="150"/>
      <c r="V6" s="5"/>
      <c r="W6" s="5"/>
      <c r="X6" s="5"/>
      <c r="Y6" s="5"/>
      <c r="Z6" s="5"/>
      <c r="AA6" s="5"/>
      <c r="AB6" s="5"/>
      <c r="AC6" s="5"/>
      <c r="AD6" s="5"/>
      <c r="AE6" s="5"/>
      <c r="AF6" s="5"/>
      <c r="AG6" s="5"/>
      <c r="AH6" s="5"/>
      <c r="AI6" s="5"/>
    </row>
    <row r="7" spans="1:35" ht="21">
      <c r="A7" s="151" t="s">
        <v>61</v>
      </c>
      <c r="B7" s="151"/>
      <c r="C7" s="150">
        <f>INPUT!B7</f>
        <v>0</v>
      </c>
      <c r="D7" s="150"/>
      <c r="E7" s="150"/>
      <c r="F7" s="150"/>
      <c r="G7" s="150"/>
      <c r="H7" s="150"/>
      <c r="I7" s="6"/>
      <c r="J7" s="6"/>
      <c r="K7" s="6"/>
      <c r="L7" s="151" t="s">
        <v>69</v>
      </c>
      <c r="M7" s="151"/>
      <c r="N7" s="151"/>
      <c r="O7" s="151"/>
      <c r="P7" s="151"/>
      <c r="Q7" s="5"/>
      <c r="R7" s="150">
        <f>INPUT!B6</f>
        <v>0</v>
      </c>
      <c r="S7" s="150"/>
      <c r="T7" s="150"/>
      <c r="U7" s="150"/>
      <c r="V7" s="150"/>
      <c r="W7" s="150"/>
      <c r="X7" s="150"/>
      <c r="Y7" s="150"/>
      <c r="Z7" s="150"/>
      <c r="AA7" s="150"/>
      <c r="AB7" s="150"/>
      <c r="AC7" s="150"/>
      <c r="AD7" s="150"/>
      <c r="AE7" s="5"/>
      <c r="AF7" s="5"/>
      <c r="AG7" s="5"/>
      <c r="AH7" s="5"/>
      <c r="AI7" s="5"/>
    </row>
    <row r="8" spans="1:35" ht="21">
      <c r="A8" s="53"/>
      <c r="B8" s="53"/>
      <c r="C8" s="53"/>
      <c r="D8" s="53"/>
      <c r="E8" s="53"/>
      <c r="F8" s="53"/>
      <c r="G8" s="53"/>
      <c r="H8" s="53"/>
      <c r="I8" s="6"/>
      <c r="J8" s="6"/>
      <c r="K8" s="6"/>
      <c r="L8" s="53"/>
      <c r="M8" s="53"/>
      <c r="N8" s="53"/>
      <c r="O8" s="53"/>
      <c r="P8" s="53"/>
      <c r="Q8" s="5"/>
      <c r="R8" s="53"/>
      <c r="S8" s="53"/>
      <c r="T8" s="53"/>
      <c r="U8" s="53"/>
      <c r="V8" s="53"/>
      <c r="W8" s="53"/>
      <c r="X8" s="53"/>
      <c r="Y8" s="53"/>
      <c r="Z8" s="53"/>
      <c r="AA8" s="53"/>
      <c r="AB8" s="53"/>
      <c r="AC8" s="53"/>
      <c r="AD8" s="53"/>
      <c r="AE8" s="5"/>
      <c r="AF8" s="5"/>
      <c r="AG8" s="5"/>
      <c r="AH8" s="5"/>
      <c r="AI8" s="5"/>
    </row>
    <row r="9" spans="1:35" ht="21" hidden="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87" t="str">
        <f>CONCATENATE("Q.No:",INPUT!G3)</f>
        <v>Q.No:</v>
      </c>
      <c r="E10" s="87" t="str">
        <f>CONCATENATE("Q.No:",INPUT!G4)</f>
        <v>Q.No:</v>
      </c>
      <c r="F10" s="87" t="str">
        <f>CONCATENATE("Q.No:",INPUT!G5)</f>
        <v>Q.No:</v>
      </c>
      <c r="G10" s="87" t="str">
        <f>CONCATENATE("Q.No:",INPUT!G6)</f>
        <v>Q.No:</v>
      </c>
      <c r="H10" s="87" t="str">
        <f>CONCATENATE("Q.No:",INPUT!G7)</f>
        <v>Q.No:</v>
      </c>
      <c r="I10" s="87" t="str">
        <f>CONCATENATE("Q.No:",INPUT!G8)</f>
        <v>Q.No:</v>
      </c>
      <c r="J10" s="87" t="str">
        <f>CONCATENATE("Q.No:",INPUT!G9)</f>
        <v>Q.No:</v>
      </c>
      <c r="K10" s="87" t="str">
        <f>CONCATENATE("Q.No:",INPUT!G10)</f>
        <v>Q.No:</v>
      </c>
      <c r="L10" s="87" t="str">
        <f>CONCATENATE("Q.No:",INPUT!G11)</f>
        <v>Q.No:</v>
      </c>
      <c r="M10" s="87" t="str">
        <f>CONCATENATE("Q.No:",INPUT!G12)</f>
        <v>Q.No:</v>
      </c>
      <c r="N10" s="87" t="str">
        <f>CONCATENATE("Q.No:",INPUT!G13)</f>
        <v>Q.No:</v>
      </c>
      <c r="O10" s="87" t="str">
        <f>CONCATENATE("Q.No:",INPUT!G14)</f>
        <v>Q.No:</v>
      </c>
      <c r="P10" s="87" t="str">
        <f>CONCATENATE("Q.No:",INPUT!G15)</f>
        <v>Q.No:</v>
      </c>
      <c r="Q10" s="87" t="str">
        <f>CONCATENATE("Q.No:",INPUT!G16)</f>
        <v>Q.No:</v>
      </c>
      <c r="R10" s="87" t="str">
        <f>CONCATENATE("Q.No:",INPUT!G17)</f>
        <v>Q.No:</v>
      </c>
      <c r="S10" s="87" t="str">
        <f>CONCATENATE("Q.No:",INPUT!G18)</f>
        <v>Q.No:</v>
      </c>
      <c r="T10" s="87" t="str">
        <f>CONCATENATE("Q.No:",INPUT!G19)</f>
        <v>Q.No:</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f>INPUT!H3</f>
        <v>0</v>
      </c>
      <c r="E11" s="27">
        <f>INPUT!H4</f>
        <v>0</v>
      </c>
      <c r="F11" s="27">
        <f>INPUT!H5</f>
        <v>0</v>
      </c>
      <c r="G11" s="27">
        <f>INPUT!H6</f>
        <v>0</v>
      </c>
      <c r="H11" s="27">
        <f>INPUT!H7</f>
        <v>0</v>
      </c>
      <c r="I11" s="27">
        <f>INPUT!H8</f>
        <v>0</v>
      </c>
      <c r="J11" s="27">
        <f>INPUT!H9</f>
        <v>0</v>
      </c>
      <c r="K11" s="27">
        <f>INPUT!H10</f>
        <v>0</v>
      </c>
      <c r="L11" s="27">
        <f>INPUT!H11</f>
        <v>0</v>
      </c>
      <c r="M11" s="27">
        <f>INPUT!H12</f>
        <v>0</v>
      </c>
      <c r="N11" s="27">
        <f>INPUT!H13</f>
        <v>0</v>
      </c>
      <c r="O11" s="27">
        <f>INPUT!H14</f>
        <v>0</v>
      </c>
      <c r="P11" s="27">
        <f>INPUT!H15</f>
        <v>0</v>
      </c>
      <c r="Q11" s="27">
        <f>INPUT!H16</f>
        <v>0</v>
      </c>
      <c r="R11" s="27">
        <f>INPUT!H17</f>
        <v>0</v>
      </c>
      <c r="S11" s="27">
        <f>INPUT!H18</f>
        <v>0</v>
      </c>
      <c r="T11" s="27">
        <f>INPUT!H19</f>
        <v>0</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INPUT!I3</f>
        <v>0</v>
      </c>
      <c r="E12" s="27">
        <f>INPUT!I4</f>
        <v>0</v>
      </c>
      <c r="F12" s="27">
        <f>INPUT!I5</f>
        <v>0</v>
      </c>
      <c r="G12" s="27">
        <f>INPUT!I6</f>
        <v>0</v>
      </c>
      <c r="H12" s="27">
        <f>INPUT!I7</f>
        <v>0</v>
      </c>
      <c r="I12" s="27">
        <f>INPUT!I8</f>
        <v>0</v>
      </c>
      <c r="J12" s="27">
        <f>INPUT!I9</f>
        <v>0</v>
      </c>
      <c r="K12" s="27">
        <f>INPUT!I10</f>
        <v>0</v>
      </c>
      <c r="L12" s="27">
        <f>INPUT!I11</f>
        <v>0</v>
      </c>
      <c r="M12" s="27">
        <f>INPUT!I12</f>
        <v>0</v>
      </c>
      <c r="N12" s="27">
        <f>INPUT!I13</f>
        <v>0</v>
      </c>
      <c r="O12" s="27">
        <f>INPUT!I14</f>
        <v>0</v>
      </c>
      <c r="P12" s="27">
        <f>INPUT!I15</f>
        <v>0</v>
      </c>
      <c r="Q12" s="27">
        <f>INPUT!I16</f>
        <v>0</v>
      </c>
      <c r="R12" s="27">
        <f>INPUT!I17</f>
        <v>0</v>
      </c>
      <c r="S12" s="27">
        <f>INPUT!I18</f>
        <v>0</v>
      </c>
      <c r="T12" s="27">
        <f>INPUT!I19</f>
        <v>0</v>
      </c>
      <c r="U12" s="155"/>
      <c r="V12" s="145"/>
      <c r="W12" s="145"/>
      <c r="X12" s="145"/>
      <c r="Y12" s="145"/>
      <c r="Z12" s="145"/>
      <c r="AA12" s="145"/>
      <c r="AB12" s="145"/>
      <c r="AC12" s="144"/>
      <c r="AD12" s="144"/>
      <c r="AE12" s="144"/>
      <c r="AF12" s="144"/>
      <c r="AG12" s="144"/>
      <c r="AH12" s="144"/>
      <c r="AI12" s="144"/>
    </row>
    <row r="13" spans="1:35" ht="21" hidden="1" customHeight="1">
      <c r="A13" s="153"/>
      <c r="B13" s="154"/>
      <c r="C13" s="153"/>
      <c r="D13" s="27">
        <f>INPUT!J3</f>
        <v>0</v>
      </c>
      <c r="E13" s="27">
        <f>INPUT!J4</f>
        <v>0</v>
      </c>
      <c r="F13" s="27">
        <f>INPUT!J5</f>
        <v>0</v>
      </c>
      <c r="G13" s="27">
        <f>INPUT!J6</f>
        <v>0</v>
      </c>
      <c r="H13" s="27">
        <f>INPUT!J7</f>
        <v>0</v>
      </c>
      <c r="I13" s="27">
        <f>INPUT!J8</f>
        <v>0</v>
      </c>
      <c r="J13" s="27">
        <f>INPUT!J9</f>
        <v>0</v>
      </c>
      <c r="K13" s="27">
        <f>INPUT!J10</f>
        <v>0</v>
      </c>
      <c r="L13" s="27">
        <f>INPUT!J11</f>
        <v>0</v>
      </c>
      <c r="M13" s="27">
        <f>INPUT!J12</f>
        <v>0</v>
      </c>
      <c r="N13" s="27">
        <f>INPUT!J13</f>
        <v>0</v>
      </c>
      <c r="O13" s="27">
        <f>INPUT!J14</f>
        <v>0</v>
      </c>
      <c r="P13" s="27">
        <f>INPUT!J15</f>
        <v>0</v>
      </c>
      <c r="Q13" s="27">
        <f>INPUT!J16</f>
        <v>0</v>
      </c>
      <c r="R13" s="27">
        <f>INPUT!J17</f>
        <v>0</v>
      </c>
      <c r="S13" s="27">
        <f>INPUT!J18</f>
        <v>0</v>
      </c>
      <c r="T13" s="27">
        <f>INPUT!J19</f>
        <v>0</v>
      </c>
      <c r="U13" s="155"/>
      <c r="V13" s="145"/>
      <c r="W13" s="145"/>
      <c r="X13" s="145"/>
      <c r="Y13" s="145"/>
      <c r="Z13" s="145"/>
      <c r="AA13" s="145"/>
      <c r="AB13" s="145"/>
      <c r="AC13" s="144"/>
      <c r="AD13" s="144"/>
      <c r="AE13" s="144"/>
      <c r="AF13" s="144"/>
      <c r="AG13" s="144"/>
      <c r="AH13" s="144"/>
      <c r="AI13" s="144"/>
    </row>
    <row r="14" spans="1:35" ht="33" customHeight="1">
      <c r="A14" s="40">
        <v>0</v>
      </c>
      <c r="B14" s="40"/>
      <c r="C14" s="41"/>
      <c r="D14" s="40"/>
      <c r="E14" s="40"/>
      <c r="F14" s="40"/>
      <c r="G14" s="40"/>
      <c r="H14" s="40"/>
      <c r="I14" s="40"/>
      <c r="J14" s="40"/>
      <c r="K14" s="40"/>
      <c r="L14" s="40"/>
      <c r="M14" s="40"/>
      <c r="N14" s="40"/>
      <c r="O14" s="40"/>
      <c r="P14" s="40"/>
      <c r="Q14" s="40"/>
      <c r="R14" s="40"/>
      <c r="S14" s="40"/>
      <c r="T14" s="40"/>
      <c r="U14" s="42">
        <f t="shared" ref="U14:U45" si="0">SUM(D14:T14)</f>
        <v>0</v>
      </c>
      <c r="V14" s="42">
        <f t="shared" ref="V14:V45" si="1">IF($D$12="CO1",D14,0)+IF($E$12="CO1",E14,0)+IF($F$12="CO1",F14,0)+IF($G$12="CO1",G14,0)+IF($H$12="CO1",H14,0)+IF($I$12="CO1",I14,0)+IF($J$12="CO1",J14,0)+IF($K$12="CO1",K14,0)+IF($L$12="CO1",L14,0)+IF($M$12="CO1",M14,0)+IF($N$12="CO1",N14,0)+IF($O$12="CO1",O14,0)+IF($P$12="CO1",P14,0)+IF($Q$12="CO1",Q14,0)+IF($R$12="CO1",R14,0)+IF($S$12="CO1",S14,0)+IF($T$12="CO1",T14,0)</f>
        <v>0</v>
      </c>
      <c r="W14" s="42">
        <f t="shared" ref="W14:W45" si="2">IF($D$12="CO2",D14,0)+IF($E$12="CO2",E14,0)+IF($F$12="CO2",F14,0)+IF($G$12="CO2",G14,0)+IF($H$12="CO2",H14,0)+IF($I$12="CO2",I14,0)+IF($J$12="CO2",J14,0)+IF($K$12="CO2",K14,0)+IF($L$12="CO2",L14,0)+IF($M$12="CO2",M14,0)+IF($N$12="CO2",N14,0)+IF($O$12="CO2",O14,0)+IF($P$12="CO2",P14,0)+IF($Q$12="CO2",Q14,0)+IF($R$12="CO2",R14,0)+IF($S$12="CO2",S14,0)+IF($T$12="CO2",T14,0)</f>
        <v>0</v>
      </c>
      <c r="X14" s="42">
        <f t="shared" ref="X14:X45" si="3">IF($D$12="CO3",D14,0)+IF($E$12="CO3",E14,0)+IF($F$12="CO3",F14,0)+IF($G$12="CO3",G14,0)+IF($H$12="CO3",H14,0)+IF($I$12="CO3",I14,0)+IF($J$12="CO3",J14,0)+IF($K$12="CO3",K14,0)+IF($L$12="CO3",L14,0)+IF($M$12="CO3",M14,0)+IF($N$12="CO3",N14,0)+IF($O$12="CO3",O14,0)+IF($P$12="CO3",P14,0)+IF($Q$12="CO3",Q14,0)+IF($R$12="CO3",R14,0)+IF($S$12="CO3",S14,0)+IF($T$12="CO3",T14,0)</f>
        <v>0</v>
      </c>
      <c r="Y14" s="42">
        <f t="shared" ref="Y14:Y45" si="4">IF($D$12="CO4",D14,0)+IF($E$12="CO4",E14,0)+IF($F$12="CO4",F14,0)+IF($G$12="CO4",G14,0)+IF($H$12="CO4",H14,0)+IF($I$12="CO4",I14,0)+IF($J$12="CO4",J14,0)+IF($K$12="CO4",K14,0)+IF($L$12="CO4",L14,0)+IF($M$12="CO4",M14,0)+IF($N$12="CO4",N14,0)+IF($O$12="CO4",O14,0)+IF($P$12="CO4",P14,0)+IF($Q$12="CO4",Q14,0)+IF($R$12="CO4",R14,0)+IF($S$12="CO4",S14,0)+IF($T$12="CO4",T14,0)</f>
        <v>0</v>
      </c>
      <c r="Z14" s="42">
        <f t="shared" ref="Z14:Z45" si="5">IF($D$12="CO5",D14,0)+IF($E$12="CO5",E14,0)+IF($F$12="CO5",F14,0)+IF($G$12="CO5",G14,0)+IF($H$12="CO5",H14,0)+IF($I$12="CO5",I14,0)+IF($J$12="CO5",J14,0)+IF($K$12="CO5",K14,0)+IF($L$12="CO5",L14,0)+IF($M$12="CO5",M14,0)+IF($N$12="CO5",N14,0)+IF($O$12="CO5",O14,0)+IF($P$12="CO5",P14,0)+IF($Q$12="CO5",Q14,0)+IF($R$12="CO5",R14,0)+IF($S$12="CO5",S14,0)+IF($T$12="CO5",T14,0)</f>
        <v>0</v>
      </c>
      <c r="AA14" s="42">
        <f t="shared" ref="AA14:AA45" si="6">IF($D$12="CO6",D14,0)+IF($E$12="CO6",E14,0)+IF($F$12="CO6",F14,0)+IF($G$12="CO6",G14,0)+IF($H$12="CO6",H14,0)+IF($I$12="CO6",I14,0)+IF($J$12="CO6",J14,0)+IF($K$12="CO6",K14,0)+IF($L$12="CO6",L14,0)+IF($M$12="CO6",M14,0)+IF($N$12="CO6",N14,0)+IF($O$12="CO6",O14,0)+IF($P$12="CO6",P14,0)+IF($Q$12="CO6",Q14,0)+IF($R$12="CO6",R14,0)+IF($S$12="CO6",S14,0)+IF($T$12="CO6",T14,0)</f>
        <v>0</v>
      </c>
      <c r="AB14" s="42">
        <f t="shared" ref="AB14:AB45" si="7">IF($D$12="CO7",D14,0)+IF($E$12="CO7",E14,0)+IF($F$12="CO7",F14,0)+IF($G$12="CO7",G14,0)+IF($H$12="CO7",H14,0)+IF($I$12="CO7",I14,0)+IF($J$12="CO7",J14,0)+IF($K$12="CO7",K14,0)+IF($L$12="CO7",L14,0)+IF($M$12="CO7",M14,0)+IF($N$12="CO7",N14,0)+IF($O$12="CO7",O14,0)+IF($P$12="CO7",P14,0)+IF($Q$12="CO7",Q14,0)+IF($R$12="CO7",R14,0)+IF($S$12="CO7",S14,0)+IF($T$12="CO7",T14,0)</f>
        <v>0</v>
      </c>
      <c r="AC14" s="42" t="e">
        <f>ROUND(V14/(IF($D$12="CO1",$D$13,0)+IF($E$12="CO1",$E$13,0)+IF($F$12="CO1",$F$13,0)+IF($G$12="CO1",$G$13,0)+IF($H$12="CO1",$H$13,0)+IF($I$12="CO1",$I$13,0)+IF($J$12="CO1",$J$13,0)+IF($K$12="CO1",$K$13,0)+IF($L$12="CO1",$L$13,0)+IF($M$12="CO1",$M$13,0)+IF($N$12="CO1",$N$13,0)+IF($O$12="CO1",$O$13,0)+IF($P$12="CO1",$P$13,0)+IF($Q$12="CO1",$Q$13,0)+IF($R$12="CO1",$R$13,0)+IF($S$12="CO1",$S$13,0)+IF($T$12="CO1",$T$13,0))*100,2)</f>
        <v>#DIV/0!</v>
      </c>
      <c r="AD14" s="42" t="e">
        <f>ROUND(W14/(IF($D$12="CO2",$D$13,0)+IF($E$12="CO2",$E$13,0)+IF($F$12="CO2",$F$13,0)+IF($G$12="CO2",$G$13,0)+IF($H$12="CO2",$H$13,0)+IF($I$12="CO2",$I$13,0)+IF($J$12="CO2",$J$13,0)+IF($K$12="CO2",$K$13,0)+IF($L$12="CO2",$L$13,0)+IF($M$12="CO2",$M$13,0)+IF($N$12="CO2",$N$13,0)+IF($O$12="CO2",$O$13,0)+IF($P$12="CO2",$P$13,0)+IF($Q$12="CO2",$Q$13,0)+IF($R$12="CO2",$R$13,0)+IF($S$12="CO2",$S$13,0)+IF($T$12="CO2",$T$13,0))*100,2)</f>
        <v>#DIV/0!</v>
      </c>
      <c r="AE14" s="19" t="e">
        <f>ROUND(X14/(IF($D$12="CO3",$D$13,0)+IF($E$12="CO3",$E$13,0)+IF($F$12="CO3",$F$13,0)+IF($G$12="CO3",$G$13,0)+IF($H$12="CO3",$H$13,0)+IF($I$12="CO3",$I$13,0)+IF($J$12="CO3",$J$13,0)+IF($K$12="CO3",$K$13,0)+IF($L$12="CO3",$L$13,0)+IF($M$12="CO3",$M$13,0)+IF($N$12="CO3",$N$13,0)+IF($O$12="CO3",$O$13,0)+IF($P$12="CO3",$P$13,0)+IF($Q$12="CO3",$Q$13,0)+IF($R$12="CO3",$R$13,0)+IF($S$12="CO3",$S$13,0)+IF($T$12="CO3",$T$13,0))*100,2)</f>
        <v>#DIV/0!</v>
      </c>
      <c r="AF14" s="7" t="e">
        <f>ROUND(Y14/(IF($D$12="CO4",$D$13,0)+IF($E$12="CO4",$E$13,0)+IF($F$12="CO4",$F$13,0)+IF($G$12="CO4",$G$13,0)+IF($H$12="CO4",$H$13,0)+IF($I$12="CO4",$I$13,0)+IF($J$12="CO4",$J$13,0)+IF($K$12="CO4",$K$13,0)+IF($L$12="CO4",$L$13,0)+IF($M$12="CO4",$M$13,0)+IF($N$12="CO4",$N$13,0)+IF($O$12="CO4",$O$13,0)+IF($P$12="CO4",$P$13,0)+IF($Q$12="CO4",$Q$13,0)+IF($R$12="CO4",$R$13,0)+IF($S$12="CO4",$S$13,0)+IF($T$12="CO4",$T$13,0))*100,2)</f>
        <v>#DIV/0!</v>
      </c>
      <c r="AG14" s="7" t="e">
        <f>ROUND(Z14/(IF($D$12="CO5",$D$13,0)+IF($E$12="CO5",$E$13,0)+IF($F$12="CO5",$F$13,0)+IF($G$12="CO5",$G$13,0)+IF($H$12="CO5",$H$13,0)+IF($I$12="CO5",$I$13,0)+IF($J$12="CO5",$J$13,0)+IF($K$12="CO5",$K$13,0)+IF($L$12="CO5",$L$13,0)+IF($M$12="CO5",$M$13,0)+IF($N$12="CO5",$N$13,0)+IF($O$12="CO5",$O$13,0)+IF($P$12="CO5",$P$13,0)+IF($Q$12="CO5",$Q$13,0)+IF($R$12="CO5",$R$13,0)+IF($S$12="CO5",$S$13,0)+IF($T$12="CO5",$T$13,0))*100,2)</f>
        <v>#DIV/0!</v>
      </c>
      <c r="AH14" s="7" t="e">
        <f>ROUND(AA14/(IF($D$12="CO6",$D$13,0)+IF($E$12="CO6",$E$13,0)+IF($F$12="CO6",$F$13,0)+IF($G$12="CO6",$G$13,0)+IF($H$12="CO6",$H$13,0)+IF($I$12="CO6",$I$13,0)+IF($J$12="CO6",$J$13,0)+IF($K$12="CO6",$K$13,0)+IF($L$12="CO6",$L$13,0)+IF($M$12="CO6",$M$13,0)+IF($N$12="CO6",$N$13,0)+IF($O$12="CO6",$O$13,0)+IF($P$12="CO6",$P$13,0)+IF($Q$12="CO6",$Q$13,0)+IF($R$12="CO6",$R$13,0)+IF($S$12="CO6",$S$13,0)+IF($T$12="CO6",$T$13,0))*100,2)</f>
        <v>#DIV/0!</v>
      </c>
      <c r="AI14" s="8" t="e">
        <f>ROUND(AB14/(IF($D$12="CO7",$D$13,0)+IF($E$12="CO7",$E$13,0)+IF($F$12="CO7",$F$13,0)+IF($G$12="CO7",$G$13,0)+IF($H$12="CO7",$H$13,0)+IF($I$12="CO7",$I$13,0)+IF($J$12="CO7",$J$13,0)+IF($K$12="CO7",$K$13,0)+IF($L$12="CO7",$L$13,0)+IF($M$12="CO7",$M$13,0)+IF($N$12="CO7",$N$13,0)+IF($O$12="CO7",$O$13,0)+IF($P$12="CO7",$P$13,0)+IF($Q$12="CO7",$Q$13,0)+IF($R$12="CO7",$R$13,0)+IF($S$12="CO7",$S$13,0)+IF($T$12="CO7",$T$13,0))*100,2)</f>
        <v>#DIV/0!</v>
      </c>
    </row>
    <row r="15" spans="1:35" ht="33" customHeight="1">
      <c r="A15" s="40">
        <v>0</v>
      </c>
      <c r="B15" s="24"/>
      <c r="C15" s="41"/>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19" t="e">
        <f t="shared" ref="AE15:AE138" si="10">ROUND(X15/(IF($D$12="CO3",$D$13,0)+IF($E$12="CO3",$E$13,0)+IF($F$12="CO3",$F$13,0)+IF($G$12="CO3",$G$13,0)+IF($H$12="CO3",$H$13,0)+IF($I$12="CO3",$I$13,0)+IF($J$12="CO3",$J$13,0)+IF($K$12="CO3",$K$13,0)+IF($L$12="CO3",$L$13,0)+IF($M$12="CO3",$M$13,0)+IF($N$12="CO3",$N$13,0)+IF($O$12="CO3",$O$13,0)+IF($P$12="CO3",$P$13,0)+IF($Q$12="CO3",$Q$13,0)+IF($R$12="CO3",$R$13,0)+IF($S$12="CO3",$S$13,0)+IF($T$12="CO3",$T$13,0))*100,2)</f>
        <v>#DIV/0!</v>
      </c>
      <c r="AF15" s="7" t="e">
        <f t="shared" ref="AF15:AF138" si="11">ROUND(Y15/(IF($D$12="CO4",$D$13,0)+IF($E$12="CO4",$E$13,0)+IF($F$12="CO4",$F$13,0)+IF($G$12="CO4",$G$13,0)+IF($H$12="CO4",$H$13,0)+IF($I$12="CO4",$I$13,0)+IF($J$12="CO4",$J$13,0)+IF($K$12="CO4",$K$13,0)+IF($L$12="CO4",$L$13,0)+IF($M$12="CO4",$M$13,0)+IF($N$12="CO4",$N$13,0)+IF($O$12="CO4",$O$13,0)+IF($P$12="CO4",$P$13,0)+IF($Q$12="CO4",$Q$13,0)+IF($R$12="CO4",$R$13,0)+IF($S$12="CO4",$S$13,0)+IF($T$12="CO4",$T$13,0))*100,2)</f>
        <v>#DIV/0!</v>
      </c>
      <c r="AG15" s="7" t="e">
        <f t="shared" ref="AG15:AG138" si="12">ROUND(Z15/(IF($D$12="CO5",$D$13,0)+IF($E$12="CO5",$E$13,0)+IF($F$12="CO5",$F$13,0)+IF($G$12="CO5",$G$13,0)+IF($H$12="CO5",$H$13,0)+IF($I$12="CO5",$I$13,0)+IF($J$12="CO5",$J$13,0)+IF($K$12="CO5",$K$13,0)+IF($L$12="CO5",$L$13,0)+IF($M$12="CO5",$M$13,0)+IF($N$12="CO5",$N$13,0)+IF($O$12="CO5",$O$13,0)+IF($P$12="CO5",$P$13,0)+IF($Q$12="CO5",$Q$13,0)+IF($R$12="CO5",$R$13,0)+IF($S$12="CO5",$S$13,0)+IF($T$12="CO5",$T$13,0))*100,2)</f>
        <v>#DIV/0!</v>
      </c>
      <c r="AH15" s="7" t="e">
        <f t="shared" ref="AH15:AH138" si="13">ROUND(AA15/(IF($D$12="CO6",$D$13,0)+IF($E$12="CO6",$E$13,0)+IF($F$12="CO6",$F$13,0)+IF($G$12="CO6",$G$13,0)+IF($H$12="CO6",$H$13,0)+IF($I$12="CO6",$I$13,0)+IF($J$12="CO6",$J$13,0)+IF($K$12="CO6",$K$13,0)+IF($L$12="CO6",$L$13,0)+IF($M$12="CO6",$M$13,0)+IF($N$12="CO6",$N$13,0)+IF($O$12="CO6",$O$13,0)+IF($P$12="CO6",$P$13,0)+IF($Q$12="CO6",$Q$13,0)+IF($R$12="CO6",$R$13,0)+IF($S$12="CO6",$S$13,0)+IF($T$12="CO6",$T$13,0))*100,2)</f>
        <v>#DIV/0!</v>
      </c>
      <c r="AI15" s="8"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33" customHeight="1">
      <c r="A16" s="40">
        <v>0</v>
      </c>
      <c r="B16" s="24"/>
      <c r="C16" s="41"/>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19" t="e">
        <f t="shared" si="10"/>
        <v>#DIV/0!</v>
      </c>
      <c r="AF16" s="7" t="e">
        <f t="shared" si="11"/>
        <v>#DIV/0!</v>
      </c>
      <c r="AG16" s="7" t="e">
        <f t="shared" si="12"/>
        <v>#DIV/0!</v>
      </c>
      <c r="AH16" s="7" t="e">
        <f t="shared" si="13"/>
        <v>#DIV/0!</v>
      </c>
      <c r="AI16" s="8" t="e">
        <f t="shared" si="14"/>
        <v>#DIV/0!</v>
      </c>
    </row>
    <row r="17" spans="1:35" ht="33" customHeight="1">
      <c r="A17" s="40">
        <v>0</v>
      </c>
      <c r="B17" s="24"/>
      <c r="C17" s="41"/>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19" t="e">
        <f t="shared" si="10"/>
        <v>#DIV/0!</v>
      </c>
      <c r="AF17" s="7" t="e">
        <f t="shared" si="11"/>
        <v>#DIV/0!</v>
      </c>
      <c r="AG17" s="7" t="e">
        <f t="shared" si="12"/>
        <v>#DIV/0!</v>
      </c>
      <c r="AH17" s="7" t="e">
        <f t="shared" si="13"/>
        <v>#DIV/0!</v>
      </c>
      <c r="AI17" s="8" t="e">
        <f t="shared" si="14"/>
        <v>#DIV/0!</v>
      </c>
    </row>
    <row r="18" spans="1:35" ht="33" customHeight="1">
      <c r="A18" s="40">
        <v>0</v>
      </c>
      <c r="B18" s="24"/>
      <c r="C18" s="41"/>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19" t="e">
        <f t="shared" si="10"/>
        <v>#DIV/0!</v>
      </c>
      <c r="AF18" s="7" t="e">
        <f t="shared" si="11"/>
        <v>#DIV/0!</v>
      </c>
      <c r="AG18" s="7" t="e">
        <f t="shared" si="12"/>
        <v>#DIV/0!</v>
      </c>
      <c r="AH18" s="7" t="e">
        <f t="shared" si="13"/>
        <v>#DIV/0!</v>
      </c>
      <c r="AI18" s="8" t="e">
        <f t="shared" si="14"/>
        <v>#DIV/0!</v>
      </c>
    </row>
    <row r="19" spans="1:35" ht="33" customHeight="1">
      <c r="A19" s="40">
        <v>0</v>
      </c>
      <c r="B19" s="24"/>
      <c r="C19" s="41"/>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19" t="e">
        <f t="shared" si="10"/>
        <v>#DIV/0!</v>
      </c>
      <c r="AF19" s="7" t="e">
        <f t="shared" si="11"/>
        <v>#DIV/0!</v>
      </c>
      <c r="AG19" s="7" t="e">
        <f t="shared" si="12"/>
        <v>#DIV/0!</v>
      </c>
      <c r="AH19" s="7" t="e">
        <f t="shared" si="13"/>
        <v>#DIV/0!</v>
      </c>
      <c r="AI19" s="8" t="e">
        <f t="shared" si="14"/>
        <v>#DIV/0!</v>
      </c>
    </row>
    <row r="20" spans="1:35" ht="33" customHeight="1">
      <c r="A20" s="40">
        <v>0</v>
      </c>
      <c r="B20" s="24"/>
      <c r="C20" s="41"/>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ref="AC20:AC79" si="15">ROUND(V20/(IF($D$12="CO1",$D$13,0)+IF($E$12="CO1",$E$13,0)+IF($F$12="CO1",$F$13,0)+IF($G$12="CO1",$G$13,0)+IF($H$12="CO1",$H$13,0)+IF($I$12="CO1",$I$13,0)+IF($J$12="CO1",$J$13,0)+IF($K$12="CO1",$K$13,0)+IF($L$12="CO1",$L$13,0)+IF($M$12="CO1",$M$13,0)+IF($N$12="CO1",$N$13,0)+IF($O$12="CO1",$O$13,0)+IF($P$12="CO1",$P$13,0)+IF($Q$12="CO1",$Q$13,0)+IF($R$12="CO1",$R$13,0)+IF($S$12="CO1",$S$13,0)+IF($T$12="CO1",$T$13,0))*100,2)</f>
        <v>#DIV/0!</v>
      </c>
      <c r="AD20" s="26" t="e">
        <f t="shared" ref="AD20:AD79" si="16">ROUND(W20/(IF($D$12="CO2",$D$13,0)+IF($E$12="CO2",$E$13,0)+IF($F$12="CO2",$F$13,0)+IF($G$12="CO2",$G$13,0)+IF($H$12="CO2",$H$13,0)+IF($I$12="CO2",$I$13,0)+IF($J$12="CO2",$J$13,0)+IF($K$12="CO2",$K$13,0)+IF($L$12="CO2",$L$13,0)+IF($M$12="CO2",$M$13,0)+IF($N$12="CO2",$N$13,0)+IF($O$12="CO2",$O$13,0)+IF($P$12="CO2",$P$13,0)+IF($Q$12="CO2",$Q$13,0)+IF($R$12="CO2",$R$13,0)+IF($S$12="CO2",$S$13,0)+IF($T$12="CO2",$T$13,0))*100,2)</f>
        <v>#DIV/0!</v>
      </c>
      <c r="AE20" s="19" t="e">
        <f t="shared" ref="AE20:AE79" si="17">ROUND(X20/(IF($D$12="CO3",$D$13,0)+IF($E$12="CO3",$E$13,0)+IF($F$12="CO3",$F$13,0)+IF($G$12="CO3",$G$13,0)+IF($H$12="CO3",$H$13,0)+IF($I$12="CO3",$I$13,0)+IF($J$12="CO3",$J$13,0)+IF($K$12="CO3",$K$13,0)+IF($L$12="CO3",$L$13,0)+IF($M$12="CO3",$M$13,0)+IF($N$12="CO3",$N$13,0)+IF($O$12="CO3",$O$13,0)+IF($P$12="CO3",$P$13,0)+IF($Q$12="CO3",$Q$13,0)+IF($R$12="CO3",$R$13,0)+IF($S$12="CO3",$S$13,0)+IF($T$12="CO3",$T$13,0))*100,2)</f>
        <v>#DIV/0!</v>
      </c>
      <c r="AF20" s="7" t="e">
        <f t="shared" ref="AF20:AF79" si="18">ROUND(Y20/(IF($D$12="CO4",$D$13,0)+IF($E$12="CO4",$E$13,0)+IF($F$12="CO4",$F$13,0)+IF($G$12="CO4",$G$13,0)+IF($H$12="CO4",$H$13,0)+IF($I$12="CO4",$I$13,0)+IF($J$12="CO4",$J$13,0)+IF($K$12="CO4",$K$13,0)+IF($L$12="CO4",$L$13,0)+IF($M$12="CO4",$M$13,0)+IF($N$12="CO4",$N$13,0)+IF($O$12="CO4",$O$13,0)+IF($P$12="CO4",$P$13,0)+IF($Q$12="CO4",$Q$13,0)+IF($R$12="CO4",$R$13,0)+IF($S$12="CO4",$S$13,0)+IF($T$12="CO4",$T$13,0))*100,2)</f>
        <v>#DIV/0!</v>
      </c>
      <c r="AG20" s="7" t="e">
        <f t="shared" ref="AG20:AG79" si="19">ROUND(Z20/(IF($D$12="CO5",$D$13,0)+IF($E$12="CO5",$E$13,0)+IF($F$12="CO5",$F$13,0)+IF($G$12="CO5",$G$13,0)+IF($H$12="CO5",$H$13,0)+IF($I$12="CO5",$I$13,0)+IF($J$12="CO5",$J$13,0)+IF($K$12="CO5",$K$13,0)+IF($L$12="CO5",$L$13,0)+IF($M$12="CO5",$M$13,0)+IF($N$12="CO5",$N$13,0)+IF($O$12="CO5",$O$13,0)+IF($P$12="CO5",$P$13,0)+IF($Q$12="CO5",$Q$13,0)+IF($R$12="CO5",$R$13,0)+IF($S$12="CO5",$S$13,0)+IF($T$12="CO5",$T$13,0))*100,2)</f>
        <v>#DIV/0!</v>
      </c>
      <c r="AH20" s="7" t="e">
        <f t="shared" ref="AH20:AH79" si="20">ROUND(AA20/(IF($D$12="CO6",$D$13,0)+IF($E$12="CO6",$E$13,0)+IF($F$12="CO6",$F$13,0)+IF($G$12="CO6",$G$13,0)+IF($H$12="CO6",$H$13,0)+IF($I$12="CO6",$I$13,0)+IF($J$12="CO6",$J$13,0)+IF($K$12="CO6",$K$13,0)+IF($L$12="CO6",$L$13,0)+IF($M$12="CO6",$M$13,0)+IF($N$12="CO6",$N$13,0)+IF($O$12="CO6",$O$13,0)+IF($P$12="CO6",$P$13,0)+IF($Q$12="CO6",$Q$13,0)+IF($R$12="CO6",$R$13,0)+IF($S$12="CO6",$S$13,0)+IF($T$12="CO6",$T$13,0))*100,2)</f>
        <v>#DIV/0!</v>
      </c>
      <c r="AI20" s="8" t="e">
        <f t="shared" ref="AI20:AI79" si="21">ROUND(AB20/(IF($D$12="CO7",$D$13,0)+IF($E$12="CO7",$E$13,0)+IF($F$12="CO7",$F$13,0)+IF($G$12="CO7",$G$13,0)+IF($H$12="CO7",$H$13,0)+IF($I$12="CO7",$I$13,0)+IF($J$12="CO7",$J$13,0)+IF($K$12="CO7",$K$13,0)+IF($L$12="CO7",$L$13,0)+IF($M$12="CO7",$M$13,0)+IF($N$12="CO7",$N$13,0)+IF($O$12="CO7",$O$13,0)+IF($P$12="CO7",$P$13,0)+IF($Q$12="CO7",$Q$13,0)+IF($R$12="CO7",$R$13,0)+IF($S$12="CO7",$S$13,0)+IF($T$12="CO7",$T$13,0))*100,2)</f>
        <v>#DIV/0!</v>
      </c>
    </row>
    <row r="21" spans="1:35" ht="33" customHeight="1">
      <c r="A21" s="40">
        <v>0</v>
      </c>
      <c r="B21" s="24"/>
      <c r="C21" s="41"/>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15"/>
        <v>#DIV/0!</v>
      </c>
      <c r="AD21" s="26" t="e">
        <f t="shared" si="16"/>
        <v>#DIV/0!</v>
      </c>
      <c r="AE21" s="19" t="e">
        <f t="shared" si="17"/>
        <v>#DIV/0!</v>
      </c>
      <c r="AF21" s="7" t="e">
        <f t="shared" si="18"/>
        <v>#DIV/0!</v>
      </c>
      <c r="AG21" s="7" t="e">
        <f t="shared" si="19"/>
        <v>#DIV/0!</v>
      </c>
      <c r="AH21" s="7" t="e">
        <f t="shared" si="20"/>
        <v>#DIV/0!</v>
      </c>
      <c r="AI21" s="8" t="e">
        <f t="shared" si="21"/>
        <v>#DIV/0!</v>
      </c>
    </row>
    <row r="22" spans="1:35" ht="33" customHeight="1">
      <c r="A22" s="40">
        <v>0</v>
      </c>
      <c r="B22" s="24"/>
      <c r="C22" s="41"/>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15"/>
        <v>#DIV/0!</v>
      </c>
      <c r="AD22" s="26" t="e">
        <f t="shared" si="16"/>
        <v>#DIV/0!</v>
      </c>
      <c r="AE22" s="19" t="e">
        <f t="shared" si="17"/>
        <v>#DIV/0!</v>
      </c>
      <c r="AF22" s="7" t="e">
        <f t="shared" si="18"/>
        <v>#DIV/0!</v>
      </c>
      <c r="AG22" s="7" t="e">
        <f t="shared" si="19"/>
        <v>#DIV/0!</v>
      </c>
      <c r="AH22" s="7" t="e">
        <f t="shared" si="20"/>
        <v>#DIV/0!</v>
      </c>
      <c r="AI22" s="8" t="e">
        <f t="shared" si="21"/>
        <v>#DIV/0!</v>
      </c>
    </row>
    <row r="23" spans="1:35" ht="33" customHeight="1" thickBot="1">
      <c r="A23" s="40">
        <v>0</v>
      </c>
      <c r="B23" s="24"/>
      <c r="C23" s="41"/>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15"/>
        <v>#DIV/0!</v>
      </c>
      <c r="AD23" s="26" t="e">
        <f t="shared" si="16"/>
        <v>#DIV/0!</v>
      </c>
      <c r="AE23" s="19" t="e">
        <f t="shared" si="17"/>
        <v>#DIV/0!</v>
      </c>
      <c r="AF23" s="7" t="e">
        <f t="shared" si="18"/>
        <v>#DIV/0!</v>
      </c>
      <c r="AG23" s="7" t="e">
        <f t="shared" si="19"/>
        <v>#DIV/0!</v>
      </c>
      <c r="AH23" s="7" t="e">
        <f t="shared" si="20"/>
        <v>#DIV/0!</v>
      </c>
      <c r="AI23" s="8" t="e">
        <f t="shared" si="21"/>
        <v>#DIV/0!</v>
      </c>
    </row>
    <row r="24" spans="1:35" ht="33" hidden="1" customHeight="1">
      <c r="A24" s="40">
        <v>0</v>
      </c>
      <c r="B24" s="24"/>
      <c r="C24" s="25"/>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15"/>
        <v>#DIV/0!</v>
      </c>
      <c r="AD24" s="26" t="e">
        <f t="shared" si="16"/>
        <v>#DIV/0!</v>
      </c>
      <c r="AE24" s="19" t="e">
        <f t="shared" si="17"/>
        <v>#DIV/0!</v>
      </c>
      <c r="AF24" s="7" t="e">
        <f t="shared" si="18"/>
        <v>#DIV/0!</v>
      </c>
      <c r="AG24" s="7" t="e">
        <f t="shared" si="19"/>
        <v>#DIV/0!</v>
      </c>
      <c r="AH24" s="7" t="e">
        <f t="shared" si="20"/>
        <v>#DIV/0!</v>
      </c>
      <c r="AI24" s="8" t="e">
        <f t="shared" si="21"/>
        <v>#DIV/0!</v>
      </c>
    </row>
    <row r="25" spans="1:35" ht="33" hidden="1" customHeight="1">
      <c r="A25" s="40">
        <v>0</v>
      </c>
      <c r="B25" s="24"/>
      <c r="C25" s="25"/>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15"/>
        <v>#DIV/0!</v>
      </c>
      <c r="AD25" s="26" t="e">
        <f t="shared" si="16"/>
        <v>#DIV/0!</v>
      </c>
      <c r="AE25" s="19" t="e">
        <f t="shared" si="17"/>
        <v>#DIV/0!</v>
      </c>
      <c r="AF25" s="7" t="e">
        <f t="shared" si="18"/>
        <v>#DIV/0!</v>
      </c>
      <c r="AG25" s="7" t="e">
        <f t="shared" si="19"/>
        <v>#DIV/0!</v>
      </c>
      <c r="AH25" s="7" t="e">
        <f t="shared" si="20"/>
        <v>#DIV/0!</v>
      </c>
      <c r="AI25" s="8" t="e">
        <f t="shared" si="21"/>
        <v>#DIV/0!</v>
      </c>
    </row>
    <row r="26" spans="1:35" ht="33" hidden="1" customHeight="1">
      <c r="A26" s="40">
        <v>0</v>
      </c>
      <c r="B26" s="24"/>
      <c r="C26" s="25"/>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15"/>
        <v>#DIV/0!</v>
      </c>
      <c r="AD26" s="26" t="e">
        <f t="shared" si="16"/>
        <v>#DIV/0!</v>
      </c>
      <c r="AE26" s="19" t="e">
        <f t="shared" si="17"/>
        <v>#DIV/0!</v>
      </c>
      <c r="AF26" s="7" t="e">
        <f t="shared" si="18"/>
        <v>#DIV/0!</v>
      </c>
      <c r="AG26" s="7" t="e">
        <f t="shared" si="19"/>
        <v>#DIV/0!</v>
      </c>
      <c r="AH26" s="7" t="e">
        <f t="shared" si="20"/>
        <v>#DIV/0!</v>
      </c>
      <c r="AI26" s="8" t="e">
        <f t="shared" si="21"/>
        <v>#DIV/0!</v>
      </c>
    </row>
    <row r="27" spans="1:35" ht="33" hidden="1" customHeight="1">
      <c r="A27" s="40">
        <v>0</v>
      </c>
      <c r="B27" s="24"/>
      <c r="C27" s="25"/>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15"/>
        <v>#DIV/0!</v>
      </c>
      <c r="AD27" s="26" t="e">
        <f t="shared" si="16"/>
        <v>#DIV/0!</v>
      </c>
      <c r="AE27" s="19" t="e">
        <f t="shared" si="17"/>
        <v>#DIV/0!</v>
      </c>
      <c r="AF27" s="7" t="e">
        <f t="shared" si="18"/>
        <v>#DIV/0!</v>
      </c>
      <c r="AG27" s="7" t="e">
        <f t="shared" si="19"/>
        <v>#DIV/0!</v>
      </c>
      <c r="AH27" s="7" t="e">
        <f t="shared" si="20"/>
        <v>#DIV/0!</v>
      </c>
      <c r="AI27" s="8" t="e">
        <f t="shared" si="21"/>
        <v>#DIV/0!</v>
      </c>
    </row>
    <row r="28" spans="1:35" ht="33" hidden="1" customHeight="1">
      <c r="A28" s="40">
        <v>0</v>
      </c>
      <c r="B28" s="24"/>
      <c r="C28" s="25"/>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15"/>
        <v>#DIV/0!</v>
      </c>
      <c r="AD28" s="26" t="e">
        <f t="shared" si="16"/>
        <v>#DIV/0!</v>
      </c>
      <c r="AE28" s="19" t="e">
        <f t="shared" si="17"/>
        <v>#DIV/0!</v>
      </c>
      <c r="AF28" s="7" t="e">
        <f t="shared" si="18"/>
        <v>#DIV/0!</v>
      </c>
      <c r="AG28" s="7" t="e">
        <f t="shared" si="19"/>
        <v>#DIV/0!</v>
      </c>
      <c r="AH28" s="7" t="e">
        <f t="shared" si="20"/>
        <v>#DIV/0!</v>
      </c>
      <c r="AI28" s="8" t="e">
        <f t="shared" si="21"/>
        <v>#DIV/0!</v>
      </c>
    </row>
    <row r="29" spans="1:35" ht="33" hidden="1" customHeight="1">
      <c r="A29" s="40">
        <v>0</v>
      </c>
      <c r="B29" s="24"/>
      <c r="C29" s="25"/>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15"/>
        <v>#DIV/0!</v>
      </c>
      <c r="AD29" s="26" t="e">
        <f t="shared" si="16"/>
        <v>#DIV/0!</v>
      </c>
      <c r="AE29" s="19" t="e">
        <f t="shared" si="17"/>
        <v>#DIV/0!</v>
      </c>
      <c r="AF29" s="7" t="e">
        <f t="shared" si="18"/>
        <v>#DIV/0!</v>
      </c>
      <c r="AG29" s="7" t="e">
        <f t="shared" si="19"/>
        <v>#DIV/0!</v>
      </c>
      <c r="AH29" s="7" t="e">
        <f t="shared" si="20"/>
        <v>#DIV/0!</v>
      </c>
      <c r="AI29" s="8" t="e">
        <f t="shared" si="21"/>
        <v>#DIV/0!</v>
      </c>
    </row>
    <row r="30" spans="1:35" ht="33" hidden="1" customHeight="1">
      <c r="A30" s="40">
        <v>0</v>
      </c>
      <c r="B30" s="24"/>
      <c r="C30" s="25"/>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15"/>
        <v>#DIV/0!</v>
      </c>
      <c r="AD30" s="26" t="e">
        <f t="shared" si="16"/>
        <v>#DIV/0!</v>
      </c>
      <c r="AE30" s="19" t="e">
        <f t="shared" si="17"/>
        <v>#DIV/0!</v>
      </c>
      <c r="AF30" s="7" t="e">
        <f t="shared" si="18"/>
        <v>#DIV/0!</v>
      </c>
      <c r="AG30" s="7" t="e">
        <f t="shared" si="19"/>
        <v>#DIV/0!</v>
      </c>
      <c r="AH30" s="7" t="e">
        <f t="shared" si="20"/>
        <v>#DIV/0!</v>
      </c>
      <c r="AI30" s="8" t="e">
        <f t="shared" si="21"/>
        <v>#DIV/0!</v>
      </c>
    </row>
    <row r="31" spans="1:35" ht="33" hidden="1" customHeight="1">
      <c r="A31" s="40">
        <v>0</v>
      </c>
      <c r="B31" s="24"/>
      <c r="C31" s="25"/>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15"/>
        <v>#DIV/0!</v>
      </c>
      <c r="AD31" s="26" t="e">
        <f t="shared" si="16"/>
        <v>#DIV/0!</v>
      </c>
      <c r="AE31" s="19" t="e">
        <f t="shared" si="17"/>
        <v>#DIV/0!</v>
      </c>
      <c r="AF31" s="7" t="e">
        <f t="shared" si="18"/>
        <v>#DIV/0!</v>
      </c>
      <c r="AG31" s="7" t="e">
        <f t="shared" si="19"/>
        <v>#DIV/0!</v>
      </c>
      <c r="AH31" s="7" t="e">
        <f t="shared" si="20"/>
        <v>#DIV/0!</v>
      </c>
      <c r="AI31" s="8" t="e">
        <f t="shared" si="21"/>
        <v>#DIV/0!</v>
      </c>
    </row>
    <row r="32" spans="1:35" ht="33" hidden="1" customHeight="1">
      <c r="A32" s="40">
        <v>0</v>
      </c>
      <c r="B32" s="24"/>
      <c r="C32" s="25"/>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15"/>
        <v>#DIV/0!</v>
      </c>
      <c r="AD32" s="26" t="e">
        <f t="shared" si="16"/>
        <v>#DIV/0!</v>
      </c>
      <c r="AE32" s="19" t="e">
        <f t="shared" si="17"/>
        <v>#DIV/0!</v>
      </c>
      <c r="AF32" s="7" t="e">
        <f t="shared" si="18"/>
        <v>#DIV/0!</v>
      </c>
      <c r="AG32" s="7" t="e">
        <f t="shared" si="19"/>
        <v>#DIV/0!</v>
      </c>
      <c r="AH32" s="7" t="e">
        <f t="shared" si="20"/>
        <v>#DIV/0!</v>
      </c>
      <c r="AI32" s="8" t="e">
        <f t="shared" si="21"/>
        <v>#DIV/0!</v>
      </c>
    </row>
    <row r="33" spans="1:35" ht="33" hidden="1" customHeight="1">
      <c r="A33" s="40">
        <v>0</v>
      </c>
      <c r="B33" s="24"/>
      <c r="C33" s="25"/>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15"/>
        <v>#DIV/0!</v>
      </c>
      <c r="AD33" s="26" t="e">
        <f t="shared" si="16"/>
        <v>#DIV/0!</v>
      </c>
      <c r="AE33" s="19" t="e">
        <f t="shared" si="17"/>
        <v>#DIV/0!</v>
      </c>
      <c r="AF33" s="7" t="e">
        <f t="shared" si="18"/>
        <v>#DIV/0!</v>
      </c>
      <c r="AG33" s="7" t="e">
        <f t="shared" si="19"/>
        <v>#DIV/0!</v>
      </c>
      <c r="AH33" s="7" t="e">
        <f t="shared" si="20"/>
        <v>#DIV/0!</v>
      </c>
      <c r="AI33" s="8" t="e">
        <f t="shared" si="21"/>
        <v>#DIV/0!</v>
      </c>
    </row>
    <row r="34" spans="1:35" ht="33" hidden="1" customHeight="1">
      <c r="A34" s="40">
        <v>0</v>
      </c>
      <c r="B34" s="24"/>
      <c r="C34" s="25"/>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15"/>
        <v>#DIV/0!</v>
      </c>
      <c r="AD34" s="26" t="e">
        <f t="shared" si="16"/>
        <v>#DIV/0!</v>
      </c>
      <c r="AE34" s="19" t="e">
        <f t="shared" si="17"/>
        <v>#DIV/0!</v>
      </c>
      <c r="AF34" s="7" t="e">
        <f t="shared" si="18"/>
        <v>#DIV/0!</v>
      </c>
      <c r="AG34" s="7" t="e">
        <f t="shared" si="19"/>
        <v>#DIV/0!</v>
      </c>
      <c r="AH34" s="7" t="e">
        <f t="shared" si="20"/>
        <v>#DIV/0!</v>
      </c>
      <c r="AI34" s="8" t="e">
        <f t="shared" si="21"/>
        <v>#DIV/0!</v>
      </c>
    </row>
    <row r="35" spans="1:35" ht="33" hidden="1" customHeight="1">
      <c r="A35" s="40">
        <v>0</v>
      </c>
      <c r="B35" s="24"/>
      <c r="C35" s="25"/>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15"/>
        <v>#DIV/0!</v>
      </c>
      <c r="AD35" s="26" t="e">
        <f t="shared" si="16"/>
        <v>#DIV/0!</v>
      </c>
      <c r="AE35" s="19" t="e">
        <f t="shared" si="17"/>
        <v>#DIV/0!</v>
      </c>
      <c r="AF35" s="7" t="e">
        <f t="shared" si="18"/>
        <v>#DIV/0!</v>
      </c>
      <c r="AG35" s="7" t="e">
        <f t="shared" si="19"/>
        <v>#DIV/0!</v>
      </c>
      <c r="AH35" s="7" t="e">
        <f t="shared" si="20"/>
        <v>#DIV/0!</v>
      </c>
      <c r="AI35" s="8" t="e">
        <f t="shared" si="21"/>
        <v>#DIV/0!</v>
      </c>
    </row>
    <row r="36" spans="1:35" ht="33" hidden="1" customHeight="1">
      <c r="A36" s="40">
        <v>0</v>
      </c>
      <c r="B36" s="24"/>
      <c r="C36" s="25"/>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15"/>
        <v>#DIV/0!</v>
      </c>
      <c r="AD36" s="26" t="e">
        <f t="shared" si="16"/>
        <v>#DIV/0!</v>
      </c>
      <c r="AE36" s="19" t="e">
        <f t="shared" si="17"/>
        <v>#DIV/0!</v>
      </c>
      <c r="AF36" s="7" t="e">
        <f t="shared" si="18"/>
        <v>#DIV/0!</v>
      </c>
      <c r="AG36" s="7" t="e">
        <f t="shared" si="19"/>
        <v>#DIV/0!</v>
      </c>
      <c r="AH36" s="7" t="e">
        <f t="shared" si="20"/>
        <v>#DIV/0!</v>
      </c>
      <c r="AI36" s="8" t="e">
        <f t="shared" si="21"/>
        <v>#DIV/0!</v>
      </c>
    </row>
    <row r="37" spans="1:35" ht="33" hidden="1" customHeight="1">
      <c r="A37" s="40">
        <v>0</v>
      </c>
      <c r="B37" s="24"/>
      <c r="C37" s="25"/>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15"/>
        <v>#DIV/0!</v>
      </c>
      <c r="AD37" s="26" t="e">
        <f t="shared" si="16"/>
        <v>#DIV/0!</v>
      </c>
      <c r="AE37" s="19" t="e">
        <f t="shared" si="17"/>
        <v>#DIV/0!</v>
      </c>
      <c r="AF37" s="7" t="e">
        <f t="shared" si="18"/>
        <v>#DIV/0!</v>
      </c>
      <c r="AG37" s="7" t="e">
        <f t="shared" si="19"/>
        <v>#DIV/0!</v>
      </c>
      <c r="AH37" s="7" t="e">
        <f t="shared" si="20"/>
        <v>#DIV/0!</v>
      </c>
      <c r="AI37" s="8" t="e">
        <f t="shared" si="21"/>
        <v>#DIV/0!</v>
      </c>
    </row>
    <row r="38" spans="1:35" ht="33" hidden="1" customHeight="1">
      <c r="A38" s="40">
        <v>0</v>
      </c>
      <c r="B38" s="24"/>
      <c r="C38" s="25"/>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15"/>
        <v>#DIV/0!</v>
      </c>
      <c r="AD38" s="26" t="e">
        <f t="shared" si="16"/>
        <v>#DIV/0!</v>
      </c>
      <c r="AE38" s="19" t="e">
        <f t="shared" si="17"/>
        <v>#DIV/0!</v>
      </c>
      <c r="AF38" s="7" t="e">
        <f t="shared" si="18"/>
        <v>#DIV/0!</v>
      </c>
      <c r="AG38" s="7" t="e">
        <f t="shared" si="19"/>
        <v>#DIV/0!</v>
      </c>
      <c r="AH38" s="7" t="e">
        <f t="shared" si="20"/>
        <v>#DIV/0!</v>
      </c>
      <c r="AI38" s="8" t="e">
        <f t="shared" si="21"/>
        <v>#DIV/0!</v>
      </c>
    </row>
    <row r="39" spans="1:35" ht="33" hidden="1" customHeight="1">
      <c r="A39" s="40">
        <v>0</v>
      </c>
      <c r="B39" s="24"/>
      <c r="C39" s="25"/>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15"/>
        <v>#DIV/0!</v>
      </c>
      <c r="AD39" s="26" t="e">
        <f t="shared" si="16"/>
        <v>#DIV/0!</v>
      </c>
      <c r="AE39" s="19" t="e">
        <f t="shared" si="17"/>
        <v>#DIV/0!</v>
      </c>
      <c r="AF39" s="7" t="e">
        <f t="shared" si="18"/>
        <v>#DIV/0!</v>
      </c>
      <c r="AG39" s="7" t="e">
        <f t="shared" si="19"/>
        <v>#DIV/0!</v>
      </c>
      <c r="AH39" s="7" t="e">
        <f t="shared" si="20"/>
        <v>#DIV/0!</v>
      </c>
      <c r="AI39" s="8" t="e">
        <f t="shared" si="21"/>
        <v>#DIV/0!</v>
      </c>
    </row>
    <row r="40" spans="1:35" ht="33" hidden="1" customHeight="1">
      <c r="A40" s="40">
        <v>0</v>
      </c>
      <c r="B40" s="24"/>
      <c r="C40" s="25"/>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15"/>
        <v>#DIV/0!</v>
      </c>
      <c r="AD40" s="26" t="e">
        <f t="shared" si="16"/>
        <v>#DIV/0!</v>
      </c>
      <c r="AE40" s="19" t="e">
        <f t="shared" si="17"/>
        <v>#DIV/0!</v>
      </c>
      <c r="AF40" s="7" t="e">
        <f t="shared" si="18"/>
        <v>#DIV/0!</v>
      </c>
      <c r="AG40" s="7" t="e">
        <f t="shared" si="19"/>
        <v>#DIV/0!</v>
      </c>
      <c r="AH40" s="7" t="e">
        <f t="shared" si="20"/>
        <v>#DIV/0!</v>
      </c>
      <c r="AI40" s="8" t="e">
        <f t="shared" si="21"/>
        <v>#DIV/0!</v>
      </c>
    </row>
    <row r="41" spans="1:35" ht="33" hidden="1" customHeight="1">
      <c r="A41" s="40">
        <v>0</v>
      </c>
      <c r="B41" s="24"/>
      <c r="C41" s="25"/>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15"/>
        <v>#DIV/0!</v>
      </c>
      <c r="AD41" s="26" t="e">
        <f t="shared" si="16"/>
        <v>#DIV/0!</v>
      </c>
      <c r="AE41" s="19" t="e">
        <f t="shared" si="17"/>
        <v>#DIV/0!</v>
      </c>
      <c r="AF41" s="7" t="e">
        <f t="shared" si="18"/>
        <v>#DIV/0!</v>
      </c>
      <c r="AG41" s="7" t="e">
        <f t="shared" si="19"/>
        <v>#DIV/0!</v>
      </c>
      <c r="AH41" s="7" t="e">
        <f t="shared" si="20"/>
        <v>#DIV/0!</v>
      </c>
      <c r="AI41" s="8" t="e">
        <f t="shared" si="21"/>
        <v>#DIV/0!</v>
      </c>
    </row>
    <row r="42" spans="1:35" ht="33" hidden="1" customHeight="1">
      <c r="A42" s="40">
        <v>0</v>
      </c>
      <c r="B42" s="24"/>
      <c r="C42" s="25"/>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15"/>
        <v>#DIV/0!</v>
      </c>
      <c r="AD42" s="26" t="e">
        <f t="shared" si="16"/>
        <v>#DIV/0!</v>
      </c>
      <c r="AE42" s="19" t="e">
        <f t="shared" si="17"/>
        <v>#DIV/0!</v>
      </c>
      <c r="AF42" s="7" t="e">
        <f t="shared" si="18"/>
        <v>#DIV/0!</v>
      </c>
      <c r="AG42" s="7" t="e">
        <f t="shared" si="19"/>
        <v>#DIV/0!</v>
      </c>
      <c r="AH42" s="7" t="e">
        <f t="shared" si="20"/>
        <v>#DIV/0!</v>
      </c>
      <c r="AI42" s="8" t="e">
        <f t="shared" si="21"/>
        <v>#DIV/0!</v>
      </c>
    </row>
    <row r="43" spans="1:35" ht="33" hidden="1" customHeight="1">
      <c r="A43" s="40">
        <v>0</v>
      </c>
      <c r="B43" s="24"/>
      <c r="C43" s="25"/>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15"/>
        <v>#DIV/0!</v>
      </c>
      <c r="AD43" s="26" t="e">
        <f t="shared" si="16"/>
        <v>#DIV/0!</v>
      </c>
      <c r="AE43" s="19" t="e">
        <f t="shared" si="17"/>
        <v>#DIV/0!</v>
      </c>
      <c r="AF43" s="7" t="e">
        <f t="shared" si="18"/>
        <v>#DIV/0!</v>
      </c>
      <c r="AG43" s="7" t="e">
        <f t="shared" si="19"/>
        <v>#DIV/0!</v>
      </c>
      <c r="AH43" s="7" t="e">
        <f t="shared" si="20"/>
        <v>#DIV/0!</v>
      </c>
      <c r="AI43" s="8" t="e">
        <f t="shared" si="21"/>
        <v>#DIV/0!</v>
      </c>
    </row>
    <row r="44" spans="1:35" ht="33" hidden="1" customHeight="1">
      <c r="A44" s="40">
        <v>0</v>
      </c>
      <c r="B44" s="24"/>
      <c r="C44" s="25"/>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15"/>
        <v>#DIV/0!</v>
      </c>
      <c r="AD44" s="26" t="e">
        <f t="shared" si="16"/>
        <v>#DIV/0!</v>
      </c>
      <c r="AE44" s="19" t="e">
        <f t="shared" si="17"/>
        <v>#DIV/0!</v>
      </c>
      <c r="AF44" s="7" t="e">
        <f t="shared" si="18"/>
        <v>#DIV/0!</v>
      </c>
      <c r="AG44" s="7" t="e">
        <f t="shared" si="19"/>
        <v>#DIV/0!</v>
      </c>
      <c r="AH44" s="7" t="e">
        <f t="shared" si="20"/>
        <v>#DIV/0!</v>
      </c>
      <c r="AI44" s="8" t="e">
        <f t="shared" si="21"/>
        <v>#DIV/0!</v>
      </c>
    </row>
    <row r="45" spans="1:35" ht="33" hidden="1" customHeight="1">
      <c r="A45" s="40">
        <v>0</v>
      </c>
      <c r="B45" s="24"/>
      <c r="C45" s="25"/>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15"/>
        <v>#DIV/0!</v>
      </c>
      <c r="AD45" s="26" t="e">
        <f t="shared" si="16"/>
        <v>#DIV/0!</v>
      </c>
      <c r="AE45" s="19" t="e">
        <f t="shared" si="17"/>
        <v>#DIV/0!</v>
      </c>
      <c r="AF45" s="7" t="e">
        <f t="shared" si="18"/>
        <v>#DIV/0!</v>
      </c>
      <c r="AG45" s="7" t="e">
        <f t="shared" si="19"/>
        <v>#DIV/0!</v>
      </c>
      <c r="AH45" s="7" t="e">
        <f t="shared" si="20"/>
        <v>#DIV/0!</v>
      </c>
      <c r="AI45" s="8" t="e">
        <f t="shared" si="21"/>
        <v>#DIV/0!</v>
      </c>
    </row>
    <row r="46" spans="1:35" ht="33" hidden="1" customHeight="1">
      <c r="A46" s="40">
        <v>0</v>
      </c>
      <c r="B46" s="24"/>
      <c r="C46" s="25"/>
      <c r="D46" s="24"/>
      <c r="E46" s="24"/>
      <c r="F46" s="24"/>
      <c r="G46" s="24"/>
      <c r="H46" s="24"/>
      <c r="I46" s="24"/>
      <c r="J46" s="24"/>
      <c r="K46" s="24"/>
      <c r="L46" s="24"/>
      <c r="M46" s="24"/>
      <c r="N46" s="24"/>
      <c r="O46" s="24"/>
      <c r="P46" s="24"/>
      <c r="Q46" s="24"/>
      <c r="R46" s="24"/>
      <c r="S46" s="24"/>
      <c r="T46" s="24"/>
      <c r="U46" s="26">
        <f t="shared" ref="U46:U68" si="22">SUM(D46:T46)</f>
        <v>0</v>
      </c>
      <c r="V46" s="26">
        <f t="shared" ref="V46:V68" si="23">IF($D$12="CO1",D46,0)+IF($E$12="CO1",E46,0)+IF($F$12="CO1",F46,0)+IF($G$12="CO1",G46,0)+IF($H$12="CO1",H46,0)+IF($I$12="CO1",I46,0)+IF($J$12="CO1",J46,0)+IF($K$12="CO1",K46,0)+IF($L$12="CO1",L46,0)+IF($M$12="CO1",M46,0)+IF($N$12="CO1",N46,0)+IF($O$12="CO1",O46,0)+IF($P$12="CO1",P46,0)+IF($Q$12="CO1",Q46,0)+IF($R$12="CO1",R46,0)+IF($S$12="CO1",S46,0)+IF($T$12="CO1",T46,0)</f>
        <v>0</v>
      </c>
      <c r="W46" s="26">
        <f t="shared" ref="W46:W68" si="24">IF($D$12="CO2",D46,0)+IF($E$12="CO2",E46,0)+IF($F$12="CO2",F46,0)+IF($G$12="CO2",G46,0)+IF($H$12="CO2",H46,0)+IF($I$12="CO2",I46,0)+IF($J$12="CO2",J46,0)+IF($K$12="CO2",K46,0)+IF($L$12="CO2",L46,0)+IF($M$12="CO2",M46,0)+IF($N$12="CO2",N46,0)+IF($O$12="CO2",O46,0)+IF($P$12="CO2",P46,0)+IF($Q$12="CO2",Q46,0)+IF($R$12="CO2",R46,0)+IF($S$12="CO2",S46,0)+IF($T$12="CO2",T46,0)</f>
        <v>0</v>
      </c>
      <c r="X46" s="26">
        <f t="shared" ref="X46:X68" si="25">IF($D$12="CO3",D46,0)+IF($E$12="CO3",E46,0)+IF($F$12="CO3",F46,0)+IF($G$12="CO3",G46,0)+IF($H$12="CO3",H46,0)+IF($I$12="CO3",I46,0)+IF($J$12="CO3",J46,0)+IF($K$12="CO3",K46,0)+IF($L$12="CO3",L46,0)+IF($M$12="CO3",M46,0)+IF($N$12="CO3",N46,0)+IF($O$12="CO3",O46,0)+IF($P$12="CO3",P46,0)+IF($Q$12="CO3",Q46,0)+IF($R$12="CO3",R46,0)+IF($S$12="CO3",S46,0)+IF($T$12="CO3",T46,0)</f>
        <v>0</v>
      </c>
      <c r="Y46" s="26">
        <f t="shared" ref="Y46:Y68" si="26">IF($D$12="CO4",D46,0)+IF($E$12="CO4",E46,0)+IF($F$12="CO4",F46,0)+IF($G$12="CO4",G46,0)+IF($H$12="CO4",H46,0)+IF($I$12="CO4",I46,0)+IF($J$12="CO4",J46,0)+IF($K$12="CO4",K46,0)+IF($L$12="CO4",L46,0)+IF($M$12="CO4",M46,0)+IF($N$12="CO4",N46,0)+IF($O$12="CO4",O46,0)+IF($P$12="CO4",P46,0)+IF($Q$12="CO4",Q46,0)+IF($R$12="CO4",R46,0)+IF($S$12="CO4",S46,0)+IF($T$12="CO4",T46,0)</f>
        <v>0</v>
      </c>
      <c r="Z46" s="26">
        <f t="shared" ref="Z46:Z68" si="27">IF($D$12="CO5",D46,0)+IF($E$12="CO5",E46,0)+IF($F$12="CO5",F46,0)+IF($G$12="CO5",G46,0)+IF($H$12="CO5",H46,0)+IF($I$12="CO5",I46,0)+IF($J$12="CO5",J46,0)+IF($K$12="CO5",K46,0)+IF($L$12="CO5",L46,0)+IF($M$12="CO5",M46,0)+IF($N$12="CO5",N46,0)+IF($O$12="CO5",O46,0)+IF($P$12="CO5",P46,0)+IF($Q$12="CO5",Q46,0)+IF($R$12="CO5",R46,0)+IF($S$12="CO5",S46,0)+IF($T$12="CO5",T46,0)</f>
        <v>0</v>
      </c>
      <c r="AA46" s="26">
        <f t="shared" ref="AA46:AA68" si="28">IF($D$12="CO6",D46,0)+IF($E$12="CO6",E46,0)+IF($F$12="CO6",F46,0)+IF($G$12="CO6",G46,0)+IF($H$12="CO6",H46,0)+IF($I$12="CO6",I46,0)+IF($J$12="CO6",J46,0)+IF($K$12="CO6",K46,0)+IF($L$12="CO6",L46,0)+IF($M$12="CO6",M46,0)+IF($N$12="CO6",N46,0)+IF($O$12="CO6",O46,0)+IF($P$12="CO6",P46,0)+IF($Q$12="CO6",Q46,0)+IF($R$12="CO6",R46,0)+IF($S$12="CO6",S46,0)+IF($T$12="CO6",T46,0)</f>
        <v>0</v>
      </c>
      <c r="AB46" s="26">
        <f t="shared" ref="AB46:AB68" si="29">IF($D$12="CO7",D46,0)+IF($E$12="CO7",E46,0)+IF($F$12="CO7",F46,0)+IF($G$12="CO7",G46,0)+IF($H$12="CO7",H46,0)+IF($I$12="CO7",I46,0)+IF($J$12="CO7",J46,0)+IF($K$12="CO7",K46,0)+IF($L$12="CO7",L46,0)+IF($M$12="CO7",M46,0)+IF($N$12="CO7",N46,0)+IF($O$12="CO7",O46,0)+IF($P$12="CO7",P46,0)+IF($Q$12="CO7",Q46,0)+IF($R$12="CO7",R46,0)+IF($S$12="CO7",S46,0)+IF($T$12="CO7",T46,0)</f>
        <v>0</v>
      </c>
      <c r="AC46" s="26" t="e">
        <f t="shared" si="15"/>
        <v>#DIV/0!</v>
      </c>
      <c r="AD46" s="26" t="e">
        <f t="shared" si="16"/>
        <v>#DIV/0!</v>
      </c>
      <c r="AE46" s="19" t="e">
        <f t="shared" si="17"/>
        <v>#DIV/0!</v>
      </c>
      <c r="AF46" s="7" t="e">
        <f t="shared" si="18"/>
        <v>#DIV/0!</v>
      </c>
      <c r="AG46" s="7" t="e">
        <f t="shared" si="19"/>
        <v>#DIV/0!</v>
      </c>
      <c r="AH46" s="7" t="e">
        <f t="shared" si="20"/>
        <v>#DIV/0!</v>
      </c>
      <c r="AI46" s="8" t="e">
        <f t="shared" si="21"/>
        <v>#DIV/0!</v>
      </c>
    </row>
    <row r="47" spans="1:35" ht="33" hidden="1" customHeight="1">
      <c r="A47" s="40">
        <v>0</v>
      </c>
      <c r="B47" s="24"/>
      <c r="C47" s="25"/>
      <c r="D47" s="24"/>
      <c r="E47" s="24"/>
      <c r="F47" s="24"/>
      <c r="G47" s="24"/>
      <c r="H47" s="24"/>
      <c r="I47" s="24"/>
      <c r="J47" s="24"/>
      <c r="K47" s="24"/>
      <c r="L47" s="24"/>
      <c r="M47" s="24"/>
      <c r="N47" s="24"/>
      <c r="O47" s="24"/>
      <c r="P47" s="24"/>
      <c r="Q47" s="24"/>
      <c r="R47" s="24"/>
      <c r="S47" s="24"/>
      <c r="T47" s="24"/>
      <c r="U47" s="26">
        <f t="shared" si="22"/>
        <v>0</v>
      </c>
      <c r="V47" s="26">
        <f t="shared" si="23"/>
        <v>0</v>
      </c>
      <c r="W47" s="26">
        <f t="shared" si="24"/>
        <v>0</v>
      </c>
      <c r="X47" s="26">
        <f t="shared" si="25"/>
        <v>0</v>
      </c>
      <c r="Y47" s="26">
        <f t="shared" si="26"/>
        <v>0</v>
      </c>
      <c r="Z47" s="26">
        <f t="shared" si="27"/>
        <v>0</v>
      </c>
      <c r="AA47" s="26">
        <f t="shared" si="28"/>
        <v>0</v>
      </c>
      <c r="AB47" s="26">
        <f t="shared" si="29"/>
        <v>0</v>
      </c>
      <c r="AC47" s="26" t="e">
        <f t="shared" si="15"/>
        <v>#DIV/0!</v>
      </c>
      <c r="AD47" s="26" t="e">
        <f t="shared" si="16"/>
        <v>#DIV/0!</v>
      </c>
      <c r="AE47" s="19" t="e">
        <f t="shared" si="17"/>
        <v>#DIV/0!</v>
      </c>
      <c r="AF47" s="7" t="e">
        <f t="shared" si="18"/>
        <v>#DIV/0!</v>
      </c>
      <c r="AG47" s="7" t="e">
        <f t="shared" si="19"/>
        <v>#DIV/0!</v>
      </c>
      <c r="AH47" s="7" t="e">
        <f t="shared" si="20"/>
        <v>#DIV/0!</v>
      </c>
      <c r="AI47" s="8" t="e">
        <f t="shared" si="21"/>
        <v>#DIV/0!</v>
      </c>
    </row>
    <row r="48" spans="1:35" ht="33" hidden="1" customHeight="1">
      <c r="A48" s="40">
        <v>0</v>
      </c>
      <c r="B48" s="24"/>
      <c r="C48" s="25"/>
      <c r="D48" s="24"/>
      <c r="E48" s="24"/>
      <c r="F48" s="24"/>
      <c r="G48" s="24"/>
      <c r="H48" s="24"/>
      <c r="I48" s="24"/>
      <c r="J48" s="24"/>
      <c r="K48" s="24"/>
      <c r="L48" s="24"/>
      <c r="M48" s="24"/>
      <c r="N48" s="24"/>
      <c r="O48" s="24"/>
      <c r="P48" s="24"/>
      <c r="Q48" s="24"/>
      <c r="R48" s="24"/>
      <c r="S48" s="24"/>
      <c r="T48" s="24"/>
      <c r="U48" s="26">
        <f t="shared" si="22"/>
        <v>0</v>
      </c>
      <c r="V48" s="26">
        <f t="shared" si="23"/>
        <v>0</v>
      </c>
      <c r="W48" s="26">
        <f t="shared" si="24"/>
        <v>0</v>
      </c>
      <c r="X48" s="26">
        <f t="shared" si="25"/>
        <v>0</v>
      </c>
      <c r="Y48" s="26">
        <f t="shared" si="26"/>
        <v>0</v>
      </c>
      <c r="Z48" s="26">
        <f t="shared" si="27"/>
        <v>0</v>
      </c>
      <c r="AA48" s="26">
        <f t="shared" si="28"/>
        <v>0</v>
      </c>
      <c r="AB48" s="26">
        <f t="shared" si="29"/>
        <v>0</v>
      </c>
      <c r="AC48" s="26" t="e">
        <f t="shared" si="15"/>
        <v>#DIV/0!</v>
      </c>
      <c r="AD48" s="26" t="e">
        <f t="shared" si="16"/>
        <v>#DIV/0!</v>
      </c>
      <c r="AE48" s="19" t="e">
        <f t="shared" si="17"/>
        <v>#DIV/0!</v>
      </c>
      <c r="AF48" s="7" t="e">
        <f t="shared" si="18"/>
        <v>#DIV/0!</v>
      </c>
      <c r="AG48" s="7" t="e">
        <f t="shared" si="19"/>
        <v>#DIV/0!</v>
      </c>
      <c r="AH48" s="7" t="e">
        <f t="shared" si="20"/>
        <v>#DIV/0!</v>
      </c>
      <c r="AI48" s="8" t="e">
        <f t="shared" si="21"/>
        <v>#DIV/0!</v>
      </c>
    </row>
    <row r="49" spans="1:35" ht="33" hidden="1" customHeight="1">
      <c r="A49" s="40">
        <v>0</v>
      </c>
      <c r="B49" s="24"/>
      <c r="C49" s="25"/>
      <c r="D49" s="24"/>
      <c r="E49" s="24"/>
      <c r="F49" s="24"/>
      <c r="G49" s="24"/>
      <c r="H49" s="24"/>
      <c r="I49" s="24"/>
      <c r="J49" s="24"/>
      <c r="K49" s="24"/>
      <c r="L49" s="24"/>
      <c r="M49" s="24"/>
      <c r="N49" s="24"/>
      <c r="O49" s="24"/>
      <c r="P49" s="24"/>
      <c r="Q49" s="24"/>
      <c r="R49" s="24"/>
      <c r="S49" s="24"/>
      <c r="T49" s="24"/>
      <c r="U49" s="26">
        <f t="shared" si="22"/>
        <v>0</v>
      </c>
      <c r="V49" s="26">
        <f t="shared" si="23"/>
        <v>0</v>
      </c>
      <c r="W49" s="26">
        <f t="shared" si="24"/>
        <v>0</v>
      </c>
      <c r="X49" s="26">
        <f t="shared" si="25"/>
        <v>0</v>
      </c>
      <c r="Y49" s="26">
        <f t="shared" si="26"/>
        <v>0</v>
      </c>
      <c r="Z49" s="26">
        <f t="shared" si="27"/>
        <v>0</v>
      </c>
      <c r="AA49" s="26">
        <f t="shared" si="28"/>
        <v>0</v>
      </c>
      <c r="AB49" s="26">
        <f t="shared" si="29"/>
        <v>0</v>
      </c>
      <c r="AC49" s="26" t="e">
        <f t="shared" si="15"/>
        <v>#DIV/0!</v>
      </c>
      <c r="AD49" s="26" t="e">
        <f t="shared" si="16"/>
        <v>#DIV/0!</v>
      </c>
      <c r="AE49" s="19" t="e">
        <f t="shared" si="17"/>
        <v>#DIV/0!</v>
      </c>
      <c r="AF49" s="7" t="e">
        <f t="shared" si="18"/>
        <v>#DIV/0!</v>
      </c>
      <c r="AG49" s="7" t="e">
        <f t="shared" si="19"/>
        <v>#DIV/0!</v>
      </c>
      <c r="AH49" s="7" t="e">
        <f t="shared" si="20"/>
        <v>#DIV/0!</v>
      </c>
      <c r="AI49" s="8" t="e">
        <f t="shared" si="21"/>
        <v>#DIV/0!</v>
      </c>
    </row>
    <row r="50" spans="1:35" ht="33" hidden="1" customHeight="1">
      <c r="A50" s="40">
        <v>0</v>
      </c>
      <c r="B50" s="24"/>
      <c r="C50" s="25"/>
      <c r="D50" s="24"/>
      <c r="E50" s="24"/>
      <c r="F50" s="24"/>
      <c r="G50" s="24"/>
      <c r="H50" s="24"/>
      <c r="I50" s="24"/>
      <c r="J50" s="24"/>
      <c r="K50" s="24"/>
      <c r="L50" s="24"/>
      <c r="M50" s="24"/>
      <c r="N50" s="24"/>
      <c r="O50" s="24"/>
      <c r="P50" s="24"/>
      <c r="Q50" s="24"/>
      <c r="R50" s="24"/>
      <c r="S50" s="24"/>
      <c r="T50" s="24"/>
      <c r="U50" s="26">
        <f t="shared" si="22"/>
        <v>0</v>
      </c>
      <c r="V50" s="26">
        <f t="shared" si="23"/>
        <v>0</v>
      </c>
      <c r="W50" s="26">
        <f t="shared" si="24"/>
        <v>0</v>
      </c>
      <c r="X50" s="26">
        <f t="shared" si="25"/>
        <v>0</v>
      </c>
      <c r="Y50" s="26">
        <f t="shared" si="26"/>
        <v>0</v>
      </c>
      <c r="Z50" s="26">
        <f t="shared" si="27"/>
        <v>0</v>
      </c>
      <c r="AA50" s="26">
        <f t="shared" si="28"/>
        <v>0</v>
      </c>
      <c r="AB50" s="26">
        <f t="shared" si="29"/>
        <v>0</v>
      </c>
      <c r="AC50" s="26" t="e">
        <f t="shared" si="15"/>
        <v>#DIV/0!</v>
      </c>
      <c r="AD50" s="26" t="e">
        <f t="shared" si="16"/>
        <v>#DIV/0!</v>
      </c>
      <c r="AE50" s="19" t="e">
        <f t="shared" si="17"/>
        <v>#DIV/0!</v>
      </c>
      <c r="AF50" s="7" t="e">
        <f t="shared" si="18"/>
        <v>#DIV/0!</v>
      </c>
      <c r="AG50" s="7" t="e">
        <f t="shared" si="19"/>
        <v>#DIV/0!</v>
      </c>
      <c r="AH50" s="7" t="e">
        <f t="shared" si="20"/>
        <v>#DIV/0!</v>
      </c>
      <c r="AI50" s="8" t="e">
        <f t="shared" si="21"/>
        <v>#DIV/0!</v>
      </c>
    </row>
    <row r="51" spans="1:35" ht="33" hidden="1" customHeight="1">
      <c r="A51" s="40">
        <v>0</v>
      </c>
      <c r="B51" s="24"/>
      <c r="C51" s="25"/>
      <c r="D51" s="24"/>
      <c r="E51" s="24"/>
      <c r="F51" s="24"/>
      <c r="G51" s="24"/>
      <c r="H51" s="24"/>
      <c r="I51" s="24"/>
      <c r="J51" s="24"/>
      <c r="K51" s="24"/>
      <c r="L51" s="24"/>
      <c r="M51" s="24"/>
      <c r="N51" s="24"/>
      <c r="O51" s="24"/>
      <c r="P51" s="24"/>
      <c r="Q51" s="24"/>
      <c r="R51" s="24"/>
      <c r="S51" s="24"/>
      <c r="T51" s="24"/>
      <c r="U51" s="26">
        <f t="shared" si="22"/>
        <v>0</v>
      </c>
      <c r="V51" s="26">
        <f t="shared" si="23"/>
        <v>0</v>
      </c>
      <c r="W51" s="26">
        <f t="shared" si="24"/>
        <v>0</v>
      </c>
      <c r="X51" s="26">
        <f t="shared" si="25"/>
        <v>0</v>
      </c>
      <c r="Y51" s="26">
        <f t="shared" si="26"/>
        <v>0</v>
      </c>
      <c r="Z51" s="26">
        <f t="shared" si="27"/>
        <v>0</v>
      </c>
      <c r="AA51" s="26">
        <f t="shared" si="28"/>
        <v>0</v>
      </c>
      <c r="AB51" s="26">
        <f t="shared" si="29"/>
        <v>0</v>
      </c>
      <c r="AC51" s="26" t="e">
        <f t="shared" si="15"/>
        <v>#DIV/0!</v>
      </c>
      <c r="AD51" s="26" t="e">
        <f t="shared" si="16"/>
        <v>#DIV/0!</v>
      </c>
      <c r="AE51" s="19" t="e">
        <f t="shared" si="17"/>
        <v>#DIV/0!</v>
      </c>
      <c r="AF51" s="7" t="e">
        <f t="shared" si="18"/>
        <v>#DIV/0!</v>
      </c>
      <c r="AG51" s="7" t="e">
        <f t="shared" si="19"/>
        <v>#DIV/0!</v>
      </c>
      <c r="AH51" s="7" t="e">
        <f t="shared" si="20"/>
        <v>#DIV/0!</v>
      </c>
      <c r="AI51" s="8" t="e">
        <f t="shared" si="21"/>
        <v>#DIV/0!</v>
      </c>
    </row>
    <row r="52" spans="1:35" ht="33" hidden="1" customHeight="1">
      <c r="A52" s="40">
        <v>0</v>
      </c>
      <c r="B52" s="24"/>
      <c r="C52" s="25"/>
      <c r="D52" s="24"/>
      <c r="E52" s="24"/>
      <c r="F52" s="24"/>
      <c r="G52" s="24"/>
      <c r="H52" s="24"/>
      <c r="I52" s="24"/>
      <c r="J52" s="24"/>
      <c r="K52" s="24"/>
      <c r="L52" s="24"/>
      <c r="M52" s="24"/>
      <c r="N52" s="24"/>
      <c r="O52" s="24"/>
      <c r="P52" s="24"/>
      <c r="Q52" s="24"/>
      <c r="R52" s="24"/>
      <c r="S52" s="24"/>
      <c r="T52" s="24"/>
      <c r="U52" s="26">
        <f t="shared" si="22"/>
        <v>0</v>
      </c>
      <c r="V52" s="26">
        <f t="shared" si="23"/>
        <v>0</v>
      </c>
      <c r="W52" s="26">
        <f t="shared" si="24"/>
        <v>0</v>
      </c>
      <c r="X52" s="26">
        <f t="shared" si="25"/>
        <v>0</v>
      </c>
      <c r="Y52" s="26">
        <f t="shared" si="26"/>
        <v>0</v>
      </c>
      <c r="Z52" s="26">
        <f t="shared" si="27"/>
        <v>0</v>
      </c>
      <c r="AA52" s="26">
        <f t="shared" si="28"/>
        <v>0</v>
      </c>
      <c r="AB52" s="26">
        <f t="shared" si="29"/>
        <v>0</v>
      </c>
      <c r="AC52" s="26" t="e">
        <f t="shared" si="15"/>
        <v>#DIV/0!</v>
      </c>
      <c r="AD52" s="26" t="e">
        <f t="shared" si="16"/>
        <v>#DIV/0!</v>
      </c>
      <c r="AE52" s="19" t="e">
        <f t="shared" si="17"/>
        <v>#DIV/0!</v>
      </c>
      <c r="AF52" s="7" t="e">
        <f t="shared" si="18"/>
        <v>#DIV/0!</v>
      </c>
      <c r="AG52" s="7" t="e">
        <f t="shared" si="19"/>
        <v>#DIV/0!</v>
      </c>
      <c r="AH52" s="7" t="e">
        <f t="shared" si="20"/>
        <v>#DIV/0!</v>
      </c>
      <c r="AI52" s="8" t="e">
        <f t="shared" si="21"/>
        <v>#DIV/0!</v>
      </c>
    </row>
    <row r="53" spans="1:35" ht="33" hidden="1" customHeight="1">
      <c r="A53" s="40">
        <v>0</v>
      </c>
      <c r="B53" s="24"/>
      <c r="C53" s="25"/>
      <c r="D53" s="24"/>
      <c r="E53" s="24"/>
      <c r="F53" s="24"/>
      <c r="G53" s="24"/>
      <c r="H53" s="24"/>
      <c r="I53" s="24"/>
      <c r="J53" s="24"/>
      <c r="K53" s="24"/>
      <c r="L53" s="24"/>
      <c r="M53" s="24"/>
      <c r="N53" s="24"/>
      <c r="O53" s="24"/>
      <c r="P53" s="24"/>
      <c r="Q53" s="24"/>
      <c r="R53" s="24"/>
      <c r="S53" s="24"/>
      <c r="T53" s="24"/>
      <c r="U53" s="26">
        <f t="shared" si="22"/>
        <v>0</v>
      </c>
      <c r="V53" s="26">
        <f t="shared" si="23"/>
        <v>0</v>
      </c>
      <c r="W53" s="26">
        <f t="shared" si="24"/>
        <v>0</v>
      </c>
      <c r="X53" s="26">
        <f t="shared" si="25"/>
        <v>0</v>
      </c>
      <c r="Y53" s="26">
        <f t="shared" si="26"/>
        <v>0</v>
      </c>
      <c r="Z53" s="26">
        <f t="shared" si="27"/>
        <v>0</v>
      </c>
      <c r="AA53" s="26">
        <f t="shared" si="28"/>
        <v>0</v>
      </c>
      <c r="AB53" s="26">
        <f t="shared" si="29"/>
        <v>0</v>
      </c>
      <c r="AC53" s="26" t="e">
        <f t="shared" si="15"/>
        <v>#DIV/0!</v>
      </c>
      <c r="AD53" s="26" t="e">
        <f t="shared" si="16"/>
        <v>#DIV/0!</v>
      </c>
      <c r="AE53" s="19" t="e">
        <f t="shared" si="17"/>
        <v>#DIV/0!</v>
      </c>
      <c r="AF53" s="7" t="e">
        <f t="shared" si="18"/>
        <v>#DIV/0!</v>
      </c>
      <c r="AG53" s="7" t="e">
        <f t="shared" si="19"/>
        <v>#DIV/0!</v>
      </c>
      <c r="AH53" s="7" t="e">
        <f t="shared" si="20"/>
        <v>#DIV/0!</v>
      </c>
      <c r="AI53" s="8" t="e">
        <f t="shared" si="21"/>
        <v>#DIV/0!</v>
      </c>
    </row>
    <row r="54" spans="1:35" ht="33" hidden="1" customHeight="1">
      <c r="A54" s="40">
        <v>0</v>
      </c>
      <c r="B54" s="24"/>
      <c r="C54" s="25"/>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15"/>
        <v>#DIV/0!</v>
      </c>
      <c r="AD54" s="26" t="e">
        <f t="shared" si="16"/>
        <v>#DIV/0!</v>
      </c>
      <c r="AE54" s="19" t="e">
        <f t="shared" si="17"/>
        <v>#DIV/0!</v>
      </c>
      <c r="AF54" s="7" t="e">
        <f t="shared" si="18"/>
        <v>#DIV/0!</v>
      </c>
      <c r="AG54" s="7" t="e">
        <f t="shared" si="19"/>
        <v>#DIV/0!</v>
      </c>
      <c r="AH54" s="7" t="e">
        <f t="shared" si="20"/>
        <v>#DIV/0!</v>
      </c>
      <c r="AI54" s="8" t="e">
        <f t="shared" si="21"/>
        <v>#DIV/0!</v>
      </c>
    </row>
    <row r="55" spans="1:35" ht="33" hidden="1" customHeight="1">
      <c r="A55" s="40">
        <v>0</v>
      </c>
      <c r="B55" s="24"/>
      <c r="C55" s="25"/>
      <c r="D55" s="24"/>
      <c r="E55" s="24"/>
      <c r="F55" s="24"/>
      <c r="G55" s="24"/>
      <c r="H55" s="24"/>
      <c r="I55" s="24"/>
      <c r="J55" s="24"/>
      <c r="K55" s="24"/>
      <c r="L55" s="24"/>
      <c r="M55" s="24"/>
      <c r="N55" s="24"/>
      <c r="O55" s="24"/>
      <c r="P55" s="24"/>
      <c r="Q55" s="24"/>
      <c r="R55" s="24"/>
      <c r="S55" s="24"/>
      <c r="T55" s="24"/>
      <c r="U55" s="26">
        <f t="shared" si="22"/>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15"/>
        <v>#DIV/0!</v>
      </c>
      <c r="AD55" s="26" t="e">
        <f t="shared" si="16"/>
        <v>#DIV/0!</v>
      </c>
      <c r="AE55" s="19" t="e">
        <f t="shared" si="17"/>
        <v>#DIV/0!</v>
      </c>
      <c r="AF55" s="7" t="e">
        <f t="shared" si="18"/>
        <v>#DIV/0!</v>
      </c>
      <c r="AG55" s="7" t="e">
        <f t="shared" si="19"/>
        <v>#DIV/0!</v>
      </c>
      <c r="AH55" s="7" t="e">
        <f t="shared" si="20"/>
        <v>#DIV/0!</v>
      </c>
      <c r="AI55" s="8" t="e">
        <f t="shared" si="21"/>
        <v>#DIV/0!</v>
      </c>
    </row>
    <row r="56" spans="1:35" ht="33" hidden="1" customHeight="1">
      <c r="A56" s="40">
        <v>0</v>
      </c>
      <c r="B56" s="24"/>
      <c r="C56" s="25"/>
      <c r="D56" s="24"/>
      <c r="E56" s="24"/>
      <c r="F56" s="24"/>
      <c r="G56" s="24"/>
      <c r="H56" s="24"/>
      <c r="I56" s="24"/>
      <c r="J56" s="24"/>
      <c r="K56" s="24"/>
      <c r="L56" s="24"/>
      <c r="M56" s="24"/>
      <c r="N56" s="24"/>
      <c r="O56" s="24"/>
      <c r="P56" s="24"/>
      <c r="Q56" s="24"/>
      <c r="R56" s="24"/>
      <c r="S56" s="24"/>
      <c r="T56" s="24"/>
      <c r="U56" s="26">
        <f t="shared" si="22"/>
        <v>0</v>
      </c>
      <c r="V56" s="26">
        <f t="shared" si="23"/>
        <v>0</v>
      </c>
      <c r="W56" s="26">
        <f t="shared" si="24"/>
        <v>0</v>
      </c>
      <c r="X56" s="26">
        <f t="shared" si="25"/>
        <v>0</v>
      </c>
      <c r="Y56" s="26">
        <f t="shared" si="26"/>
        <v>0</v>
      </c>
      <c r="Z56" s="26">
        <f t="shared" si="27"/>
        <v>0</v>
      </c>
      <c r="AA56" s="26">
        <f t="shared" si="28"/>
        <v>0</v>
      </c>
      <c r="AB56" s="26">
        <f t="shared" si="29"/>
        <v>0</v>
      </c>
      <c r="AC56" s="26" t="e">
        <f t="shared" si="15"/>
        <v>#DIV/0!</v>
      </c>
      <c r="AD56" s="26" t="e">
        <f t="shared" si="16"/>
        <v>#DIV/0!</v>
      </c>
      <c r="AE56" s="19" t="e">
        <f t="shared" si="17"/>
        <v>#DIV/0!</v>
      </c>
      <c r="AF56" s="7" t="e">
        <f t="shared" si="18"/>
        <v>#DIV/0!</v>
      </c>
      <c r="AG56" s="7" t="e">
        <f t="shared" si="19"/>
        <v>#DIV/0!</v>
      </c>
      <c r="AH56" s="7" t="e">
        <f t="shared" si="20"/>
        <v>#DIV/0!</v>
      </c>
      <c r="AI56" s="8" t="e">
        <f t="shared" si="21"/>
        <v>#DIV/0!</v>
      </c>
    </row>
    <row r="57" spans="1:35" ht="33" hidden="1" customHeight="1">
      <c r="A57" s="40">
        <v>0</v>
      </c>
      <c r="B57" s="24"/>
      <c r="C57" s="25"/>
      <c r="D57" s="24"/>
      <c r="E57" s="24"/>
      <c r="F57" s="24"/>
      <c r="G57" s="24"/>
      <c r="H57" s="24"/>
      <c r="I57" s="24"/>
      <c r="J57" s="24"/>
      <c r="K57" s="24"/>
      <c r="L57" s="24"/>
      <c r="M57" s="24"/>
      <c r="N57" s="24"/>
      <c r="O57" s="24"/>
      <c r="P57" s="24"/>
      <c r="Q57" s="24"/>
      <c r="R57" s="24"/>
      <c r="S57" s="24"/>
      <c r="T57" s="24"/>
      <c r="U57" s="26">
        <f t="shared" si="22"/>
        <v>0</v>
      </c>
      <c r="V57" s="26">
        <f t="shared" si="23"/>
        <v>0</v>
      </c>
      <c r="W57" s="26">
        <f t="shared" si="24"/>
        <v>0</v>
      </c>
      <c r="X57" s="26">
        <f t="shared" si="25"/>
        <v>0</v>
      </c>
      <c r="Y57" s="26">
        <f t="shared" si="26"/>
        <v>0</v>
      </c>
      <c r="Z57" s="26">
        <f t="shared" si="27"/>
        <v>0</v>
      </c>
      <c r="AA57" s="26">
        <f t="shared" si="28"/>
        <v>0</v>
      </c>
      <c r="AB57" s="26">
        <f t="shared" si="29"/>
        <v>0</v>
      </c>
      <c r="AC57" s="26" t="e">
        <f t="shared" si="15"/>
        <v>#DIV/0!</v>
      </c>
      <c r="AD57" s="26" t="e">
        <f t="shared" si="16"/>
        <v>#DIV/0!</v>
      </c>
      <c r="AE57" s="19" t="e">
        <f t="shared" si="17"/>
        <v>#DIV/0!</v>
      </c>
      <c r="AF57" s="7" t="e">
        <f t="shared" si="18"/>
        <v>#DIV/0!</v>
      </c>
      <c r="AG57" s="7" t="e">
        <f t="shared" si="19"/>
        <v>#DIV/0!</v>
      </c>
      <c r="AH57" s="7" t="e">
        <f t="shared" si="20"/>
        <v>#DIV/0!</v>
      </c>
      <c r="AI57" s="8" t="e">
        <f t="shared" si="21"/>
        <v>#DIV/0!</v>
      </c>
    </row>
    <row r="58" spans="1:35" ht="33" hidden="1" customHeight="1">
      <c r="A58" s="40">
        <v>0</v>
      </c>
      <c r="B58" s="24"/>
      <c r="C58" s="25"/>
      <c r="D58" s="24"/>
      <c r="E58" s="24"/>
      <c r="F58" s="24"/>
      <c r="G58" s="24"/>
      <c r="H58" s="24"/>
      <c r="I58" s="24"/>
      <c r="J58" s="24"/>
      <c r="K58" s="24"/>
      <c r="L58" s="24"/>
      <c r="M58" s="24"/>
      <c r="N58" s="24"/>
      <c r="O58" s="24"/>
      <c r="P58" s="24"/>
      <c r="Q58" s="24"/>
      <c r="R58" s="24"/>
      <c r="S58" s="24"/>
      <c r="T58" s="24"/>
      <c r="U58" s="26">
        <f t="shared" si="22"/>
        <v>0</v>
      </c>
      <c r="V58" s="26">
        <f t="shared" si="23"/>
        <v>0</v>
      </c>
      <c r="W58" s="26">
        <f t="shared" si="24"/>
        <v>0</v>
      </c>
      <c r="X58" s="26">
        <f t="shared" si="25"/>
        <v>0</v>
      </c>
      <c r="Y58" s="26">
        <f t="shared" si="26"/>
        <v>0</v>
      </c>
      <c r="Z58" s="26">
        <f t="shared" si="27"/>
        <v>0</v>
      </c>
      <c r="AA58" s="26">
        <f t="shared" si="28"/>
        <v>0</v>
      </c>
      <c r="AB58" s="26">
        <f t="shared" si="29"/>
        <v>0</v>
      </c>
      <c r="AC58" s="26" t="e">
        <f t="shared" si="15"/>
        <v>#DIV/0!</v>
      </c>
      <c r="AD58" s="26" t="e">
        <f t="shared" si="16"/>
        <v>#DIV/0!</v>
      </c>
      <c r="AE58" s="19" t="e">
        <f t="shared" si="17"/>
        <v>#DIV/0!</v>
      </c>
      <c r="AF58" s="7" t="e">
        <f t="shared" si="18"/>
        <v>#DIV/0!</v>
      </c>
      <c r="AG58" s="7" t="e">
        <f t="shared" si="19"/>
        <v>#DIV/0!</v>
      </c>
      <c r="AH58" s="7" t="e">
        <f t="shared" si="20"/>
        <v>#DIV/0!</v>
      </c>
      <c r="AI58" s="8" t="e">
        <f t="shared" si="21"/>
        <v>#DIV/0!</v>
      </c>
    </row>
    <row r="59" spans="1:35" ht="33" hidden="1" customHeight="1">
      <c r="A59" s="40">
        <v>0</v>
      </c>
      <c r="B59" s="24"/>
      <c r="C59" s="25"/>
      <c r="D59" s="24"/>
      <c r="E59" s="24"/>
      <c r="F59" s="24"/>
      <c r="G59" s="24"/>
      <c r="H59" s="24"/>
      <c r="I59" s="24"/>
      <c r="J59" s="24"/>
      <c r="K59" s="24"/>
      <c r="L59" s="24"/>
      <c r="M59" s="24"/>
      <c r="N59" s="24"/>
      <c r="O59" s="24"/>
      <c r="P59" s="24"/>
      <c r="Q59" s="24"/>
      <c r="R59" s="24"/>
      <c r="S59" s="24"/>
      <c r="T59" s="24"/>
      <c r="U59" s="26">
        <f t="shared" si="22"/>
        <v>0</v>
      </c>
      <c r="V59" s="26">
        <f t="shared" si="23"/>
        <v>0</v>
      </c>
      <c r="W59" s="26">
        <f t="shared" si="24"/>
        <v>0</v>
      </c>
      <c r="X59" s="26">
        <f t="shared" si="25"/>
        <v>0</v>
      </c>
      <c r="Y59" s="26">
        <f t="shared" si="26"/>
        <v>0</v>
      </c>
      <c r="Z59" s="26">
        <f t="shared" si="27"/>
        <v>0</v>
      </c>
      <c r="AA59" s="26">
        <f t="shared" si="28"/>
        <v>0</v>
      </c>
      <c r="AB59" s="26">
        <f t="shared" si="29"/>
        <v>0</v>
      </c>
      <c r="AC59" s="26" t="e">
        <f t="shared" si="15"/>
        <v>#DIV/0!</v>
      </c>
      <c r="AD59" s="26" t="e">
        <f t="shared" si="16"/>
        <v>#DIV/0!</v>
      </c>
      <c r="AE59" s="19" t="e">
        <f t="shared" si="17"/>
        <v>#DIV/0!</v>
      </c>
      <c r="AF59" s="7" t="e">
        <f t="shared" si="18"/>
        <v>#DIV/0!</v>
      </c>
      <c r="AG59" s="7" t="e">
        <f t="shared" si="19"/>
        <v>#DIV/0!</v>
      </c>
      <c r="AH59" s="7" t="e">
        <f t="shared" si="20"/>
        <v>#DIV/0!</v>
      </c>
      <c r="AI59" s="8" t="e">
        <f t="shared" si="21"/>
        <v>#DIV/0!</v>
      </c>
    </row>
    <row r="60" spans="1:35" ht="33" hidden="1" customHeight="1">
      <c r="A60" s="40">
        <v>0</v>
      </c>
      <c r="B60" s="24"/>
      <c r="C60" s="25"/>
      <c r="D60" s="24"/>
      <c r="E60" s="24"/>
      <c r="F60" s="24"/>
      <c r="G60" s="24"/>
      <c r="H60" s="24"/>
      <c r="I60" s="24"/>
      <c r="J60" s="24"/>
      <c r="K60" s="24"/>
      <c r="L60" s="24"/>
      <c r="M60" s="24"/>
      <c r="N60" s="24"/>
      <c r="O60" s="24"/>
      <c r="P60" s="24"/>
      <c r="Q60" s="24"/>
      <c r="R60" s="24"/>
      <c r="S60" s="24"/>
      <c r="T60" s="24"/>
      <c r="U60" s="26">
        <f t="shared" si="22"/>
        <v>0</v>
      </c>
      <c r="V60" s="26">
        <f t="shared" si="23"/>
        <v>0</v>
      </c>
      <c r="W60" s="26">
        <f t="shared" si="24"/>
        <v>0</v>
      </c>
      <c r="X60" s="26">
        <f t="shared" si="25"/>
        <v>0</v>
      </c>
      <c r="Y60" s="26">
        <f t="shared" si="26"/>
        <v>0</v>
      </c>
      <c r="Z60" s="26">
        <f t="shared" si="27"/>
        <v>0</v>
      </c>
      <c r="AA60" s="26">
        <f t="shared" si="28"/>
        <v>0</v>
      </c>
      <c r="AB60" s="26">
        <f t="shared" si="29"/>
        <v>0</v>
      </c>
      <c r="AC60" s="26" t="e">
        <f t="shared" si="15"/>
        <v>#DIV/0!</v>
      </c>
      <c r="AD60" s="26" t="e">
        <f t="shared" si="16"/>
        <v>#DIV/0!</v>
      </c>
      <c r="AE60" s="19" t="e">
        <f t="shared" si="17"/>
        <v>#DIV/0!</v>
      </c>
      <c r="AF60" s="7" t="e">
        <f t="shared" si="18"/>
        <v>#DIV/0!</v>
      </c>
      <c r="AG60" s="7" t="e">
        <f t="shared" si="19"/>
        <v>#DIV/0!</v>
      </c>
      <c r="AH60" s="7" t="e">
        <f t="shared" si="20"/>
        <v>#DIV/0!</v>
      </c>
      <c r="AI60" s="8" t="e">
        <f t="shared" si="21"/>
        <v>#DIV/0!</v>
      </c>
    </row>
    <row r="61" spans="1:35" ht="33" hidden="1" customHeight="1">
      <c r="A61" s="40">
        <v>0</v>
      </c>
      <c r="B61" s="24"/>
      <c r="C61" s="25"/>
      <c r="D61" s="24"/>
      <c r="E61" s="24"/>
      <c r="F61" s="24"/>
      <c r="G61" s="24"/>
      <c r="H61" s="24"/>
      <c r="I61" s="24"/>
      <c r="J61" s="24"/>
      <c r="K61" s="24"/>
      <c r="L61" s="24"/>
      <c r="M61" s="24"/>
      <c r="N61" s="24"/>
      <c r="O61" s="24"/>
      <c r="P61" s="24"/>
      <c r="Q61" s="24"/>
      <c r="R61" s="24"/>
      <c r="S61" s="24"/>
      <c r="T61" s="24"/>
      <c r="U61" s="26">
        <f t="shared" si="22"/>
        <v>0</v>
      </c>
      <c r="V61" s="26">
        <f t="shared" si="23"/>
        <v>0</v>
      </c>
      <c r="W61" s="26">
        <f t="shared" si="24"/>
        <v>0</v>
      </c>
      <c r="X61" s="26">
        <f t="shared" si="25"/>
        <v>0</v>
      </c>
      <c r="Y61" s="26">
        <f t="shared" si="26"/>
        <v>0</v>
      </c>
      <c r="Z61" s="26">
        <f t="shared" si="27"/>
        <v>0</v>
      </c>
      <c r="AA61" s="26">
        <f t="shared" si="28"/>
        <v>0</v>
      </c>
      <c r="AB61" s="26">
        <f t="shared" si="29"/>
        <v>0</v>
      </c>
      <c r="AC61" s="26" t="e">
        <f t="shared" si="15"/>
        <v>#DIV/0!</v>
      </c>
      <c r="AD61" s="26" t="e">
        <f t="shared" si="16"/>
        <v>#DIV/0!</v>
      </c>
      <c r="AE61" s="19" t="e">
        <f t="shared" si="17"/>
        <v>#DIV/0!</v>
      </c>
      <c r="AF61" s="7" t="e">
        <f t="shared" si="18"/>
        <v>#DIV/0!</v>
      </c>
      <c r="AG61" s="7" t="e">
        <f t="shared" si="19"/>
        <v>#DIV/0!</v>
      </c>
      <c r="AH61" s="7" t="e">
        <f t="shared" si="20"/>
        <v>#DIV/0!</v>
      </c>
      <c r="AI61" s="8" t="e">
        <f t="shared" si="21"/>
        <v>#DIV/0!</v>
      </c>
    </row>
    <row r="62" spans="1:35" ht="33" hidden="1" customHeight="1">
      <c r="A62" s="40">
        <v>0</v>
      </c>
      <c r="B62" s="24"/>
      <c r="C62" s="25"/>
      <c r="D62" s="24"/>
      <c r="E62" s="24"/>
      <c r="F62" s="24"/>
      <c r="G62" s="24"/>
      <c r="H62" s="24"/>
      <c r="I62" s="24"/>
      <c r="J62" s="24"/>
      <c r="K62" s="24"/>
      <c r="L62" s="24"/>
      <c r="M62" s="24"/>
      <c r="N62" s="24"/>
      <c r="O62" s="24"/>
      <c r="P62" s="24"/>
      <c r="Q62" s="24"/>
      <c r="R62" s="24"/>
      <c r="S62" s="24"/>
      <c r="T62" s="24"/>
      <c r="U62" s="26">
        <f t="shared" si="22"/>
        <v>0</v>
      </c>
      <c r="V62" s="26">
        <f t="shared" si="23"/>
        <v>0</v>
      </c>
      <c r="W62" s="26">
        <f t="shared" si="24"/>
        <v>0</v>
      </c>
      <c r="X62" s="26">
        <f t="shared" si="25"/>
        <v>0</v>
      </c>
      <c r="Y62" s="26">
        <f t="shared" si="26"/>
        <v>0</v>
      </c>
      <c r="Z62" s="26">
        <f t="shared" si="27"/>
        <v>0</v>
      </c>
      <c r="AA62" s="26">
        <f t="shared" si="28"/>
        <v>0</v>
      </c>
      <c r="AB62" s="26">
        <f t="shared" si="29"/>
        <v>0</v>
      </c>
      <c r="AC62" s="26" t="e">
        <f t="shared" si="15"/>
        <v>#DIV/0!</v>
      </c>
      <c r="AD62" s="26" t="e">
        <f t="shared" si="16"/>
        <v>#DIV/0!</v>
      </c>
      <c r="AE62" s="19" t="e">
        <f t="shared" si="17"/>
        <v>#DIV/0!</v>
      </c>
      <c r="AF62" s="7" t="e">
        <f t="shared" si="18"/>
        <v>#DIV/0!</v>
      </c>
      <c r="AG62" s="7" t="e">
        <f t="shared" si="19"/>
        <v>#DIV/0!</v>
      </c>
      <c r="AH62" s="7" t="e">
        <f t="shared" si="20"/>
        <v>#DIV/0!</v>
      </c>
      <c r="AI62" s="8" t="e">
        <f t="shared" si="21"/>
        <v>#DIV/0!</v>
      </c>
    </row>
    <row r="63" spans="1:35" ht="33" hidden="1" customHeight="1">
      <c r="A63" s="40">
        <v>0</v>
      </c>
      <c r="B63" s="24"/>
      <c r="C63" s="25"/>
      <c r="D63" s="24"/>
      <c r="E63" s="24"/>
      <c r="F63" s="24"/>
      <c r="G63" s="24"/>
      <c r="H63" s="24"/>
      <c r="I63" s="24"/>
      <c r="J63" s="24"/>
      <c r="K63" s="24"/>
      <c r="L63" s="24"/>
      <c r="M63" s="24"/>
      <c r="N63" s="24"/>
      <c r="O63" s="24"/>
      <c r="P63" s="24"/>
      <c r="Q63" s="24"/>
      <c r="R63" s="24"/>
      <c r="S63" s="24"/>
      <c r="T63" s="24"/>
      <c r="U63" s="26">
        <f t="shared" si="22"/>
        <v>0</v>
      </c>
      <c r="V63" s="26">
        <f t="shared" si="23"/>
        <v>0</v>
      </c>
      <c r="W63" s="26">
        <f t="shared" si="24"/>
        <v>0</v>
      </c>
      <c r="X63" s="26">
        <f t="shared" si="25"/>
        <v>0</v>
      </c>
      <c r="Y63" s="26">
        <f t="shared" si="26"/>
        <v>0</v>
      </c>
      <c r="Z63" s="26">
        <f t="shared" si="27"/>
        <v>0</v>
      </c>
      <c r="AA63" s="26">
        <f t="shared" si="28"/>
        <v>0</v>
      </c>
      <c r="AB63" s="26">
        <f t="shared" si="29"/>
        <v>0</v>
      </c>
      <c r="AC63" s="26" t="e">
        <f t="shared" si="15"/>
        <v>#DIV/0!</v>
      </c>
      <c r="AD63" s="26" t="e">
        <f t="shared" si="16"/>
        <v>#DIV/0!</v>
      </c>
      <c r="AE63" s="19" t="e">
        <f t="shared" si="17"/>
        <v>#DIV/0!</v>
      </c>
      <c r="AF63" s="7" t="e">
        <f t="shared" si="18"/>
        <v>#DIV/0!</v>
      </c>
      <c r="AG63" s="7" t="e">
        <f t="shared" si="19"/>
        <v>#DIV/0!</v>
      </c>
      <c r="AH63" s="7" t="e">
        <f t="shared" si="20"/>
        <v>#DIV/0!</v>
      </c>
      <c r="AI63" s="8" t="e">
        <f t="shared" si="21"/>
        <v>#DIV/0!</v>
      </c>
    </row>
    <row r="64" spans="1:35" ht="33" hidden="1" customHeight="1">
      <c r="A64" s="40">
        <v>0</v>
      </c>
      <c r="B64" s="24"/>
      <c r="C64" s="25"/>
      <c r="D64" s="24"/>
      <c r="E64" s="24"/>
      <c r="F64" s="24"/>
      <c r="G64" s="24"/>
      <c r="H64" s="24"/>
      <c r="I64" s="24"/>
      <c r="J64" s="24"/>
      <c r="K64" s="24"/>
      <c r="L64" s="24"/>
      <c r="M64" s="24"/>
      <c r="N64" s="24"/>
      <c r="O64" s="24"/>
      <c r="P64" s="24"/>
      <c r="Q64" s="24"/>
      <c r="R64" s="24"/>
      <c r="S64" s="24"/>
      <c r="T64" s="24"/>
      <c r="U64" s="26">
        <f t="shared" si="22"/>
        <v>0</v>
      </c>
      <c r="V64" s="26">
        <f t="shared" si="23"/>
        <v>0</v>
      </c>
      <c r="W64" s="26">
        <f t="shared" si="24"/>
        <v>0</v>
      </c>
      <c r="X64" s="26">
        <f t="shared" si="25"/>
        <v>0</v>
      </c>
      <c r="Y64" s="26">
        <f t="shared" si="26"/>
        <v>0</v>
      </c>
      <c r="Z64" s="26">
        <f t="shared" si="27"/>
        <v>0</v>
      </c>
      <c r="AA64" s="26">
        <f t="shared" si="28"/>
        <v>0</v>
      </c>
      <c r="AB64" s="26">
        <f t="shared" si="29"/>
        <v>0</v>
      </c>
      <c r="AC64" s="26" t="e">
        <f t="shared" si="15"/>
        <v>#DIV/0!</v>
      </c>
      <c r="AD64" s="26" t="e">
        <f t="shared" si="16"/>
        <v>#DIV/0!</v>
      </c>
      <c r="AE64" s="19" t="e">
        <f t="shared" si="17"/>
        <v>#DIV/0!</v>
      </c>
      <c r="AF64" s="7" t="e">
        <f t="shared" si="18"/>
        <v>#DIV/0!</v>
      </c>
      <c r="AG64" s="7" t="e">
        <f t="shared" si="19"/>
        <v>#DIV/0!</v>
      </c>
      <c r="AH64" s="7" t="e">
        <f t="shared" si="20"/>
        <v>#DIV/0!</v>
      </c>
      <c r="AI64" s="8" t="e">
        <f t="shared" si="21"/>
        <v>#DIV/0!</v>
      </c>
    </row>
    <row r="65" spans="1:35" ht="33" hidden="1" customHeight="1">
      <c r="A65" s="40">
        <v>0</v>
      </c>
      <c r="B65" s="24"/>
      <c r="C65" s="25"/>
      <c r="D65" s="24"/>
      <c r="E65" s="24"/>
      <c r="F65" s="24"/>
      <c r="G65" s="24"/>
      <c r="H65" s="24"/>
      <c r="I65" s="24"/>
      <c r="J65" s="24"/>
      <c r="K65" s="24"/>
      <c r="L65" s="24"/>
      <c r="M65" s="24"/>
      <c r="N65" s="24"/>
      <c r="O65" s="24"/>
      <c r="P65" s="24"/>
      <c r="Q65" s="24"/>
      <c r="R65" s="24"/>
      <c r="S65" s="24"/>
      <c r="T65" s="24"/>
      <c r="U65" s="26">
        <f t="shared" si="22"/>
        <v>0</v>
      </c>
      <c r="V65" s="26">
        <f t="shared" si="23"/>
        <v>0</v>
      </c>
      <c r="W65" s="26">
        <f t="shared" si="24"/>
        <v>0</v>
      </c>
      <c r="X65" s="26">
        <f t="shared" si="25"/>
        <v>0</v>
      </c>
      <c r="Y65" s="26">
        <f t="shared" si="26"/>
        <v>0</v>
      </c>
      <c r="Z65" s="26">
        <f t="shared" si="27"/>
        <v>0</v>
      </c>
      <c r="AA65" s="26">
        <f t="shared" si="28"/>
        <v>0</v>
      </c>
      <c r="AB65" s="26">
        <f t="shared" si="29"/>
        <v>0</v>
      </c>
      <c r="AC65" s="26" t="e">
        <f t="shared" si="15"/>
        <v>#DIV/0!</v>
      </c>
      <c r="AD65" s="26" t="e">
        <f t="shared" si="16"/>
        <v>#DIV/0!</v>
      </c>
      <c r="AE65" s="19" t="e">
        <f t="shared" si="17"/>
        <v>#DIV/0!</v>
      </c>
      <c r="AF65" s="7" t="e">
        <f t="shared" si="18"/>
        <v>#DIV/0!</v>
      </c>
      <c r="AG65" s="7" t="e">
        <f t="shared" si="19"/>
        <v>#DIV/0!</v>
      </c>
      <c r="AH65" s="7" t="e">
        <f t="shared" si="20"/>
        <v>#DIV/0!</v>
      </c>
      <c r="AI65" s="8" t="e">
        <f t="shared" si="21"/>
        <v>#DIV/0!</v>
      </c>
    </row>
    <row r="66" spans="1:35" ht="33" hidden="1" customHeight="1">
      <c r="A66" s="40">
        <v>0</v>
      </c>
      <c r="B66" s="24"/>
      <c r="C66" s="25"/>
      <c r="D66" s="24"/>
      <c r="E66" s="24"/>
      <c r="F66" s="24"/>
      <c r="G66" s="24"/>
      <c r="H66" s="24"/>
      <c r="I66" s="24"/>
      <c r="J66" s="24"/>
      <c r="K66" s="24"/>
      <c r="L66" s="24"/>
      <c r="M66" s="24"/>
      <c r="N66" s="24"/>
      <c r="O66" s="24"/>
      <c r="P66" s="24"/>
      <c r="Q66" s="24"/>
      <c r="R66" s="24"/>
      <c r="S66" s="24"/>
      <c r="T66" s="24"/>
      <c r="U66" s="26">
        <f t="shared" si="22"/>
        <v>0</v>
      </c>
      <c r="V66" s="26">
        <f t="shared" si="23"/>
        <v>0</v>
      </c>
      <c r="W66" s="26">
        <f t="shared" si="24"/>
        <v>0</v>
      </c>
      <c r="X66" s="26">
        <f t="shared" si="25"/>
        <v>0</v>
      </c>
      <c r="Y66" s="26">
        <f t="shared" si="26"/>
        <v>0</v>
      </c>
      <c r="Z66" s="26">
        <f t="shared" si="27"/>
        <v>0</v>
      </c>
      <c r="AA66" s="26">
        <f t="shared" si="28"/>
        <v>0</v>
      </c>
      <c r="AB66" s="26">
        <f t="shared" si="29"/>
        <v>0</v>
      </c>
      <c r="AC66" s="26" t="e">
        <f t="shared" si="15"/>
        <v>#DIV/0!</v>
      </c>
      <c r="AD66" s="26" t="e">
        <f t="shared" si="16"/>
        <v>#DIV/0!</v>
      </c>
      <c r="AE66" s="19" t="e">
        <f t="shared" si="17"/>
        <v>#DIV/0!</v>
      </c>
      <c r="AF66" s="7" t="e">
        <f t="shared" si="18"/>
        <v>#DIV/0!</v>
      </c>
      <c r="AG66" s="7" t="e">
        <f t="shared" si="19"/>
        <v>#DIV/0!</v>
      </c>
      <c r="AH66" s="7" t="e">
        <f t="shared" si="20"/>
        <v>#DIV/0!</v>
      </c>
      <c r="AI66" s="8" t="e">
        <f t="shared" si="21"/>
        <v>#DIV/0!</v>
      </c>
    </row>
    <row r="67" spans="1:35" ht="33" hidden="1" customHeight="1">
      <c r="A67" s="40">
        <v>0</v>
      </c>
      <c r="B67" s="24"/>
      <c r="C67" s="25"/>
      <c r="D67" s="24"/>
      <c r="E67" s="24"/>
      <c r="F67" s="24"/>
      <c r="G67" s="24"/>
      <c r="H67" s="24"/>
      <c r="I67" s="24"/>
      <c r="J67" s="24"/>
      <c r="K67" s="24"/>
      <c r="L67" s="24"/>
      <c r="M67" s="24"/>
      <c r="N67" s="24"/>
      <c r="O67" s="24"/>
      <c r="P67" s="24"/>
      <c r="Q67" s="24"/>
      <c r="R67" s="24"/>
      <c r="S67" s="24"/>
      <c r="T67" s="24"/>
      <c r="U67" s="26">
        <f t="shared" si="22"/>
        <v>0</v>
      </c>
      <c r="V67" s="26">
        <f t="shared" si="23"/>
        <v>0</v>
      </c>
      <c r="W67" s="26">
        <f t="shared" si="24"/>
        <v>0</v>
      </c>
      <c r="X67" s="26">
        <f t="shared" si="25"/>
        <v>0</v>
      </c>
      <c r="Y67" s="26">
        <f t="shared" si="26"/>
        <v>0</v>
      </c>
      <c r="Z67" s="26">
        <f t="shared" si="27"/>
        <v>0</v>
      </c>
      <c r="AA67" s="26">
        <f t="shared" si="28"/>
        <v>0</v>
      </c>
      <c r="AB67" s="26">
        <f t="shared" si="29"/>
        <v>0</v>
      </c>
      <c r="AC67" s="26" t="e">
        <f t="shared" si="15"/>
        <v>#DIV/0!</v>
      </c>
      <c r="AD67" s="26" t="e">
        <f t="shared" si="16"/>
        <v>#DIV/0!</v>
      </c>
      <c r="AE67" s="19" t="e">
        <f t="shared" si="17"/>
        <v>#DIV/0!</v>
      </c>
      <c r="AF67" s="7" t="e">
        <f t="shared" si="18"/>
        <v>#DIV/0!</v>
      </c>
      <c r="AG67" s="7" t="e">
        <f t="shared" si="19"/>
        <v>#DIV/0!</v>
      </c>
      <c r="AH67" s="7" t="e">
        <f t="shared" si="20"/>
        <v>#DIV/0!</v>
      </c>
      <c r="AI67" s="8" t="e">
        <f t="shared" si="21"/>
        <v>#DIV/0!</v>
      </c>
    </row>
    <row r="68" spans="1:35" ht="33" hidden="1" customHeight="1">
      <c r="A68" s="40">
        <v>0</v>
      </c>
      <c r="B68" s="24"/>
      <c r="C68" s="25"/>
      <c r="D68" s="24"/>
      <c r="E68" s="24"/>
      <c r="F68" s="24"/>
      <c r="G68" s="24"/>
      <c r="H68" s="24"/>
      <c r="I68" s="24"/>
      <c r="J68" s="24"/>
      <c r="K68" s="24"/>
      <c r="L68" s="24"/>
      <c r="M68" s="24"/>
      <c r="N68" s="24"/>
      <c r="O68" s="24"/>
      <c r="P68" s="24"/>
      <c r="Q68" s="24"/>
      <c r="R68" s="24"/>
      <c r="S68" s="24"/>
      <c r="T68" s="24"/>
      <c r="U68" s="26">
        <f t="shared" si="22"/>
        <v>0</v>
      </c>
      <c r="V68" s="26">
        <f t="shared" si="23"/>
        <v>0</v>
      </c>
      <c r="W68" s="26">
        <f t="shared" si="24"/>
        <v>0</v>
      </c>
      <c r="X68" s="26">
        <f t="shared" si="25"/>
        <v>0</v>
      </c>
      <c r="Y68" s="26">
        <f t="shared" si="26"/>
        <v>0</v>
      </c>
      <c r="Z68" s="26">
        <f t="shared" si="27"/>
        <v>0</v>
      </c>
      <c r="AA68" s="26">
        <f t="shared" si="28"/>
        <v>0</v>
      </c>
      <c r="AB68" s="26">
        <f t="shared" si="29"/>
        <v>0</v>
      </c>
      <c r="AC68" s="26" t="e">
        <f t="shared" si="15"/>
        <v>#DIV/0!</v>
      </c>
      <c r="AD68" s="26" t="e">
        <f t="shared" si="16"/>
        <v>#DIV/0!</v>
      </c>
      <c r="AE68" s="19" t="e">
        <f t="shared" si="17"/>
        <v>#DIV/0!</v>
      </c>
      <c r="AF68" s="7" t="e">
        <f t="shared" si="18"/>
        <v>#DIV/0!</v>
      </c>
      <c r="AG68" s="7" t="e">
        <f t="shared" si="19"/>
        <v>#DIV/0!</v>
      </c>
      <c r="AH68" s="7" t="e">
        <f t="shared" si="20"/>
        <v>#DIV/0!</v>
      </c>
      <c r="AI68" s="8" t="e">
        <f t="shared" si="21"/>
        <v>#DIV/0!</v>
      </c>
    </row>
    <row r="69" spans="1:35" ht="33" hidden="1" customHeight="1">
      <c r="A69" s="40">
        <v>0</v>
      </c>
      <c r="B69" s="24"/>
      <c r="C69" s="25"/>
      <c r="D69" s="24"/>
      <c r="E69" s="24"/>
      <c r="F69" s="24"/>
      <c r="G69" s="24"/>
      <c r="H69" s="24"/>
      <c r="I69" s="24"/>
      <c r="J69" s="24"/>
      <c r="K69" s="24"/>
      <c r="L69" s="24"/>
      <c r="M69" s="24"/>
      <c r="N69" s="24"/>
      <c r="O69" s="82"/>
      <c r="P69" s="82"/>
      <c r="Q69" s="24"/>
      <c r="R69" s="24"/>
      <c r="S69" s="24"/>
      <c r="T69" s="24"/>
      <c r="U69" s="26">
        <f t="shared" ref="U69:U138" si="30">SUM(D69:T69)</f>
        <v>0</v>
      </c>
      <c r="V69" s="26">
        <f t="shared" ref="V69:V79" si="31">IF($D$12="CO1",D69,0)+IF($E$12="CO1",E69,0)+IF($F$12="CO1",F69,0)+IF($G$12="CO1",G69,0)+IF($H$12="CO1",H69,0)+IF($I$12="CO1",I69,0)+IF($J$12="CO1",J69,0)+IF($K$12="CO1",K69,0)+IF($L$12="CO1",L69,0)+IF($M$12="CO1",M69,0)+IF($N$12="CO1",N69,0)+IF($O$12="CO1",O69,0)+IF($P$12="CO1",P69,0)+IF($Q$12="CO1",Q69,0)+IF($R$12="CO1",R69,0)+IF($S$12="CO1",S69,0)+IF($T$12="CO1",T69,0)</f>
        <v>0</v>
      </c>
      <c r="W69" s="26">
        <f t="shared" ref="W69:W79" si="32">IF($D$12="CO2",D69,0)+IF($E$12="CO2",E69,0)+IF($F$12="CO2",F69,0)+IF($G$12="CO2",G69,0)+IF($H$12="CO2",H69,0)+IF($I$12="CO2",I69,0)+IF($J$12="CO2",J69,0)+IF($K$12="CO2",K69,0)+IF($L$12="CO2",L69,0)+IF($M$12="CO2",M69,0)+IF($N$12="CO2",N69,0)+IF($O$12="CO2",O69,0)+IF($P$12="CO2",P69,0)+IF($Q$12="CO2",Q69,0)+IF($R$12="CO2",R69,0)+IF($S$12="CO2",S69,0)+IF($T$12="CO2",T69,0)</f>
        <v>0</v>
      </c>
      <c r="X69" s="26">
        <f t="shared" ref="X69:X79" si="33">IF($D$12="CO3",D69,0)+IF($E$12="CO3",E69,0)+IF($F$12="CO3",F69,0)+IF($G$12="CO3",G69,0)+IF($H$12="CO3",H69,0)+IF($I$12="CO3",I69,0)+IF($J$12="CO3",J69,0)+IF($K$12="CO3",K69,0)+IF($L$12="CO3",L69,0)+IF($M$12="CO3",M69,0)+IF($N$12="CO3",N69,0)+IF($O$12="CO3",O69,0)+IF($P$12="CO3",P69,0)+IF($Q$12="CO3",Q69,0)+IF($R$12="CO3",R69,0)+IF($S$12="CO3",S69,0)+IF($T$12="CO3",T69,0)</f>
        <v>0</v>
      </c>
      <c r="Y69" s="26">
        <f t="shared" ref="Y69:Y79" si="34">IF($D$12="CO4",D69,0)+IF($E$12="CO4",E69,0)+IF($F$12="CO4",F69,0)+IF($G$12="CO4",G69,0)+IF($H$12="CO4",H69,0)+IF($I$12="CO4",I69,0)+IF($J$12="CO4",J69,0)+IF($K$12="CO4",K69,0)+IF($L$12="CO4",L69,0)+IF($M$12="CO4",M69,0)+IF($N$12="CO4",N69,0)+IF($O$12="CO4",O69,0)+IF($P$12="CO4",P69,0)+IF($Q$12="CO4",Q69,0)+IF($R$12="CO4",R69,0)+IF($S$12="CO4",S69,0)+IF($T$12="CO4",T69,0)</f>
        <v>0</v>
      </c>
      <c r="Z69" s="26">
        <f t="shared" ref="Z69:Z79" si="35">IF($D$12="CO5",D69,0)+IF($E$12="CO5",E69,0)+IF($F$12="CO5",F69,0)+IF($G$12="CO5",G69,0)+IF($H$12="CO5",H69,0)+IF($I$12="CO5",I69,0)+IF($J$12="CO5",J69,0)+IF($K$12="CO5",K69,0)+IF($L$12="CO5",L69,0)+IF($M$12="CO5",M69,0)+IF($N$12="CO5",N69,0)+IF($O$12="CO5",O69,0)+IF($P$12="CO5",P69,0)+IF($Q$12="CO5",Q69,0)+IF($R$12="CO5",R69,0)+IF($S$12="CO5",S69,0)+IF($T$12="CO5",T69,0)</f>
        <v>0</v>
      </c>
      <c r="AA69" s="26">
        <f t="shared" ref="AA69:AA79" si="36">IF($D$12="CO6",D69,0)+IF($E$12="CO6",E69,0)+IF($F$12="CO6",F69,0)+IF($G$12="CO6",G69,0)+IF($H$12="CO6",H69,0)+IF($I$12="CO6",I69,0)+IF($J$12="CO6",J69,0)+IF($K$12="CO6",K69,0)+IF($L$12="CO6",L69,0)+IF($M$12="CO6",M69,0)+IF($N$12="CO6",N69,0)+IF($O$12="CO6",O69,0)+IF($P$12="CO6",P69,0)+IF($Q$12="CO6",Q69,0)+IF($R$12="CO6",R69,0)+IF($S$12="CO6",S69,0)+IF($T$12="CO6",T69,0)</f>
        <v>0</v>
      </c>
      <c r="AB69" s="26">
        <f t="shared" ref="AB69:AB79" si="37">IF($D$12="CO7",D69,0)+IF($E$12="CO7",E69,0)+IF($F$12="CO7",F69,0)+IF($G$12="CO7",G69,0)+IF($H$12="CO7",H69,0)+IF($I$12="CO7",I69,0)+IF($J$12="CO7",J69,0)+IF($K$12="CO7",K69,0)+IF($L$12="CO7",L69,0)+IF($M$12="CO7",M69,0)+IF($N$12="CO7",N69,0)+IF($O$12="CO7",O69,0)+IF($P$12="CO7",P69,0)+IF($Q$12="CO7",Q69,0)+IF($R$12="CO7",R69,0)+IF($S$12="CO7",S69,0)+IF($T$12="CO7",T69,0)</f>
        <v>0</v>
      </c>
      <c r="AC69" s="26" t="e">
        <f t="shared" si="15"/>
        <v>#DIV/0!</v>
      </c>
      <c r="AD69" s="26" t="e">
        <f t="shared" si="16"/>
        <v>#DIV/0!</v>
      </c>
      <c r="AE69" s="19" t="e">
        <f t="shared" si="17"/>
        <v>#DIV/0!</v>
      </c>
      <c r="AF69" s="7" t="e">
        <f t="shared" si="18"/>
        <v>#DIV/0!</v>
      </c>
      <c r="AG69" s="7" t="e">
        <f t="shared" si="19"/>
        <v>#DIV/0!</v>
      </c>
      <c r="AH69" s="7" t="e">
        <f t="shared" si="20"/>
        <v>#DIV/0!</v>
      </c>
      <c r="AI69" s="8" t="e">
        <f t="shared" si="21"/>
        <v>#DIV/0!</v>
      </c>
    </row>
    <row r="70" spans="1:35" ht="33" hidden="1" customHeight="1">
      <c r="A70" s="40">
        <v>0</v>
      </c>
      <c r="B70" s="24"/>
      <c r="C70" s="25"/>
      <c r="D70" s="24"/>
      <c r="E70" s="24"/>
      <c r="F70" s="24"/>
      <c r="G70" s="24"/>
      <c r="H70" s="24"/>
      <c r="I70" s="24"/>
      <c r="J70" s="24"/>
      <c r="K70" s="24"/>
      <c r="L70" s="24"/>
      <c r="M70" s="24"/>
      <c r="N70" s="24"/>
      <c r="O70" s="82"/>
      <c r="P70" s="82"/>
      <c r="Q70" s="24"/>
      <c r="R70" s="24"/>
      <c r="S70" s="24"/>
      <c r="T70" s="24"/>
      <c r="U70" s="26">
        <f t="shared" si="30"/>
        <v>0</v>
      </c>
      <c r="V70" s="26">
        <f t="shared" si="31"/>
        <v>0</v>
      </c>
      <c r="W70" s="26">
        <f t="shared" si="32"/>
        <v>0</v>
      </c>
      <c r="X70" s="26">
        <f t="shared" si="33"/>
        <v>0</v>
      </c>
      <c r="Y70" s="26">
        <f t="shared" si="34"/>
        <v>0</v>
      </c>
      <c r="Z70" s="26">
        <f t="shared" si="35"/>
        <v>0</v>
      </c>
      <c r="AA70" s="26">
        <f t="shared" si="36"/>
        <v>0</v>
      </c>
      <c r="AB70" s="26">
        <f t="shared" si="37"/>
        <v>0</v>
      </c>
      <c r="AC70" s="26" t="e">
        <f t="shared" si="15"/>
        <v>#DIV/0!</v>
      </c>
      <c r="AD70" s="26" t="e">
        <f t="shared" si="16"/>
        <v>#DIV/0!</v>
      </c>
      <c r="AE70" s="19" t="e">
        <f t="shared" si="17"/>
        <v>#DIV/0!</v>
      </c>
      <c r="AF70" s="7" t="e">
        <f t="shared" si="18"/>
        <v>#DIV/0!</v>
      </c>
      <c r="AG70" s="7" t="e">
        <f t="shared" si="19"/>
        <v>#DIV/0!</v>
      </c>
      <c r="AH70" s="7" t="e">
        <f t="shared" si="20"/>
        <v>#DIV/0!</v>
      </c>
      <c r="AI70" s="8" t="e">
        <f t="shared" si="21"/>
        <v>#DIV/0!</v>
      </c>
    </row>
    <row r="71" spans="1:35" ht="33" hidden="1" customHeight="1">
      <c r="A71" s="40">
        <v>0</v>
      </c>
      <c r="B71" s="24"/>
      <c r="C71" s="25"/>
      <c r="D71" s="24"/>
      <c r="E71" s="24"/>
      <c r="F71" s="24"/>
      <c r="G71" s="24"/>
      <c r="H71" s="24"/>
      <c r="I71" s="24"/>
      <c r="J71" s="24"/>
      <c r="K71" s="24"/>
      <c r="L71" s="24"/>
      <c r="M71" s="24"/>
      <c r="N71" s="24"/>
      <c r="O71" s="82"/>
      <c r="P71" s="82"/>
      <c r="Q71" s="24"/>
      <c r="R71" s="24"/>
      <c r="S71" s="24"/>
      <c r="T71" s="24"/>
      <c r="U71" s="26">
        <f t="shared" si="30"/>
        <v>0</v>
      </c>
      <c r="V71" s="26">
        <f t="shared" si="31"/>
        <v>0</v>
      </c>
      <c r="W71" s="26">
        <f t="shared" si="32"/>
        <v>0</v>
      </c>
      <c r="X71" s="26">
        <f t="shared" si="33"/>
        <v>0</v>
      </c>
      <c r="Y71" s="26">
        <f t="shared" si="34"/>
        <v>0</v>
      </c>
      <c r="Z71" s="26">
        <f t="shared" si="35"/>
        <v>0</v>
      </c>
      <c r="AA71" s="26">
        <f t="shared" si="36"/>
        <v>0</v>
      </c>
      <c r="AB71" s="26">
        <f t="shared" si="37"/>
        <v>0</v>
      </c>
      <c r="AC71" s="26" t="e">
        <f t="shared" si="15"/>
        <v>#DIV/0!</v>
      </c>
      <c r="AD71" s="26" t="e">
        <f t="shared" si="16"/>
        <v>#DIV/0!</v>
      </c>
      <c r="AE71" s="19" t="e">
        <f t="shared" si="17"/>
        <v>#DIV/0!</v>
      </c>
      <c r="AF71" s="7" t="e">
        <f t="shared" si="18"/>
        <v>#DIV/0!</v>
      </c>
      <c r="AG71" s="7" t="e">
        <f t="shared" si="19"/>
        <v>#DIV/0!</v>
      </c>
      <c r="AH71" s="7" t="e">
        <f t="shared" si="20"/>
        <v>#DIV/0!</v>
      </c>
      <c r="AI71" s="8" t="e">
        <f t="shared" si="21"/>
        <v>#DIV/0!</v>
      </c>
    </row>
    <row r="72" spans="1:35" ht="33" hidden="1" customHeight="1">
      <c r="A72" s="40">
        <v>0</v>
      </c>
      <c r="B72" s="24"/>
      <c r="C72" s="25"/>
      <c r="D72" s="24"/>
      <c r="E72" s="24"/>
      <c r="F72" s="24"/>
      <c r="G72" s="24"/>
      <c r="H72" s="24"/>
      <c r="I72" s="24"/>
      <c r="J72" s="24"/>
      <c r="K72" s="24"/>
      <c r="L72" s="24"/>
      <c r="M72" s="24"/>
      <c r="N72" s="24"/>
      <c r="O72" s="82"/>
      <c r="P72" s="82"/>
      <c r="Q72" s="24"/>
      <c r="R72" s="24"/>
      <c r="S72" s="24"/>
      <c r="T72" s="24"/>
      <c r="U72" s="26">
        <f t="shared" si="30"/>
        <v>0</v>
      </c>
      <c r="V72" s="26">
        <f t="shared" si="31"/>
        <v>0</v>
      </c>
      <c r="W72" s="26">
        <f t="shared" si="32"/>
        <v>0</v>
      </c>
      <c r="X72" s="26">
        <f t="shared" si="33"/>
        <v>0</v>
      </c>
      <c r="Y72" s="26">
        <f t="shared" si="34"/>
        <v>0</v>
      </c>
      <c r="Z72" s="26">
        <f t="shared" si="35"/>
        <v>0</v>
      </c>
      <c r="AA72" s="26">
        <f t="shared" si="36"/>
        <v>0</v>
      </c>
      <c r="AB72" s="26">
        <f t="shared" si="37"/>
        <v>0</v>
      </c>
      <c r="AC72" s="26" t="e">
        <f t="shared" si="15"/>
        <v>#DIV/0!</v>
      </c>
      <c r="AD72" s="26" t="e">
        <f t="shared" si="16"/>
        <v>#DIV/0!</v>
      </c>
      <c r="AE72" s="19" t="e">
        <f t="shared" si="17"/>
        <v>#DIV/0!</v>
      </c>
      <c r="AF72" s="7" t="e">
        <f t="shared" si="18"/>
        <v>#DIV/0!</v>
      </c>
      <c r="AG72" s="7" t="e">
        <f t="shared" si="19"/>
        <v>#DIV/0!</v>
      </c>
      <c r="AH72" s="7" t="e">
        <f t="shared" si="20"/>
        <v>#DIV/0!</v>
      </c>
      <c r="AI72" s="8" t="e">
        <f t="shared" si="21"/>
        <v>#DIV/0!</v>
      </c>
    </row>
    <row r="73" spans="1:35" ht="33" hidden="1" customHeight="1">
      <c r="A73" s="40">
        <v>0</v>
      </c>
      <c r="B73" s="24"/>
      <c r="C73" s="25"/>
      <c r="D73" s="24"/>
      <c r="E73" s="24"/>
      <c r="F73" s="24"/>
      <c r="G73" s="24"/>
      <c r="H73" s="24"/>
      <c r="I73" s="24"/>
      <c r="J73" s="24"/>
      <c r="K73" s="24"/>
      <c r="L73" s="24"/>
      <c r="M73" s="24"/>
      <c r="N73" s="24"/>
      <c r="O73" s="82"/>
      <c r="P73" s="82"/>
      <c r="Q73" s="24"/>
      <c r="R73" s="24"/>
      <c r="S73" s="24"/>
      <c r="T73" s="24"/>
      <c r="U73" s="26">
        <f t="shared" si="30"/>
        <v>0</v>
      </c>
      <c r="V73" s="26">
        <f t="shared" si="31"/>
        <v>0</v>
      </c>
      <c r="W73" s="26">
        <f t="shared" si="32"/>
        <v>0</v>
      </c>
      <c r="X73" s="26">
        <f t="shared" si="33"/>
        <v>0</v>
      </c>
      <c r="Y73" s="26">
        <f t="shared" si="34"/>
        <v>0</v>
      </c>
      <c r="Z73" s="26">
        <f t="shared" si="35"/>
        <v>0</v>
      </c>
      <c r="AA73" s="26">
        <f t="shared" si="36"/>
        <v>0</v>
      </c>
      <c r="AB73" s="26">
        <f t="shared" si="37"/>
        <v>0</v>
      </c>
      <c r="AC73" s="26" t="e">
        <f t="shared" si="15"/>
        <v>#DIV/0!</v>
      </c>
      <c r="AD73" s="26" t="e">
        <f t="shared" si="16"/>
        <v>#DIV/0!</v>
      </c>
      <c r="AE73" s="19" t="e">
        <f t="shared" si="17"/>
        <v>#DIV/0!</v>
      </c>
      <c r="AF73" s="7" t="e">
        <f t="shared" si="18"/>
        <v>#DIV/0!</v>
      </c>
      <c r="AG73" s="7" t="e">
        <f t="shared" si="19"/>
        <v>#DIV/0!</v>
      </c>
      <c r="AH73" s="7" t="e">
        <f t="shared" si="20"/>
        <v>#DIV/0!</v>
      </c>
      <c r="AI73" s="8" t="e">
        <f t="shared" si="21"/>
        <v>#DIV/0!</v>
      </c>
    </row>
    <row r="74" spans="1:35" ht="33" hidden="1" customHeight="1">
      <c r="A74" s="40">
        <v>0</v>
      </c>
      <c r="B74" s="24"/>
      <c r="C74" s="25"/>
      <c r="D74" s="24"/>
      <c r="E74" s="24"/>
      <c r="F74" s="24"/>
      <c r="G74" s="24"/>
      <c r="H74" s="24"/>
      <c r="I74" s="24"/>
      <c r="J74" s="24"/>
      <c r="K74" s="24"/>
      <c r="L74" s="24"/>
      <c r="M74" s="24"/>
      <c r="N74" s="24"/>
      <c r="O74" s="82"/>
      <c r="P74" s="82"/>
      <c r="Q74" s="24"/>
      <c r="R74" s="24"/>
      <c r="S74" s="24"/>
      <c r="T74" s="24"/>
      <c r="U74" s="26">
        <f t="shared" si="30"/>
        <v>0</v>
      </c>
      <c r="V74" s="26">
        <f t="shared" si="31"/>
        <v>0</v>
      </c>
      <c r="W74" s="26">
        <f t="shared" si="32"/>
        <v>0</v>
      </c>
      <c r="X74" s="26">
        <f t="shared" si="33"/>
        <v>0</v>
      </c>
      <c r="Y74" s="26">
        <f t="shared" si="34"/>
        <v>0</v>
      </c>
      <c r="Z74" s="26">
        <f t="shared" si="35"/>
        <v>0</v>
      </c>
      <c r="AA74" s="26">
        <f t="shared" si="36"/>
        <v>0</v>
      </c>
      <c r="AB74" s="26">
        <f t="shared" si="37"/>
        <v>0</v>
      </c>
      <c r="AC74" s="26" t="e">
        <f t="shared" si="15"/>
        <v>#DIV/0!</v>
      </c>
      <c r="AD74" s="26" t="e">
        <f t="shared" si="16"/>
        <v>#DIV/0!</v>
      </c>
      <c r="AE74" s="19" t="e">
        <f t="shared" si="17"/>
        <v>#DIV/0!</v>
      </c>
      <c r="AF74" s="7" t="e">
        <f t="shared" si="18"/>
        <v>#DIV/0!</v>
      </c>
      <c r="AG74" s="7" t="e">
        <f t="shared" si="19"/>
        <v>#DIV/0!</v>
      </c>
      <c r="AH74" s="7" t="e">
        <f t="shared" si="20"/>
        <v>#DIV/0!</v>
      </c>
      <c r="AI74" s="8" t="e">
        <f t="shared" si="21"/>
        <v>#DIV/0!</v>
      </c>
    </row>
    <row r="75" spans="1:35" ht="33" hidden="1" customHeight="1">
      <c r="A75" s="40">
        <v>0</v>
      </c>
      <c r="B75" s="24"/>
      <c r="C75" s="25"/>
      <c r="D75" s="24"/>
      <c r="E75" s="24"/>
      <c r="F75" s="24"/>
      <c r="G75" s="24"/>
      <c r="H75" s="24"/>
      <c r="I75" s="24"/>
      <c r="J75" s="24"/>
      <c r="K75" s="24"/>
      <c r="L75" s="24"/>
      <c r="M75" s="24"/>
      <c r="N75" s="24"/>
      <c r="O75" s="82"/>
      <c r="P75" s="82"/>
      <c r="Q75" s="24"/>
      <c r="R75" s="24"/>
      <c r="S75" s="24"/>
      <c r="T75" s="24"/>
      <c r="U75" s="26">
        <f t="shared" si="30"/>
        <v>0</v>
      </c>
      <c r="V75" s="26">
        <f t="shared" si="31"/>
        <v>0</v>
      </c>
      <c r="W75" s="26">
        <f t="shared" si="32"/>
        <v>0</v>
      </c>
      <c r="X75" s="26">
        <f t="shared" si="33"/>
        <v>0</v>
      </c>
      <c r="Y75" s="26">
        <f t="shared" si="34"/>
        <v>0</v>
      </c>
      <c r="Z75" s="26">
        <f t="shared" si="35"/>
        <v>0</v>
      </c>
      <c r="AA75" s="26">
        <f t="shared" si="36"/>
        <v>0</v>
      </c>
      <c r="AB75" s="26">
        <f t="shared" si="37"/>
        <v>0</v>
      </c>
      <c r="AC75" s="26" t="e">
        <f t="shared" si="15"/>
        <v>#DIV/0!</v>
      </c>
      <c r="AD75" s="26" t="e">
        <f t="shared" si="16"/>
        <v>#DIV/0!</v>
      </c>
      <c r="AE75" s="19" t="e">
        <f t="shared" si="17"/>
        <v>#DIV/0!</v>
      </c>
      <c r="AF75" s="7" t="e">
        <f t="shared" si="18"/>
        <v>#DIV/0!</v>
      </c>
      <c r="AG75" s="7" t="e">
        <f t="shared" si="19"/>
        <v>#DIV/0!</v>
      </c>
      <c r="AH75" s="7" t="e">
        <f t="shared" si="20"/>
        <v>#DIV/0!</v>
      </c>
      <c r="AI75" s="8" t="e">
        <f t="shared" si="21"/>
        <v>#DIV/0!</v>
      </c>
    </row>
    <row r="76" spans="1:35" ht="33" hidden="1" customHeight="1">
      <c r="A76" s="40">
        <v>0</v>
      </c>
      <c r="B76" s="24"/>
      <c r="C76" s="25"/>
      <c r="D76" s="24"/>
      <c r="E76" s="24"/>
      <c r="F76" s="24"/>
      <c r="G76" s="24"/>
      <c r="H76" s="24"/>
      <c r="I76" s="24"/>
      <c r="J76" s="24"/>
      <c r="K76" s="24"/>
      <c r="L76" s="24"/>
      <c r="M76" s="24"/>
      <c r="N76" s="24"/>
      <c r="O76" s="82"/>
      <c r="P76" s="82"/>
      <c r="Q76" s="24"/>
      <c r="R76" s="24"/>
      <c r="S76" s="24"/>
      <c r="T76" s="24"/>
      <c r="U76" s="26">
        <f t="shared" si="30"/>
        <v>0</v>
      </c>
      <c r="V76" s="26">
        <f t="shared" si="31"/>
        <v>0</v>
      </c>
      <c r="W76" s="26">
        <f t="shared" si="32"/>
        <v>0</v>
      </c>
      <c r="X76" s="26">
        <f t="shared" si="33"/>
        <v>0</v>
      </c>
      <c r="Y76" s="26">
        <f t="shared" si="34"/>
        <v>0</v>
      </c>
      <c r="Z76" s="26">
        <f t="shared" si="35"/>
        <v>0</v>
      </c>
      <c r="AA76" s="26">
        <f t="shared" si="36"/>
        <v>0</v>
      </c>
      <c r="AB76" s="26">
        <f t="shared" si="37"/>
        <v>0</v>
      </c>
      <c r="AC76" s="26" t="e">
        <f t="shared" si="15"/>
        <v>#DIV/0!</v>
      </c>
      <c r="AD76" s="26" t="e">
        <f t="shared" si="16"/>
        <v>#DIV/0!</v>
      </c>
      <c r="AE76" s="19" t="e">
        <f t="shared" si="17"/>
        <v>#DIV/0!</v>
      </c>
      <c r="AF76" s="7" t="e">
        <f t="shared" si="18"/>
        <v>#DIV/0!</v>
      </c>
      <c r="AG76" s="7" t="e">
        <f t="shared" si="19"/>
        <v>#DIV/0!</v>
      </c>
      <c r="AH76" s="7" t="e">
        <f t="shared" si="20"/>
        <v>#DIV/0!</v>
      </c>
      <c r="AI76" s="8" t="e">
        <f t="shared" si="21"/>
        <v>#DIV/0!</v>
      </c>
    </row>
    <row r="77" spans="1:35" ht="33" hidden="1" customHeight="1">
      <c r="A77" s="40">
        <v>0</v>
      </c>
      <c r="B77" s="24"/>
      <c r="C77" s="25"/>
      <c r="D77" s="24"/>
      <c r="E77" s="24"/>
      <c r="F77" s="24"/>
      <c r="G77" s="24"/>
      <c r="H77" s="24"/>
      <c r="I77" s="24"/>
      <c r="J77" s="24"/>
      <c r="K77" s="24"/>
      <c r="L77" s="24"/>
      <c r="M77" s="24"/>
      <c r="N77" s="24"/>
      <c r="O77" s="82"/>
      <c r="P77" s="82"/>
      <c r="Q77" s="24"/>
      <c r="R77" s="24"/>
      <c r="S77" s="24"/>
      <c r="T77" s="24"/>
      <c r="U77" s="26">
        <f t="shared" si="30"/>
        <v>0</v>
      </c>
      <c r="V77" s="26">
        <f t="shared" si="31"/>
        <v>0</v>
      </c>
      <c r="W77" s="26">
        <f t="shared" si="32"/>
        <v>0</v>
      </c>
      <c r="X77" s="26">
        <f t="shared" si="33"/>
        <v>0</v>
      </c>
      <c r="Y77" s="26">
        <f t="shared" si="34"/>
        <v>0</v>
      </c>
      <c r="Z77" s="26">
        <f t="shared" si="35"/>
        <v>0</v>
      </c>
      <c r="AA77" s="26">
        <f t="shared" si="36"/>
        <v>0</v>
      </c>
      <c r="AB77" s="26">
        <f t="shared" si="37"/>
        <v>0</v>
      </c>
      <c r="AC77" s="26" t="e">
        <f t="shared" si="15"/>
        <v>#DIV/0!</v>
      </c>
      <c r="AD77" s="26" t="e">
        <f t="shared" si="16"/>
        <v>#DIV/0!</v>
      </c>
      <c r="AE77" s="19" t="e">
        <f t="shared" si="17"/>
        <v>#DIV/0!</v>
      </c>
      <c r="AF77" s="7" t="e">
        <f t="shared" si="18"/>
        <v>#DIV/0!</v>
      </c>
      <c r="AG77" s="7" t="e">
        <f t="shared" si="19"/>
        <v>#DIV/0!</v>
      </c>
      <c r="AH77" s="7" t="e">
        <f t="shared" si="20"/>
        <v>#DIV/0!</v>
      </c>
      <c r="AI77" s="8" t="e">
        <f t="shared" si="21"/>
        <v>#DIV/0!</v>
      </c>
    </row>
    <row r="78" spans="1:35" ht="33" hidden="1" customHeight="1">
      <c r="A78" s="40">
        <v>0</v>
      </c>
      <c r="B78" s="24"/>
      <c r="C78" s="25"/>
      <c r="D78" s="24"/>
      <c r="E78" s="24"/>
      <c r="F78" s="24"/>
      <c r="G78" s="24"/>
      <c r="H78" s="24"/>
      <c r="I78" s="24"/>
      <c r="J78" s="24"/>
      <c r="K78" s="24"/>
      <c r="L78" s="24"/>
      <c r="M78" s="24"/>
      <c r="N78" s="24"/>
      <c r="O78" s="82"/>
      <c r="P78" s="82"/>
      <c r="Q78" s="24"/>
      <c r="R78" s="24"/>
      <c r="S78" s="24"/>
      <c r="T78" s="24"/>
      <c r="U78" s="26">
        <f t="shared" si="30"/>
        <v>0</v>
      </c>
      <c r="V78" s="26">
        <f t="shared" si="31"/>
        <v>0</v>
      </c>
      <c r="W78" s="26">
        <f t="shared" si="32"/>
        <v>0</v>
      </c>
      <c r="X78" s="26">
        <f t="shared" si="33"/>
        <v>0</v>
      </c>
      <c r="Y78" s="26">
        <f t="shared" si="34"/>
        <v>0</v>
      </c>
      <c r="Z78" s="26">
        <f t="shared" si="35"/>
        <v>0</v>
      </c>
      <c r="AA78" s="26">
        <f t="shared" si="36"/>
        <v>0</v>
      </c>
      <c r="AB78" s="26">
        <f t="shared" si="37"/>
        <v>0</v>
      </c>
      <c r="AC78" s="26" t="e">
        <f t="shared" si="15"/>
        <v>#DIV/0!</v>
      </c>
      <c r="AD78" s="26" t="e">
        <f t="shared" si="16"/>
        <v>#DIV/0!</v>
      </c>
      <c r="AE78" s="19" t="e">
        <f t="shared" si="17"/>
        <v>#DIV/0!</v>
      </c>
      <c r="AF78" s="7" t="e">
        <f t="shared" si="18"/>
        <v>#DIV/0!</v>
      </c>
      <c r="AG78" s="7" t="e">
        <f t="shared" si="19"/>
        <v>#DIV/0!</v>
      </c>
      <c r="AH78" s="7" t="e">
        <f t="shared" si="20"/>
        <v>#DIV/0!</v>
      </c>
      <c r="AI78" s="8" t="e">
        <f t="shared" si="21"/>
        <v>#DIV/0!</v>
      </c>
    </row>
    <row r="79" spans="1:35" ht="33" hidden="1" customHeight="1">
      <c r="A79" s="40">
        <v>0</v>
      </c>
      <c r="B79" s="24"/>
      <c r="C79" s="25"/>
      <c r="D79" s="24"/>
      <c r="E79" s="24"/>
      <c r="F79" s="24"/>
      <c r="G79" s="24"/>
      <c r="H79" s="24"/>
      <c r="I79" s="24"/>
      <c r="J79" s="24"/>
      <c r="K79" s="24"/>
      <c r="L79" s="24"/>
      <c r="M79" s="24"/>
      <c r="N79" s="24"/>
      <c r="O79" s="82"/>
      <c r="P79" s="82"/>
      <c r="Q79" s="24"/>
      <c r="R79" s="24"/>
      <c r="S79" s="24"/>
      <c r="T79" s="24"/>
      <c r="U79" s="26">
        <f t="shared" si="30"/>
        <v>0</v>
      </c>
      <c r="V79" s="26">
        <f t="shared" si="31"/>
        <v>0</v>
      </c>
      <c r="W79" s="26">
        <f t="shared" si="32"/>
        <v>0</v>
      </c>
      <c r="X79" s="26">
        <f t="shared" si="33"/>
        <v>0</v>
      </c>
      <c r="Y79" s="26">
        <f t="shared" si="34"/>
        <v>0</v>
      </c>
      <c r="Z79" s="26">
        <f t="shared" si="35"/>
        <v>0</v>
      </c>
      <c r="AA79" s="26">
        <f t="shared" si="36"/>
        <v>0</v>
      </c>
      <c r="AB79" s="26">
        <f t="shared" si="37"/>
        <v>0</v>
      </c>
      <c r="AC79" s="26" t="e">
        <f t="shared" si="15"/>
        <v>#DIV/0!</v>
      </c>
      <c r="AD79" s="26" t="e">
        <f t="shared" si="16"/>
        <v>#DIV/0!</v>
      </c>
      <c r="AE79" s="19" t="e">
        <f t="shared" si="17"/>
        <v>#DIV/0!</v>
      </c>
      <c r="AF79" s="7" t="e">
        <f t="shared" si="18"/>
        <v>#DIV/0!</v>
      </c>
      <c r="AG79" s="7" t="e">
        <f t="shared" si="19"/>
        <v>#DIV/0!</v>
      </c>
      <c r="AH79" s="7" t="e">
        <f t="shared" si="20"/>
        <v>#DIV/0!</v>
      </c>
      <c r="AI79" s="8" t="e">
        <f t="shared" si="21"/>
        <v>#DIV/0!</v>
      </c>
    </row>
    <row r="80" spans="1:35" ht="33" hidden="1" customHeight="1">
      <c r="A80" s="40">
        <v>0</v>
      </c>
      <c r="B80" s="24"/>
      <c r="C80" s="25"/>
      <c r="D80" s="24"/>
      <c r="E80" s="24"/>
      <c r="F80" s="24"/>
      <c r="G80" s="24"/>
      <c r="H80" s="24"/>
      <c r="I80" s="24"/>
      <c r="J80" s="24"/>
      <c r="K80" s="24"/>
      <c r="L80" s="24"/>
      <c r="M80" s="24"/>
      <c r="N80" s="24"/>
      <c r="O80" s="82"/>
      <c r="P80" s="82"/>
      <c r="Q80" s="24"/>
      <c r="R80" s="24"/>
      <c r="S80" s="24"/>
      <c r="T80" s="24"/>
      <c r="U80" s="26">
        <f t="shared" si="30"/>
        <v>0</v>
      </c>
      <c r="V80" s="26">
        <f t="shared" ref="V80:V139" si="38">IF($D$12="CO1",D80,0)+IF($E$12="CO1",E80,0)+IF($F$12="CO1",F80,0)+IF($G$12="CO1",G80,0)+IF($H$12="CO1",H80,0)+IF($I$12="CO1",I80,0)+IF($J$12="CO1",J80,0)+IF($K$12="CO1",K80,0)+IF($L$12="CO1",L80,0)+IF($M$12="CO1",M80,0)+IF($N$12="CO1",N80,0)+IF($O$12="CO1",O80,0)+IF($P$12="CO1",P80,0)+IF($Q$12="CO1",Q80,0)+IF($R$12="CO1",R80,0)+IF($S$12="CO1",S80,0)+IF($T$12="CO1",T80,0)</f>
        <v>0</v>
      </c>
      <c r="W80" s="26">
        <f t="shared" ref="W80:W139" si="39">IF($D$12="CO2",D80,0)+IF($E$12="CO2",E80,0)+IF($F$12="CO2",F80,0)+IF($G$12="CO2",G80,0)+IF($H$12="CO2",H80,0)+IF($I$12="CO2",I80,0)+IF($J$12="CO2",J80,0)+IF($K$12="CO2",K80,0)+IF($L$12="CO2",L80,0)+IF($M$12="CO2",M80,0)+IF($N$12="CO2",N80,0)+IF($O$12="CO2",O80,0)+IF($P$12="CO2",P80,0)+IF($Q$12="CO2",Q80,0)+IF($R$12="CO2",R80,0)+IF($S$12="CO2",S80,0)+IF($T$12="CO2",T80,0)</f>
        <v>0</v>
      </c>
      <c r="X80" s="26">
        <f t="shared" ref="X80:X139" si="40">IF($D$12="CO3",D80,0)+IF($E$12="CO3",E80,0)+IF($F$12="CO3",F80,0)+IF($G$12="CO3",G80,0)+IF($H$12="CO3",H80,0)+IF($I$12="CO3",I80,0)+IF($J$12="CO3",J80,0)+IF($K$12="CO3",K80,0)+IF($L$12="CO3",L80,0)+IF($M$12="CO3",M80,0)+IF($N$12="CO3",N80,0)+IF($O$12="CO3",O80,0)+IF($P$12="CO3",P80,0)+IF($Q$12="CO3",Q80,0)+IF($R$12="CO3",R80,0)+IF($S$12="CO3",S80,0)+IF($T$12="CO3",T80,0)</f>
        <v>0</v>
      </c>
      <c r="Y80" s="26">
        <f t="shared" ref="Y80:Y139" si="41">IF($D$12="CO4",D80,0)+IF($E$12="CO4",E80,0)+IF($F$12="CO4",F80,0)+IF($G$12="CO4",G80,0)+IF($H$12="CO4",H80,0)+IF($I$12="CO4",I80,0)+IF($J$12="CO4",J80,0)+IF($K$12="CO4",K80,0)+IF($L$12="CO4",L80,0)+IF($M$12="CO4",M80,0)+IF($N$12="CO4",N80,0)+IF($O$12="CO4",O80,0)+IF($P$12="CO4",P80,0)+IF($Q$12="CO4",Q80,0)+IF($R$12="CO4",R80,0)+IF($S$12="CO4",S80,0)+IF($T$12="CO4",T80,0)</f>
        <v>0</v>
      </c>
      <c r="Z80" s="26">
        <f t="shared" ref="Z80:Z139" si="42">IF($D$12="CO5",D80,0)+IF($E$12="CO5",E80,0)+IF($F$12="CO5",F80,0)+IF($G$12="CO5",G80,0)+IF($H$12="CO5",H80,0)+IF($I$12="CO5",I80,0)+IF($J$12="CO5",J80,0)+IF($K$12="CO5",K80,0)+IF($L$12="CO5",L80,0)+IF($M$12="CO5",M80,0)+IF($N$12="CO5",N80,0)+IF($O$12="CO5",O80,0)+IF($P$12="CO5",P80,0)+IF($Q$12="CO5",Q80,0)+IF($R$12="CO5",R80,0)+IF($S$12="CO5",S80,0)+IF($T$12="CO5",T80,0)</f>
        <v>0</v>
      </c>
      <c r="AA80" s="26">
        <f t="shared" ref="AA80:AA139" si="43">IF($D$12="CO6",D80,0)+IF($E$12="CO6",E80,0)+IF($F$12="CO6",F80,0)+IF($G$12="CO6",G80,0)+IF($H$12="CO6",H80,0)+IF($I$12="CO6",I80,0)+IF($J$12="CO6",J80,0)+IF($K$12="CO6",K80,0)+IF($L$12="CO6",L80,0)+IF($M$12="CO6",M80,0)+IF($N$12="CO6",N80,0)+IF($O$12="CO6",O80,0)+IF($P$12="CO6",P80,0)+IF($Q$12="CO6",Q80,0)+IF($R$12="CO6",R80,0)+IF($S$12="CO6",S80,0)+IF($T$12="CO6",T80,0)</f>
        <v>0</v>
      </c>
      <c r="AB80" s="26">
        <f t="shared" ref="AB80:AB139" si="44">IF($D$12="CO7",D80,0)+IF($E$12="CO7",E80,0)+IF($F$12="CO7",F80,0)+IF($G$12="CO7",G80,0)+IF($H$12="CO7",H80,0)+IF($I$12="CO7",I80,0)+IF($J$12="CO7",J80,0)+IF($K$12="CO7",K80,0)+IF($L$12="CO7",L80,0)+IF($M$12="CO7",M80,0)+IF($N$12="CO7",N80,0)+IF($O$12="CO7",O80,0)+IF($P$12="CO7",P80,0)+IF($Q$12="CO7",Q80,0)+IF($R$12="CO7",R80,0)+IF($S$12="CO7",S80,0)+IF($T$12="CO7",T80,0)</f>
        <v>0</v>
      </c>
      <c r="AC80" s="26" t="e">
        <f t="shared" si="8"/>
        <v>#DIV/0!</v>
      </c>
      <c r="AD80" s="26" t="e">
        <f t="shared" si="9"/>
        <v>#DIV/0!</v>
      </c>
      <c r="AE80" s="19" t="e">
        <f t="shared" si="10"/>
        <v>#DIV/0!</v>
      </c>
      <c r="AF80" s="7" t="e">
        <f t="shared" si="11"/>
        <v>#DIV/0!</v>
      </c>
      <c r="AG80" s="7" t="e">
        <f t="shared" si="12"/>
        <v>#DIV/0!</v>
      </c>
      <c r="AH80" s="7" t="e">
        <f t="shared" si="13"/>
        <v>#DIV/0!</v>
      </c>
      <c r="AI80" s="8" t="e">
        <f t="shared" si="14"/>
        <v>#DIV/0!</v>
      </c>
    </row>
    <row r="81" spans="1:35" ht="33" hidden="1" customHeight="1">
      <c r="A81" s="40">
        <v>0</v>
      </c>
      <c r="B81" s="24"/>
      <c r="C81" s="25"/>
      <c r="D81" s="24"/>
      <c r="E81" s="24"/>
      <c r="F81" s="24"/>
      <c r="G81" s="24"/>
      <c r="H81" s="24"/>
      <c r="I81" s="24"/>
      <c r="J81" s="24"/>
      <c r="K81" s="24"/>
      <c r="L81" s="24"/>
      <c r="M81" s="24"/>
      <c r="N81" s="24"/>
      <c r="O81" s="82"/>
      <c r="P81" s="82"/>
      <c r="Q81" s="24"/>
      <c r="R81" s="24"/>
      <c r="S81" s="24"/>
      <c r="T81" s="24"/>
      <c r="U81" s="26">
        <f t="shared" si="30"/>
        <v>0</v>
      </c>
      <c r="V81" s="26">
        <f t="shared" si="38"/>
        <v>0</v>
      </c>
      <c r="W81" s="26">
        <f t="shared" si="39"/>
        <v>0</v>
      </c>
      <c r="X81" s="26">
        <f t="shared" si="40"/>
        <v>0</v>
      </c>
      <c r="Y81" s="26">
        <f t="shared" si="41"/>
        <v>0</v>
      </c>
      <c r="Z81" s="26">
        <f t="shared" si="42"/>
        <v>0</v>
      </c>
      <c r="AA81" s="26">
        <f t="shared" si="43"/>
        <v>0</v>
      </c>
      <c r="AB81" s="26">
        <f t="shared" si="44"/>
        <v>0</v>
      </c>
      <c r="AC81" s="26" t="e">
        <f t="shared" si="8"/>
        <v>#DIV/0!</v>
      </c>
      <c r="AD81" s="26" t="e">
        <f t="shared" si="9"/>
        <v>#DIV/0!</v>
      </c>
      <c r="AE81" s="19" t="e">
        <f t="shared" si="10"/>
        <v>#DIV/0!</v>
      </c>
      <c r="AF81" s="7" t="e">
        <f t="shared" si="11"/>
        <v>#DIV/0!</v>
      </c>
      <c r="AG81" s="7" t="e">
        <f t="shared" si="12"/>
        <v>#DIV/0!</v>
      </c>
      <c r="AH81" s="7" t="e">
        <f t="shared" si="13"/>
        <v>#DIV/0!</v>
      </c>
      <c r="AI81" s="8" t="e">
        <f t="shared" si="14"/>
        <v>#DIV/0!</v>
      </c>
    </row>
    <row r="82" spans="1:35" ht="33" hidden="1" customHeight="1">
      <c r="A82" s="40">
        <v>0</v>
      </c>
      <c r="B82" s="24"/>
      <c r="C82" s="25"/>
      <c r="D82" s="24"/>
      <c r="E82" s="24"/>
      <c r="F82" s="24"/>
      <c r="G82" s="24"/>
      <c r="H82" s="24"/>
      <c r="I82" s="24"/>
      <c r="J82" s="24"/>
      <c r="K82" s="24"/>
      <c r="L82" s="24"/>
      <c r="M82" s="24"/>
      <c r="N82" s="24"/>
      <c r="O82" s="82"/>
      <c r="P82" s="82"/>
      <c r="Q82" s="24"/>
      <c r="R82" s="24"/>
      <c r="S82" s="24"/>
      <c r="T82" s="24"/>
      <c r="U82" s="26">
        <f t="shared" si="30"/>
        <v>0</v>
      </c>
      <c r="V82" s="26">
        <f t="shared" si="38"/>
        <v>0</v>
      </c>
      <c r="W82" s="26">
        <f t="shared" si="39"/>
        <v>0</v>
      </c>
      <c r="X82" s="26">
        <f t="shared" si="40"/>
        <v>0</v>
      </c>
      <c r="Y82" s="26">
        <f t="shared" si="41"/>
        <v>0</v>
      </c>
      <c r="Z82" s="26">
        <f t="shared" si="42"/>
        <v>0</v>
      </c>
      <c r="AA82" s="26">
        <f t="shared" si="43"/>
        <v>0</v>
      </c>
      <c r="AB82" s="26">
        <f t="shared" si="44"/>
        <v>0</v>
      </c>
      <c r="AC82" s="26" t="e">
        <f t="shared" si="8"/>
        <v>#DIV/0!</v>
      </c>
      <c r="AD82" s="26" t="e">
        <f t="shared" si="9"/>
        <v>#DIV/0!</v>
      </c>
      <c r="AE82" s="19" t="e">
        <f t="shared" si="10"/>
        <v>#DIV/0!</v>
      </c>
      <c r="AF82" s="7" t="e">
        <f t="shared" si="11"/>
        <v>#DIV/0!</v>
      </c>
      <c r="AG82" s="7" t="e">
        <f t="shared" si="12"/>
        <v>#DIV/0!</v>
      </c>
      <c r="AH82" s="7" t="e">
        <f t="shared" si="13"/>
        <v>#DIV/0!</v>
      </c>
      <c r="AI82" s="8" t="e">
        <f t="shared" si="14"/>
        <v>#DIV/0!</v>
      </c>
    </row>
    <row r="83" spans="1:35" ht="33" hidden="1" customHeight="1">
      <c r="A83" s="40">
        <v>0</v>
      </c>
      <c r="B83" s="24"/>
      <c r="C83" s="25"/>
      <c r="D83" s="24"/>
      <c r="E83" s="24"/>
      <c r="F83" s="24"/>
      <c r="G83" s="24"/>
      <c r="H83" s="24"/>
      <c r="I83" s="24"/>
      <c r="J83" s="24"/>
      <c r="K83" s="24"/>
      <c r="L83" s="24"/>
      <c r="M83" s="24"/>
      <c r="N83" s="24"/>
      <c r="O83" s="82"/>
      <c r="P83" s="82"/>
      <c r="Q83" s="24"/>
      <c r="R83" s="24"/>
      <c r="S83" s="24"/>
      <c r="T83" s="24"/>
      <c r="U83" s="26">
        <f t="shared" si="30"/>
        <v>0</v>
      </c>
      <c r="V83" s="26">
        <f t="shared" si="38"/>
        <v>0</v>
      </c>
      <c r="W83" s="26">
        <f t="shared" si="39"/>
        <v>0</v>
      </c>
      <c r="X83" s="26">
        <f t="shared" si="40"/>
        <v>0</v>
      </c>
      <c r="Y83" s="26">
        <f t="shared" si="41"/>
        <v>0</v>
      </c>
      <c r="Z83" s="26">
        <f t="shared" si="42"/>
        <v>0</v>
      </c>
      <c r="AA83" s="26">
        <f t="shared" si="43"/>
        <v>0</v>
      </c>
      <c r="AB83" s="26">
        <f t="shared" si="44"/>
        <v>0</v>
      </c>
      <c r="AC83" s="26" t="e">
        <f t="shared" si="8"/>
        <v>#DIV/0!</v>
      </c>
      <c r="AD83" s="26" t="e">
        <f t="shared" si="9"/>
        <v>#DIV/0!</v>
      </c>
      <c r="AE83" s="19" t="e">
        <f t="shared" si="10"/>
        <v>#DIV/0!</v>
      </c>
      <c r="AF83" s="7" t="e">
        <f t="shared" si="11"/>
        <v>#DIV/0!</v>
      </c>
      <c r="AG83" s="7" t="e">
        <f t="shared" si="12"/>
        <v>#DIV/0!</v>
      </c>
      <c r="AH83" s="7" t="e">
        <f t="shared" si="13"/>
        <v>#DIV/0!</v>
      </c>
      <c r="AI83" s="8" t="e">
        <f t="shared" si="14"/>
        <v>#DIV/0!</v>
      </c>
    </row>
    <row r="84" spans="1:35" ht="33" hidden="1" customHeight="1">
      <c r="A84" s="40">
        <v>0</v>
      </c>
      <c r="B84" s="24"/>
      <c r="C84" s="25"/>
      <c r="D84" s="24"/>
      <c r="E84" s="24"/>
      <c r="F84" s="24"/>
      <c r="G84" s="24"/>
      <c r="H84" s="24"/>
      <c r="I84" s="24"/>
      <c r="J84" s="24"/>
      <c r="K84" s="24"/>
      <c r="L84" s="24"/>
      <c r="M84" s="24"/>
      <c r="N84" s="24"/>
      <c r="O84" s="82"/>
      <c r="P84" s="82"/>
      <c r="Q84" s="24"/>
      <c r="R84" s="24"/>
      <c r="S84" s="24"/>
      <c r="T84" s="24"/>
      <c r="U84" s="26">
        <f t="shared" si="30"/>
        <v>0</v>
      </c>
      <c r="V84" s="26">
        <f t="shared" si="38"/>
        <v>0</v>
      </c>
      <c r="W84" s="26">
        <f t="shared" si="39"/>
        <v>0</v>
      </c>
      <c r="X84" s="26">
        <f t="shared" si="40"/>
        <v>0</v>
      </c>
      <c r="Y84" s="26">
        <f t="shared" si="41"/>
        <v>0</v>
      </c>
      <c r="Z84" s="26">
        <f t="shared" si="42"/>
        <v>0</v>
      </c>
      <c r="AA84" s="26">
        <f t="shared" si="43"/>
        <v>0</v>
      </c>
      <c r="AB84" s="26">
        <f t="shared" si="44"/>
        <v>0</v>
      </c>
      <c r="AC84" s="26" t="e">
        <f t="shared" si="8"/>
        <v>#DIV/0!</v>
      </c>
      <c r="AD84" s="26" t="e">
        <f t="shared" si="9"/>
        <v>#DIV/0!</v>
      </c>
      <c r="AE84" s="19" t="e">
        <f t="shared" si="10"/>
        <v>#DIV/0!</v>
      </c>
      <c r="AF84" s="7" t="e">
        <f t="shared" si="11"/>
        <v>#DIV/0!</v>
      </c>
      <c r="AG84" s="7" t="e">
        <f t="shared" si="12"/>
        <v>#DIV/0!</v>
      </c>
      <c r="AH84" s="7" t="e">
        <f t="shared" si="13"/>
        <v>#DIV/0!</v>
      </c>
      <c r="AI84" s="8" t="e">
        <f t="shared" si="14"/>
        <v>#DIV/0!</v>
      </c>
    </row>
    <row r="85" spans="1:35" ht="33" hidden="1" customHeight="1">
      <c r="A85" s="40">
        <v>0</v>
      </c>
      <c r="B85" s="24"/>
      <c r="C85" s="25"/>
      <c r="D85" s="24"/>
      <c r="E85" s="24"/>
      <c r="F85" s="24"/>
      <c r="G85" s="24"/>
      <c r="H85" s="24"/>
      <c r="I85" s="24"/>
      <c r="J85" s="24"/>
      <c r="K85" s="24"/>
      <c r="L85" s="24"/>
      <c r="M85" s="24"/>
      <c r="N85" s="24"/>
      <c r="O85" s="82"/>
      <c r="P85" s="82"/>
      <c r="Q85" s="24"/>
      <c r="R85" s="24"/>
      <c r="S85" s="24"/>
      <c r="T85" s="24"/>
      <c r="U85" s="26">
        <f t="shared" si="30"/>
        <v>0</v>
      </c>
      <c r="V85" s="26">
        <f t="shared" si="38"/>
        <v>0</v>
      </c>
      <c r="W85" s="26">
        <f t="shared" si="39"/>
        <v>0</v>
      </c>
      <c r="X85" s="26">
        <f t="shared" si="40"/>
        <v>0</v>
      </c>
      <c r="Y85" s="26">
        <f t="shared" si="41"/>
        <v>0</v>
      </c>
      <c r="Z85" s="26">
        <f t="shared" si="42"/>
        <v>0</v>
      </c>
      <c r="AA85" s="26">
        <f t="shared" si="43"/>
        <v>0</v>
      </c>
      <c r="AB85" s="26">
        <f t="shared" si="44"/>
        <v>0</v>
      </c>
      <c r="AC85" s="26" t="e">
        <f t="shared" si="8"/>
        <v>#DIV/0!</v>
      </c>
      <c r="AD85" s="26" t="e">
        <f t="shared" si="9"/>
        <v>#DIV/0!</v>
      </c>
      <c r="AE85" s="19" t="e">
        <f t="shared" si="10"/>
        <v>#DIV/0!</v>
      </c>
      <c r="AF85" s="7" t="e">
        <f t="shared" si="11"/>
        <v>#DIV/0!</v>
      </c>
      <c r="AG85" s="7" t="e">
        <f t="shared" si="12"/>
        <v>#DIV/0!</v>
      </c>
      <c r="AH85" s="7" t="e">
        <f t="shared" si="13"/>
        <v>#DIV/0!</v>
      </c>
      <c r="AI85" s="8" t="e">
        <f t="shared" si="14"/>
        <v>#DIV/0!</v>
      </c>
    </row>
    <row r="86" spans="1:35" ht="33" hidden="1" customHeight="1">
      <c r="A86" s="40">
        <v>0</v>
      </c>
      <c r="B86" s="24"/>
      <c r="C86" s="25"/>
      <c r="D86" s="24"/>
      <c r="E86" s="24"/>
      <c r="F86" s="24"/>
      <c r="G86" s="24"/>
      <c r="H86" s="24"/>
      <c r="I86" s="24"/>
      <c r="J86" s="24"/>
      <c r="K86" s="24"/>
      <c r="L86" s="24"/>
      <c r="M86" s="24"/>
      <c r="N86" s="24"/>
      <c r="O86" s="82"/>
      <c r="P86" s="82"/>
      <c r="Q86" s="24"/>
      <c r="R86" s="24"/>
      <c r="S86" s="24"/>
      <c r="T86" s="24"/>
      <c r="U86" s="26">
        <f t="shared" si="30"/>
        <v>0</v>
      </c>
      <c r="V86" s="26">
        <f t="shared" si="38"/>
        <v>0</v>
      </c>
      <c r="W86" s="26">
        <f t="shared" si="39"/>
        <v>0</v>
      </c>
      <c r="X86" s="26">
        <f t="shared" si="40"/>
        <v>0</v>
      </c>
      <c r="Y86" s="26">
        <f t="shared" si="41"/>
        <v>0</v>
      </c>
      <c r="Z86" s="26">
        <f t="shared" si="42"/>
        <v>0</v>
      </c>
      <c r="AA86" s="26">
        <f t="shared" si="43"/>
        <v>0</v>
      </c>
      <c r="AB86" s="26">
        <f t="shared" si="44"/>
        <v>0</v>
      </c>
      <c r="AC86" s="26" t="e">
        <f t="shared" si="8"/>
        <v>#DIV/0!</v>
      </c>
      <c r="AD86" s="26" t="e">
        <f t="shared" si="9"/>
        <v>#DIV/0!</v>
      </c>
      <c r="AE86" s="19" t="e">
        <f t="shared" si="10"/>
        <v>#DIV/0!</v>
      </c>
      <c r="AF86" s="7" t="e">
        <f t="shared" si="11"/>
        <v>#DIV/0!</v>
      </c>
      <c r="AG86" s="7" t="e">
        <f t="shared" si="12"/>
        <v>#DIV/0!</v>
      </c>
      <c r="AH86" s="7" t="e">
        <f t="shared" si="13"/>
        <v>#DIV/0!</v>
      </c>
      <c r="AI86" s="8" t="e">
        <f t="shared" si="14"/>
        <v>#DIV/0!</v>
      </c>
    </row>
    <row r="87" spans="1:35" ht="33" hidden="1" customHeight="1">
      <c r="A87" s="40">
        <v>0</v>
      </c>
      <c r="B87" s="24"/>
      <c r="C87" s="25"/>
      <c r="D87" s="24"/>
      <c r="E87" s="24"/>
      <c r="F87" s="24"/>
      <c r="G87" s="24"/>
      <c r="H87" s="24"/>
      <c r="I87" s="24"/>
      <c r="J87" s="24"/>
      <c r="K87" s="24"/>
      <c r="L87" s="24"/>
      <c r="M87" s="24"/>
      <c r="N87" s="24"/>
      <c r="O87" s="82"/>
      <c r="P87" s="82"/>
      <c r="Q87" s="24"/>
      <c r="R87" s="24"/>
      <c r="S87" s="24"/>
      <c r="T87" s="24"/>
      <c r="U87" s="26">
        <f t="shared" si="30"/>
        <v>0</v>
      </c>
      <c r="V87" s="26">
        <f t="shared" si="38"/>
        <v>0</v>
      </c>
      <c r="W87" s="26">
        <f t="shared" si="39"/>
        <v>0</v>
      </c>
      <c r="X87" s="26">
        <f t="shared" si="40"/>
        <v>0</v>
      </c>
      <c r="Y87" s="26">
        <f t="shared" si="41"/>
        <v>0</v>
      </c>
      <c r="Z87" s="26">
        <f t="shared" si="42"/>
        <v>0</v>
      </c>
      <c r="AA87" s="26">
        <f t="shared" si="43"/>
        <v>0</v>
      </c>
      <c r="AB87" s="26">
        <f t="shared" si="44"/>
        <v>0</v>
      </c>
      <c r="AC87" s="26" t="e">
        <f t="shared" si="8"/>
        <v>#DIV/0!</v>
      </c>
      <c r="AD87" s="26" t="e">
        <f t="shared" si="9"/>
        <v>#DIV/0!</v>
      </c>
      <c r="AE87" s="19" t="e">
        <f t="shared" si="10"/>
        <v>#DIV/0!</v>
      </c>
      <c r="AF87" s="7" t="e">
        <f t="shared" si="11"/>
        <v>#DIV/0!</v>
      </c>
      <c r="AG87" s="7" t="e">
        <f t="shared" si="12"/>
        <v>#DIV/0!</v>
      </c>
      <c r="AH87" s="7" t="e">
        <f t="shared" si="13"/>
        <v>#DIV/0!</v>
      </c>
      <c r="AI87" s="8" t="e">
        <f t="shared" si="14"/>
        <v>#DIV/0!</v>
      </c>
    </row>
    <row r="88" spans="1:35" ht="33" hidden="1" customHeight="1">
      <c r="A88" s="40">
        <v>0</v>
      </c>
      <c r="B88" s="24"/>
      <c r="C88" s="25"/>
      <c r="D88" s="24"/>
      <c r="E88" s="24"/>
      <c r="F88" s="24"/>
      <c r="G88" s="24"/>
      <c r="H88" s="24"/>
      <c r="I88" s="24"/>
      <c r="J88" s="24"/>
      <c r="K88" s="24"/>
      <c r="L88" s="24"/>
      <c r="M88" s="24"/>
      <c r="N88" s="24"/>
      <c r="O88" s="82"/>
      <c r="P88" s="82"/>
      <c r="Q88" s="24"/>
      <c r="R88" s="24"/>
      <c r="S88" s="24"/>
      <c r="T88" s="24"/>
      <c r="U88" s="26">
        <f t="shared" si="30"/>
        <v>0</v>
      </c>
      <c r="V88" s="26">
        <f t="shared" si="38"/>
        <v>0</v>
      </c>
      <c r="W88" s="26">
        <f t="shared" si="39"/>
        <v>0</v>
      </c>
      <c r="X88" s="26">
        <f t="shared" si="40"/>
        <v>0</v>
      </c>
      <c r="Y88" s="26">
        <f t="shared" si="41"/>
        <v>0</v>
      </c>
      <c r="Z88" s="26">
        <f t="shared" si="42"/>
        <v>0</v>
      </c>
      <c r="AA88" s="26">
        <f t="shared" si="43"/>
        <v>0</v>
      </c>
      <c r="AB88" s="26">
        <f t="shared" si="44"/>
        <v>0</v>
      </c>
      <c r="AC88" s="26" t="e">
        <f t="shared" si="8"/>
        <v>#DIV/0!</v>
      </c>
      <c r="AD88" s="26" t="e">
        <f t="shared" si="9"/>
        <v>#DIV/0!</v>
      </c>
      <c r="AE88" s="19" t="e">
        <f t="shared" si="10"/>
        <v>#DIV/0!</v>
      </c>
      <c r="AF88" s="7" t="e">
        <f t="shared" si="11"/>
        <v>#DIV/0!</v>
      </c>
      <c r="AG88" s="7" t="e">
        <f t="shared" si="12"/>
        <v>#DIV/0!</v>
      </c>
      <c r="AH88" s="7" t="e">
        <f t="shared" si="13"/>
        <v>#DIV/0!</v>
      </c>
      <c r="AI88" s="8" t="e">
        <f t="shared" si="14"/>
        <v>#DIV/0!</v>
      </c>
    </row>
    <row r="89" spans="1:35" ht="33" hidden="1" customHeight="1">
      <c r="A89" s="40">
        <v>0</v>
      </c>
      <c r="B89" s="24"/>
      <c r="C89" s="25"/>
      <c r="D89" s="24"/>
      <c r="E89" s="24"/>
      <c r="F89" s="24"/>
      <c r="G89" s="24"/>
      <c r="H89" s="24"/>
      <c r="I89" s="24"/>
      <c r="J89" s="24"/>
      <c r="K89" s="24"/>
      <c r="L89" s="24"/>
      <c r="M89" s="24"/>
      <c r="N89" s="24"/>
      <c r="O89" s="82"/>
      <c r="P89" s="82"/>
      <c r="Q89" s="24"/>
      <c r="R89" s="24"/>
      <c r="S89" s="24"/>
      <c r="T89" s="24"/>
      <c r="U89" s="26">
        <f t="shared" si="30"/>
        <v>0</v>
      </c>
      <c r="V89" s="26">
        <f t="shared" si="38"/>
        <v>0</v>
      </c>
      <c r="W89" s="26">
        <f t="shared" si="39"/>
        <v>0</v>
      </c>
      <c r="X89" s="26">
        <f t="shared" si="40"/>
        <v>0</v>
      </c>
      <c r="Y89" s="26">
        <f t="shared" si="41"/>
        <v>0</v>
      </c>
      <c r="Z89" s="26">
        <f t="shared" si="42"/>
        <v>0</v>
      </c>
      <c r="AA89" s="26">
        <f t="shared" si="43"/>
        <v>0</v>
      </c>
      <c r="AB89" s="26">
        <f t="shared" si="44"/>
        <v>0</v>
      </c>
      <c r="AC89" s="26" t="e">
        <f t="shared" si="8"/>
        <v>#DIV/0!</v>
      </c>
      <c r="AD89" s="26" t="e">
        <f t="shared" si="9"/>
        <v>#DIV/0!</v>
      </c>
      <c r="AE89" s="19" t="e">
        <f t="shared" si="10"/>
        <v>#DIV/0!</v>
      </c>
      <c r="AF89" s="7" t="e">
        <f t="shared" si="11"/>
        <v>#DIV/0!</v>
      </c>
      <c r="AG89" s="7" t="e">
        <f t="shared" si="12"/>
        <v>#DIV/0!</v>
      </c>
      <c r="AH89" s="7" t="e">
        <f t="shared" si="13"/>
        <v>#DIV/0!</v>
      </c>
      <c r="AI89" s="8" t="e">
        <f t="shared" si="14"/>
        <v>#DIV/0!</v>
      </c>
    </row>
    <row r="90" spans="1:35" ht="33" hidden="1" customHeight="1">
      <c r="A90" s="40">
        <v>0</v>
      </c>
      <c r="B90" s="24"/>
      <c r="C90" s="25"/>
      <c r="D90" s="24"/>
      <c r="E90" s="24"/>
      <c r="F90" s="24"/>
      <c r="G90" s="24"/>
      <c r="H90" s="24"/>
      <c r="I90" s="24"/>
      <c r="J90" s="24"/>
      <c r="K90" s="24"/>
      <c r="L90" s="24"/>
      <c r="M90" s="24"/>
      <c r="N90" s="24"/>
      <c r="O90" s="82"/>
      <c r="P90" s="82"/>
      <c r="Q90" s="24"/>
      <c r="R90" s="24"/>
      <c r="S90" s="24"/>
      <c r="T90" s="24"/>
      <c r="U90" s="26">
        <f t="shared" si="30"/>
        <v>0</v>
      </c>
      <c r="V90" s="26">
        <f t="shared" si="38"/>
        <v>0</v>
      </c>
      <c r="W90" s="26">
        <f t="shared" si="39"/>
        <v>0</v>
      </c>
      <c r="X90" s="26">
        <f t="shared" si="40"/>
        <v>0</v>
      </c>
      <c r="Y90" s="26">
        <f t="shared" si="41"/>
        <v>0</v>
      </c>
      <c r="Z90" s="26">
        <f t="shared" si="42"/>
        <v>0</v>
      </c>
      <c r="AA90" s="26">
        <f t="shared" si="43"/>
        <v>0</v>
      </c>
      <c r="AB90" s="26">
        <f t="shared" si="44"/>
        <v>0</v>
      </c>
      <c r="AC90" s="26" t="e">
        <f t="shared" si="8"/>
        <v>#DIV/0!</v>
      </c>
      <c r="AD90" s="26" t="e">
        <f t="shared" si="9"/>
        <v>#DIV/0!</v>
      </c>
      <c r="AE90" s="19" t="e">
        <f t="shared" si="10"/>
        <v>#DIV/0!</v>
      </c>
      <c r="AF90" s="7" t="e">
        <f t="shared" si="11"/>
        <v>#DIV/0!</v>
      </c>
      <c r="AG90" s="7" t="e">
        <f t="shared" si="12"/>
        <v>#DIV/0!</v>
      </c>
      <c r="AH90" s="7" t="e">
        <f t="shared" si="13"/>
        <v>#DIV/0!</v>
      </c>
      <c r="AI90" s="8" t="e">
        <f t="shared" si="14"/>
        <v>#DIV/0!</v>
      </c>
    </row>
    <row r="91" spans="1:35" ht="33" hidden="1" customHeight="1">
      <c r="A91" s="40">
        <v>0</v>
      </c>
      <c r="B91" s="24"/>
      <c r="C91" s="25"/>
      <c r="D91" s="24"/>
      <c r="E91" s="24"/>
      <c r="F91" s="24"/>
      <c r="G91" s="24"/>
      <c r="H91" s="24"/>
      <c r="I91" s="24"/>
      <c r="J91" s="24"/>
      <c r="K91" s="24"/>
      <c r="L91" s="24"/>
      <c r="M91" s="24"/>
      <c r="N91" s="24"/>
      <c r="O91" s="82"/>
      <c r="P91" s="82"/>
      <c r="Q91" s="24"/>
      <c r="R91" s="24"/>
      <c r="S91" s="24"/>
      <c r="T91" s="24"/>
      <c r="U91" s="26">
        <f t="shared" si="30"/>
        <v>0</v>
      </c>
      <c r="V91" s="26">
        <f t="shared" si="38"/>
        <v>0</v>
      </c>
      <c r="W91" s="26">
        <f t="shared" si="39"/>
        <v>0</v>
      </c>
      <c r="X91" s="26">
        <f t="shared" si="40"/>
        <v>0</v>
      </c>
      <c r="Y91" s="26">
        <f t="shared" si="41"/>
        <v>0</v>
      </c>
      <c r="Z91" s="26">
        <f t="shared" si="42"/>
        <v>0</v>
      </c>
      <c r="AA91" s="26">
        <f t="shared" si="43"/>
        <v>0</v>
      </c>
      <c r="AB91" s="26">
        <f t="shared" si="44"/>
        <v>0</v>
      </c>
      <c r="AC91" s="26" t="e">
        <f t="shared" si="8"/>
        <v>#DIV/0!</v>
      </c>
      <c r="AD91" s="26" t="e">
        <f t="shared" si="9"/>
        <v>#DIV/0!</v>
      </c>
      <c r="AE91" s="19" t="e">
        <f t="shared" si="10"/>
        <v>#DIV/0!</v>
      </c>
      <c r="AF91" s="7" t="e">
        <f t="shared" si="11"/>
        <v>#DIV/0!</v>
      </c>
      <c r="AG91" s="7" t="e">
        <f t="shared" si="12"/>
        <v>#DIV/0!</v>
      </c>
      <c r="AH91" s="7" t="e">
        <f t="shared" si="13"/>
        <v>#DIV/0!</v>
      </c>
      <c r="AI91" s="8" t="e">
        <f t="shared" si="14"/>
        <v>#DIV/0!</v>
      </c>
    </row>
    <row r="92" spans="1:35" ht="33" hidden="1" customHeight="1">
      <c r="A92" s="40">
        <v>0</v>
      </c>
      <c r="B92" s="24"/>
      <c r="C92" s="25"/>
      <c r="D92" s="24"/>
      <c r="E92" s="24"/>
      <c r="F92" s="24"/>
      <c r="G92" s="24"/>
      <c r="H92" s="24"/>
      <c r="I92" s="24"/>
      <c r="J92" s="24"/>
      <c r="K92" s="24"/>
      <c r="L92" s="24"/>
      <c r="M92" s="24"/>
      <c r="N92" s="24"/>
      <c r="O92" s="82"/>
      <c r="P92" s="82"/>
      <c r="Q92" s="24"/>
      <c r="R92" s="24"/>
      <c r="S92" s="24"/>
      <c r="T92" s="24"/>
      <c r="U92" s="26">
        <f t="shared" si="30"/>
        <v>0</v>
      </c>
      <c r="V92" s="26">
        <f t="shared" si="38"/>
        <v>0</v>
      </c>
      <c r="W92" s="26">
        <f t="shared" si="39"/>
        <v>0</v>
      </c>
      <c r="X92" s="26">
        <f t="shared" si="40"/>
        <v>0</v>
      </c>
      <c r="Y92" s="26">
        <f t="shared" si="41"/>
        <v>0</v>
      </c>
      <c r="Z92" s="26">
        <f t="shared" si="42"/>
        <v>0</v>
      </c>
      <c r="AA92" s="26">
        <f t="shared" si="43"/>
        <v>0</v>
      </c>
      <c r="AB92" s="26">
        <f t="shared" si="44"/>
        <v>0</v>
      </c>
      <c r="AC92" s="26" t="e">
        <f t="shared" si="8"/>
        <v>#DIV/0!</v>
      </c>
      <c r="AD92" s="26" t="e">
        <f t="shared" si="9"/>
        <v>#DIV/0!</v>
      </c>
      <c r="AE92" s="19" t="e">
        <f t="shared" si="10"/>
        <v>#DIV/0!</v>
      </c>
      <c r="AF92" s="7" t="e">
        <f t="shared" si="11"/>
        <v>#DIV/0!</v>
      </c>
      <c r="AG92" s="7" t="e">
        <f t="shared" si="12"/>
        <v>#DIV/0!</v>
      </c>
      <c r="AH92" s="7" t="e">
        <f t="shared" si="13"/>
        <v>#DIV/0!</v>
      </c>
      <c r="AI92" s="8" t="e">
        <f t="shared" si="14"/>
        <v>#DIV/0!</v>
      </c>
    </row>
    <row r="93" spans="1:35" ht="33" hidden="1" customHeight="1">
      <c r="A93" s="40">
        <v>0</v>
      </c>
      <c r="B93" s="24"/>
      <c r="C93" s="25"/>
      <c r="D93" s="24"/>
      <c r="E93" s="24"/>
      <c r="F93" s="24"/>
      <c r="G93" s="24"/>
      <c r="H93" s="24"/>
      <c r="I93" s="24"/>
      <c r="J93" s="24"/>
      <c r="K93" s="24"/>
      <c r="L93" s="24"/>
      <c r="M93" s="24"/>
      <c r="N93" s="24"/>
      <c r="O93" s="82"/>
      <c r="P93" s="82"/>
      <c r="Q93" s="24"/>
      <c r="R93" s="24"/>
      <c r="S93" s="24"/>
      <c r="T93" s="24"/>
      <c r="U93" s="26">
        <f t="shared" si="30"/>
        <v>0</v>
      </c>
      <c r="V93" s="26">
        <f t="shared" si="38"/>
        <v>0</v>
      </c>
      <c r="W93" s="26">
        <f t="shared" si="39"/>
        <v>0</v>
      </c>
      <c r="X93" s="26">
        <f t="shared" si="40"/>
        <v>0</v>
      </c>
      <c r="Y93" s="26">
        <f t="shared" si="41"/>
        <v>0</v>
      </c>
      <c r="Z93" s="26">
        <f t="shared" si="42"/>
        <v>0</v>
      </c>
      <c r="AA93" s="26">
        <f t="shared" si="43"/>
        <v>0</v>
      </c>
      <c r="AB93" s="26">
        <f t="shared" si="44"/>
        <v>0</v>
      </c>
      <c r="AC93" s="26" t="e">
        <f t="shared" si="8"/>
        <v>#DIV/0!</v>
      </c>
      <c r="AD93" s="26" t="e">
        <f t="shared" si="9"/>
        <v>#DIV/0!</v>
      </c>
      <c r="AE93" s="19" t="e">
        <f t="shared" si="10"/>
        <v>#DIV/0!</v>
      </c>
      <c r="AF93" s="7" t="e">
        <f t="shared" si="11"/>
        <v>#DIV/0!</v>
      </c>
      <c r="AG93" s="7" t="e">
        <f t="shared" si="12"/>
        <v>#DIV/0!</v>
      </c>
      <c r="AH93" s="7" t="e">
        <f t="shared" si="13"/>
        <v>#DIV/0!</v>
      </c>
      <c r="AI93" s="8" t="e">
        <f t="shared" si="14"/>
        <v>#DIV/0!</v>
      </c>
    </row>
    <row r="94" spans="1:35" ht="33" hidden="1" customHeight="1">
      <c r="A94" s="40">
        <v>0</v>
      </c>
      <c r="B94" s="24"/>
      <c r="C94" s="25"/>
      <c r="D94" s="24"/>
      <c r="E94" s="24"/>
      <c r="F94" s="24"/>
      <c r="G94" s="24"/>
      <c r="H94" s="24"/>
      <c r="I94" s="24"/>
      <c r="J94" s="24"/>
      <c r="K94" s="24"/>
      <c r="L94" s="24"/>
      <c r="M94" s="24"/>
      <c r="N94" s="24"/>
      <c r="O94" s="82"/>
      <c r="P94" s="82"/>
      <c r="Q94" s="24"/>
      <c r="R94" s="24"/>
      <c r="S94" s="24"/>
      <c r="T94" s="24"/>
      <c r="U94" s="26">
        <f t="shared" si="30"/>
        <v>0</v>
      </c>
      <c r="V94" s="26">
        <f t="shared" si="38"/>
        <v>0</v>
      </c>
      <c r="W94" s="26">
        <f t="shared" si="39"/>
        <v>0</v>
      </c>
      <c r="X94" s="26">
        <f t="shared" si="40"/>
        <v>0</v>
      </c>
      <c r="Y94" s="26">
        <f t="shared" si="41"/>
        <v>0</v>
      </c>
      <c r="Z94" s="26">
        <f t="shared" si="42"/>
        <v>0</v>
      </c>
      <c r="AA94" s="26">
        <f t="shared" si="43"/>
        <v>0</v>
      </c>
      <c r="AB94" s="26">
        <f t="shared" si="44"/>
        <v>0</v>
      </c>
      <c r="AC94" s="26" t="e">
        <f t="shared" si="8"/>
        <v>#DIV/0!</v>
      </c>
      <c r="AD94" s="26" t="e">
        <f t="shared" si="9"/>
        <v>#DIV/0!</v>
      </c>
      <c r="AE94" s="19" t="e">
        <f t="shared" si="10"/>
        <v>#DIV/0!</v>
      </c>
      <c r="AF94" s="7" t="e">
        <f t="shared" si="11"/>
        <v>#DIV/0!</v>
      </c>
      <c r="AG94" s="7" t="e">
        <f t="shared" si="12"/>
        <v>#DIV/0!</v>
      </c>
      <c r="AH94" s="7" t="e">
        <f t="shared" si="13"/>
        <v>#DIV/0!</v>
      </c>
      <c r="AI94" s="8" t="e">
        <f t="shared" si="14"/>
        <v>#DIV/0!</v>
      </c>
    </row>
    <row r="95" spans="1:35" ht="33" hidden="1" customHeight="1">
      <c r="A95" s="40">
        <v>0</v>
      </c>
      <c r="B95" s="24"/>
      <c r="C95" s="25"/>
      <c r="D95" s="24"/>
      <c r="E95" s="24"/>
      <c r="F95" s="24"/>
      <c r="G95" s="24"/>
      <c r="H95" s="24"/>
      <c r="I95" s="24"/>
      <c r="J95" s="24"/>
      <c r="K95" s="24"/>
      <c r="L95" s="24"/>
      <c r="M95" s="24"/>
      <c r="N95" s="24"/>
      <c r="O95" s="82"/>
      <c r="P95" s="82"/>
      <c r="Q95" s="24"/>
      <c r="R95" s="24"/>
      <c r="S95" s="24"/>
      <c r="T95" s="24"/>
      <c r="U95" s="26">
        <f t="shared" si="30"/>
        <v>0</v>
      </c>
      <c r="V95" s="26">
        <f t="shared" si="38"/>
        <v>0</v>
      </c>
      <c r="W95" s="26">
        <f t="shared" si="39"/>
        <v>0</v>
      </c>
      <c r="X95" s="26">
        <f t="shared" si="40"/>
        <v>0</v>
      </c>
      <c r="Y95" s="26">
        <f t="shared" si="41"/>
        <v>0</v>
      </c>
      <c r="Z95" s="26">
        <f t="shared" si="42"/>
        <v>0</v>
      </c>
      <c r="AA95" s="26">
        <f t="shared" si="43"/>
        <v>0</v>
      </c>
      <c r="AB95" s="26">
        <f t="shared" si="44"/>
        <v>0</v>
      </c>
      <c r="AC95" s="26" t="e">
        <f t="shared" si="8"/>
        <v>#DIV/0!</v>
      </c>
      <c r="AD95" s="26" t="e">
        <f t="shared" si="9"/>
        <v>#DIV/0!</v>
      </c>
      <c r="AE95" s="19" t="e">
        <f t="shared" si="10"/>
        <v>#DIV/0!</v>
      </c>
      <c r="AF95" s="7" t="e">
        <f t="shared" si="11"/>
        <v>#DIV/0!</v>
      </c>
      <c r="AG95" s="7" t="e">
        <f t="shared" si="12"/>
        <v>#DIV/0!</v>
      </c>
      <c r="AH95" s="7" t="e">
        <f t="shared" si="13"/>
        <v>#DIV/0!</v>
      </c>
      <c r="AI95" s="8" t="e">
        <f t="shared" si="14"/>
        <v>#DIV/0!</v>
      </c>
    </row>
    <row r="96" spans="1:35" ht="33" hidden="1" customHeight="1">
      <c r="A96" s="40">
        <v>0</v>
      </c>
      <c r="B96" s="24"/>
      <c r="C96" s="25"/>
      <c r="D96" s="24"/>
      <c r="E96" s="24"/>
      <c r="F96" s="24"/>
      <c r="G96" s="24"/>
      <c r="H96" s="24"/>
      <c r="I96" s="24"/>
      <c r="J96" s="24"/>
      <c r="K96" s="24"/>
      <c r="L96" s="24"/>
      <c r="M96" s="24"/>
      <c r="N96" s="24"/>
      <c r="O96" s="82"/>
      <c r="P96" s="82"/>
      <c r="Q96" s="24"/>
      <c r="R96" s="24"/>
      <c r="S96" s="24"/>
      <c r="T96" s="24"/>
      <c r="U96" s="26">
        <f t="shared" si="30"/>
        <v>0</v>
      </c>
      <c r="V96" s="26">
        <f t="shared" si="38"/>
        <v>0</v>
      </c>
      <c r="W96" s="26">
        <f t="shared" si="39"/>
        <v>0</v>
      </c>
      <c r="X96" s="26">
        <f t="shared" si="40"/>
        <v>0</v>
      </c>
      <c r="Y96" s="26">
        <f t="shared" si="41"/>
        <v>0</v>
      </c>
      <c r="Z96" s="26">
        <f t="shared" si="42"/>
        <v>0</v>
      </c>
      <c r="AA96" s="26">
        <f t="shared" si="43"/>
        <v>0</v>
      </c>
      <c r="AB96" s="26">
        <f t="shared" si="44"/>
        <v>0</v>
      </c>
      <c r="AC96" s="26" t="e">
        <f t="shared" si="8"/>
        <v>#DIV/0!</v>
      </c>
      <c r="AD96" s="26" t="e">
        <f t="shared" si="9"/>
        <v>#DIV/0!</v>
      </c>
      <c r="AE96" s="19" t="e">
        <f t="shared" si="10"/>
        <v>#DIV/0!</v>
      </c>
      <c r="AF96" s="7" t="e">
        <f t="shared" si="11"/>
        <v>#DIV/0!</v>
      </c>
      <c r="AG96" s="7" t="e">
        <f t="shared" si="12"/>
        <v>#DIV/0!</v>
      </c>
      <c r="AH96" s="7" t="e">
        <f t="shared" si="13"/>
        <v>#DIV/0!</v>
      </c>
      <c r="AI96" s="8" t="e">
        <f t="shared" si="14"/>
        <v>#DIV/0!</v>
      </c>
    </row>
    <row r="97" spans="1:35" ht="33" hidden="1" customHeight="1">
      <c r="A97" s="40">
        <v>0</v>
      </c>
      <c r="B97" s="24"/>
      <c r="C97" s="25"/>
      <c r="D97" s="24"/>
      <c r="E97" s="24"/>
      <c r="F97" s="24"/>
      <c r="G97" s="24"/>
      <c r="H97" s="24"/>
      <c r="I97" s="24"/>
      <c r="J97" s="24"/>
      <c r="K97" s="24"/>
      <c r="L97" s="24"/>
      <c r="M97" s="24"/>
      <c r="N97" s="24"/>
      <c r="O97" s="82"/>
      <c r="P97" s="82"/>
      <c r="Q97" s="24"/>
      <c r="R97" s="24"/>
      <c r="S97" s="24"/>
      <c r="T97" s="24"/>
      <c r="U97" s="26">
        <f t="shared" si="30"/>
        <v>0</v>
      </c>
      <c r="V97" s="26">
        <f t="shared" si="38"/>
        <v>0</v>
      </c>
      <c r="W97" s="26">
        <f t="shared" si="39"/>
        <v>0</v>
      </c>
      <c r="X97" s="26">
        <f t="shared" si="40"/>
        <v>0</v>
      </c>
      <c r="Y97" s="26">
        <f t="shared" si="41"/>
        <v>0</v>
      </c>
      <c r="Z97" s="26">
        <f t="shared" si="42"/>
        <v>0</v>
      </c>
      <c r="AA97" s="26">
        <f t="shared" si="43"/>
        <v>0</v>
      </c>
      <c r="AB97" s="26">
        <f t="shared" si="44"/>
        <v>0</v>
      </c>
      <c r="AC97" s="26" t="e">
        <f t="shared" si="8"/>
        <v>#DIV/0!</v>
      </c>
      <c r="AD97" s="26" t="e">
        <f t="shared" si="9"/>
        <v>#DIV/0!</v>
      </c>
      <c r="AE97" s="19" t="e">
        <f t="shared" si="10"/>
        <v>#DIV/0!</v>
      </c>
      <c r="AF97" s="7" t="e">
        <f t="shared" si="11"/>
        <v>#DIV/0!</v>
      </c>
      <c r="AG97" s="7" t="e">
        <f t="shared" si="12"/>
        <v>#DIV/0!</v>
      </c>
      <c r="AH97" s="7" t="e">
        <f t="shared" si="13"/>
        <v>#DIV/0!</v>
      </c>
      <c r="AI97" s="8" t="e">
        <f t="shared" si="14"/>
        <v>#DIV/0!</v>
      </c>
    </row>
    <row r="98" spans="1:35" ht="33" hidden="1" customHeight="1">
      <c r="A98" s="40">
        <v>0</v>
      </c>
      <c r="B98" s="24"/>
      <c r="C98" s="25"/>
      <c r="D98" s="24"/>
      <c r="E98" s="24"/>
      <c r="F98" s="24"/>
      <c r="G98" s="24"/>
      <c r="H98" s="24"/>
      <c r="I98" s="24"/>
      <c r="J98" s="24"/>
      <c r="K98" s="24"/>
      <c r="L98" s="24"/>
      <c r="M98" s="24"/>
      <c r="N98" s="24"/>
      <c r="O98" s="82"/>
      <c r="P98" s="82"/>
      <c r="Q98" s="24"/>
      <c r="R98" s="24"/>
      <c r="S98" s="24"/>
      <c r="T98" s="24"/>
      <c r="U98" s="26">
        <f t="shared" si="30"/>
        <v>0</v>
      </c>
      <c r="V98" s="26">
        <f t="shared" si="38"/>
        <v>0</v>
      </c>
      <c r="W98" s="26">
        <f t="shared" si="39"/>
        <v>0</v>
      </c>
      <c r="X98" s="26">
        <f t="shared" si="40"/>
        <v>0</v>
      </c>
      <c r="Y98" s="26">
        <f t="shared" si="41"/>
        <v>0</v>
      </c>
      <c r="Z98" s="26">
        <f t="shared" si="42"/>
        <v>0</v>
      </c>
      <c r="AA98" s="26">
        <f t="shared" si="43"/>
        <v>0</v>
      </c>
      <c r="AB98" s="26">
        <f t="shared" si="44"/>
        <v>0</v>
      </c>
      <c r="AC98" s="26" t="e">
        <f t="shared" si="8"/>
        <v>#DIV/0!</v>
      </c>
      <c r="AD98" s="26" t="e">
        <f t="shared" si="9"/>
        <v>#DIV/0!</v>
      </c>
      <c r="AE98" s="19" t="e">
        <f t="shared" si="10"/>
        <v>#DIV/0!</v>
      </c>
      <c r="AF98" s="7" t="e">
        <f t="shared" si="11"/>
        <v>#DIV/0!</v>
      </c>
      <c r="AG98" s="7" t="e">
        <f t="shared" si="12"/>
        <v>#DIV/0!</v>
      </c>
      <c r="AH98" s="7" t="e">
        <f t="shared" si="13"/>
        <v>#DIV/0!</v>
      </c>
      <c r="AI98" s="8" t="e">
        <f t="shared" si="14"/>
        <v>#DIV/0!</v>
      </c>
    </row>
    <row r="99" spans="1:35" ht="33" hidden="1" customHeight="1">
      <c r="A99" s="40">
        <v>0</v>
      </c>
      <c r="B99" s="24"/>
      <c r="C99" s="25"/>
      <c r="D99" s="24"/>
      <c r="E99" s="24"/>
      <c r="F99" s="24"/>
      <c r="G99" s="24"/>
      <c r="H99" s="24"/>
      <c r="I99" s="24"/>
      <c r="J99" s="24"/>
      <c r="K99" s="24"/>
      <c r="L99" s="24"/>
      <c r="M99" s="24"/>
      <c r="N99" s="24"/>
      <c r="O99" s="82"/>
      <c r="P99" s="82"/>
      <c r="Q99" s="24"/>
      <c r="R99" s="24"/>
      <c r="S99" s="24"/>
      <c r="T99" s="24"/>
      <c r="U99" s="26">
        <f t="shared" si="30"/>
        <v>0</v>
      </c>
      <c r="V99" s="26">
        <f t="shared" si="38"/>
        <v>0</v>
      </c>
      <c r="W99" s="26">
        <f t="shared" si="39"/>
        <v>0</v>
      </c>
      <c r="X99" s="26">
        <f t="shared" si="40"/>
        <v>0</v>
      </c>
      <c r="Y99" s="26">
        <f t="shared" si="41"/>
        <v>0</v>
      </c>
      <c r="Z99" s="26">
        <f t="shared" si="42"/>
        <v>0</v>
      </c>
      <c r="AA99" s="26">
        <f t="shared" si="43"/>
        <v>0</v>
      </c>
      <c r="AB99" s="26">
        <f t="shared" si="44"/>
        <v>0</v>
      </c>
      <c r="AC99" s="26" t="e">
        <f t="shared" si="8"/>
        <v>#DIV/0!</v>
      </c>
      <c r="AD99" s="26" t="e">
        <f t="shared" si="9"/>
        <v>#DIV/0!</v>
      </c>
      <c r="AE99" s="19" t="e">
        <f t="shared" si="10"/>
        <v>#DIV/0!</v>
      </c>
      <c r="AF99" s="7" t="e">
        <f t="shared" si="11"/>
        <v>#DIV/0!</v>
      </c>
      <c r="AG99" s="7" t="e">
        <f t="shared" si="12"/>
        <v>#DIV/0!</v>
      </c>
      <c r="AH99" s="7" t="e">
        <f t="shared" si="13"/>
        <v>#DIV/0!</v>
      </c>
      <c r="AI99" s="8" t="e">
        <f t="shared" si="14"/>
        <v>#DIV/0!</v>
      </c>
    </row>
    <row r="100" spans="1:35" ht="33" hidden="1" customHeight="1">
      <c r="A100" s="40">
        <v>0</v>
      </c>
      <c r="B100" s="24"/>
      <c r="C100" s="25"/>
      <c r="D100" s="24"/>
      <c r="E100" s="24"/>
      <c r="F100" s="24"/>
      <c r="G100" s="24"/>
      <c r="H100" s="24"/>
      <c r="I100" s="24"/>
      <c r="J100" s="24"/>
      <c r="K100" s="24"/>
      <c r="L100" s="24"/>
      <c r="M100" s="24"/>
      <c r="N100" s="24"/>
      <c r="O100" s="82"/>
      <c r="P100" s="82"/>
      <c r="Q100" s="24"/>
      <c r="R100" s="24"/>
      <c r="S100" s="24"/>
      <c r="T100" s="24"/>
      <c r="U100" s="26">
        <f t="shared" si="30"/>
        <v>0</v>
      </c>
      <c r="V100" s="26">
        <f t="shared" si="38"/>
        <v>0</v>
      </c>
      <c r="W100" s="26">
        <f t="shared" si="39"/>
        <v>0</v>
      </c>
      <c r="X100" s="26">
        <f t="shared" si="40"/>
        <v>0</v>
      </c>
      <c r="Y100" s="26">
        <f t="shared" si="41"/>
        <v>0</v>
      </c>
      <c r="Z100" s="26">
        <f t="shared" si="42"/>
        <v>0</v>
      </c>
      <c r="AA100" s="26">
        <f t="shared" si="43"/>
        <v>0</v>
      </c>
      <c r="AB100" s="26">
        <f t="shared" si="44"/>
        <v>0</v>
      </c>
      <c r="AC100" s="26" t="e">
        <f t="shared" si="8"/>
        <v>#DIV/0!</v>
      </c>
      <c r="AD100" s="26" t="e">
        <f t="shared" si="9"/>
        <v>#DIV/0!</v>
      </c>
      <c r="AE100" s="19" t="e">
        <f t="shared" si="10"/>
        <v>#DIV/0!</v>
      </c>
      <c r="AF100" s="7" t="e">
        <f t="shared" si="11"/>
        <v>#DIV/0!</v>
      </c>
      <c r="AG100" s="7" t="e">
        <f t="shared" si="12"/>
        <v>#DIV/0!</v>
      </c>
      <c r="AH100" s="7" t="e">
        <f t="shared" si="13"/>
        <v>#DIV/0!</v>
      </c>
      <c r="AI100" s="8" t="e">
        <f t="shared" si="14"/>
        <v>#DIV/0!</v>
      </c>
    </row>
    <row r="101" spans="1:35" ht="33" hidden="1" customHeight="1">
      <c r="A101" s="40">
        <v>0</v>
      </c>
      <c r="B101" s="24"/>
      <c r="C101" s="25"/>
      <c r="D101" s="24"/>
      <c r="E101" s="24"/>
      <c r="F101" s="24"/>
      <c r="G101" s="24"/>
      <c r="H101" s="24"/>
      <c r="I101" s="24"/>
      <c r="J101" s="24"/>
      <c r="K101" s="24"/>
      <c r="L101" s="24"/>
      <c r="M101" s="24"/>
      <c r="N101" s="24"/>
      <c r="O101" s="82"/>
      <c r="P101" s="82"/>
      <c r="Q101" s="24"/>
      <c r="R101" s="24"/>
      <c r="S101" s="24"/>
      <c r="T101" s="24"/>
      <c r="U101" s="26">
        <f t="shared" si="30"/>
        <v>0</v>
      </c>
      <c r="V101" s="26">
        <f t="shared" si="38"/>
        <v>0</v>
      </c>
      <c r="W101" s="26">
        <f t="shared" si="39"/>
        <v>0</v>
      </c>
      <c r="X101" s="26">
        <f t="shared" si="40"/>
        <v>0</v>
      </c>
      <c r="Y101" s="26">
        <f t="shared" si="41"/>
        <v>0</v>
      </c>
      <c r="Z101" s="26">
        <f t="shared" si="42"/>
        <v>0</v>
      </c>
      <c r="AA101" s="26">
        <f t="shared" si="43"/>
        <v>0</v>
      </c>
      <c r="AB101" s="26">
        <f t="shared" si="44"/>
        <v>0</v>
      </c>
      <c r="AC101" s="26" t="e">
        <f t="shared" si="8"/>
        <v>#DIV/0!</v>
      </c>
      <c r="AD101" s="26" t="e">
        <f t="shared" si="9"/>
        <v>#DIV/0!</v>
      </c>
      <c r="AE101" s="19" t="e">
        <f t="shared" si="10"/>
        <v>#DIV/0!</v>
      </c>
      <c r="AF101" s="7" t="e">
        <f t="shared" si="11"/>
        <v>#DIV/0!</v>
      </c>
      <c r="AG101" s="7" t="e">
        <f t="shared" si="12"/>
        <v>#DIV/0!</v>
      </c>
      <c r="AH101" s="7" t="e">
        <f t="shared" si="13"/>
        <v>#DIV/0!</v>
      </c>
      <c r="AI101" s="8" t="e">
        <f t="shared" si="14"/>
        <v>#DIV/0!</v>
      </c>
    </row>
    <row r="102" spans="1:35" ht="33" hidden="1" customHeight="1">
      <c r="A102" s="40">
        <v>0</v>
      </c>
      <c r="B102" s="24"/>
      <c r="C102" s="25"/>
      <c r="D102" s="24"/>
      <c r="E102" s="24"/>
      <c r="F102" s="24"/>
      <c r="G102" s="24"/>
      <c r="H102" s="24"/>
      <c r="I102" s="24"/>
      <c r="J102" s="24"/>
      <c r="K102" s="24"/>
      <c r="L102" s="24"/>
      <c r="M102" s="24"/>
      <c r="N102" s="24"/>
      <c r="O102" s="82"/>
      <c r="P102" s="82"/>
      <c r="Q102" s="24"/>
      <c r="R102" s="24"/>
      <c r="S102" s="24"/>
      <c r="T102" s="24"/>
      <c r="U102" s="26">
        <f t="shared" si="30"/>
        <v>0</v>
      </c>
      <c r="V102" s="26">
        <f t="shared" si="38"/>
        <v>0</v>
      </c>
      <c r="W102" s="26">
        <f t="shared" si="39"/>
        <v>0</v>
      </c>
      <c r="X102" s="26">
        <f t="shared" si="40"/>
        <v>0</v>
      </c>
      <c r="Y102" s="26">
        <f t="shared" si="41"/>
        <v>0</v>
      </c>
      <c r="Z102" s="26">
        <f t="shared" si="42"/>
        <v>0</v>
      </c>
      <c r="AA102" s="26">
        <f t="shared" si="43"/>
        <v>0</v>
      </c>
      <c r="AB102" s="26">
        <f t="shared" si="44"/>
        <v>0</v>
      </c>
      <c r="AC102" s="26" t="e">
        <f t="shared" si="8"/>
        <v>#DIV/0!</v>
      </c>
      <c r="AD102" s="26" t="e">
        <f t="shared" si="9"/>
        <v>#DIV/0!</v>
      </c>
      <c r="AE102" s="19" t="e">
        <f t="shared" si="10"/>
        <v>#DIV/0!</v>
      </c>
      <c r="AF102" s="7" t="e">
        <f t="shared" si="11"/>
        <v>#DIV/0!</v>
      </c>
      <c r="AG102" s="7" t="e">
        <f t="shared" si="12"/>
        <v>#DIV/0!</v>
      </c>
      <c r="AH102" s="7" t="e">
        <f t="shared" si="13"/>
        <v>#DIV/0!</v>
      </c>
      <c r="AI102" s="8" t="e">
        <f t="shared" si="14"/>
        <v>#DIV/0!</v>
      </c>
    </row>
    <row r="103" spans="1:35" ht="33" hidden="1" customHeight="1">
      <c r="A103" s="40">
        <v>0</v>
      </c>
      <c r="B103" s="24"/>
      <c r="C103" s="25"/>
      <c r="D103" s="24"/>
      <c r="E103" s="24"/>
      <c r="F103" s="24"/>
      <c r="G103" s="24"/>
      <c r="H103" s="24"/>
      <c r="I103" s="24"/>
      <c r="J103" s="24"/>
      <c r="K103" s="24"/>
      <c r="L103" s="24"/>
      <c r="M103" s="24"/>
      <c r="N103" s="24"/>
      <c r="O103" s="82"/>
      <c r="P103" s="82"/>
      <c r="Q103" s="24"/>
      <c r="R103" s="24"/>
      <c r="S103" s="24"/>
      <c r="T103" s="24"/>
      <c r="U103" s="26">
        <f t="shared" si="30"/>
        <v>0</v>
      </c>
      <c r="V103" s="26">
        <f t="shared" si="38"/>
        <v>0</v>
      </c>
      <c r="W103" s="26">
        <f t="shared" si="39"/>
        <v>0</v>
      </c>
      <c r="X103" s="26">
        <f t="shared" si="40"/>
        <v>0</v>
      </c>
      <c r="Y103" s="26">
        <f t="shared" si="41"/>
        <v>0</v>
      </c>
      <c r="Z103" s="26">
        <f t="shared" si="42"/>
        <v>0</v>
      </c>
      <c r="AA103" s="26">
        <f t="shared" si="43"/>
        <v>0</v>
      </c>
      <c r="AB103" s="26">
        <f t="shared" si="44"/>
        <v>0</v>
      </c>
      <c r="AC103" s="26" t="e">
        <f t="shared" si="8"/>
        <v>#DIV/0!</v>
      </c>
      <c r="AD103" s="26" t="e">
        <f t="shared" si="9"/>
        <v>#DIV/0!</v>
      </c>
      <c r="AE103" s="19" t="e">
        <f t="shared" si="10"/>
        <v>#DIV/0!</v>
      </c>
      <c r="AF103" s="7" t="e">
        <f t="shared" si="11"/>
        <v>#DIV/0!</v>
      </c>
      <c r="AG103" s="7" t="e">
        <f t="shared" si="12"/>
        <v>#DIV/0!</v>
      </c>
      <c r="AH103" s="7" t="e">
        <f t="shared" si="13"/>
        <v>#DIV/0!</v>
      </c>
      <c r="AI103" s="8" t="e">
        <f t="shared" si="14"/>
        <v>#DIV/0!</v>
      </c>
    </row>
    <row r="104" spans="1:35" ht="33" hidden="1" customHeight="1">
      <c r="A104" s="40">
        <v>0</v>
      </c>
      <c r="B104" s="24"/>
      <c r="C104" s="25"/>
      <c r="D104" s="24"/>
      <c r="E104" s="24"/>
      <c r="F104" s="24"/>
      <c r="G104" s="24"/>
      <c r="H104" s="24"/>
      <c r="I104" s="24"/>
      <c r="J104" s="24"/>
      <c r="K104" s="24"/>
      <c r="L104" s="24"/>
      <c r="M104" s="24"/>
      <c r="N104" s="24"/>
      <c r="O104" s="82"/>
      <c r="P104" s="82"/>
      <c r="Q104" s="24"/>
      <c r="R104" s="24"/>
      <c r="S104" s="24"/>
      <c r="T104" s="24"/>
      <c r="U104" s="26">
        <f t="shared" si="30"/>
        <v>0</v>
      </c>
      <c r="V104" s="26">
        <f t="shared" si="38"/>
        <v>0</v>
      </c>
      <c r="W104" s="26">
        <f t="shared" si="39"/>
        <v>0</v>
      </c>
      <c r="X104" s="26">
        <f t="shared" si="40"/>
        <v>0</v>
      </c>
      <c r="Y104" s="26">
        <f t="shared" si="41"/>
        <v>0</v>
      </c>
      <c r="Z104" s="26">
        <f t="shared" si="42"/>
        <v>0</v>
      </c>
      <c r="AA104" s="26">
        <f t="shared" si="43"/>
        <v>0</v>
      </c>
      <c r="AB104" s="26">
        <f t="shared" si="44"/>
        <v>0</v>
      </c>
      <c r="AC104" s="26" t="e">
        <f t="shared" si="8"/>
        <v>#DIV/0!</v>
      </c>
      <c r="AD104" s="26" t="e">
        <f t="shared" si="9"/>
        <v>#DIV/0!</v>
      </c>
      <c r="AE104" s="19" t="e">
        <f t="shared" si="10"/>
        <v>#DIV/0!</v>
      </c>
      <c r="AF104" s="7" t="e">
        <f t="shared" si="11"/>
        <v>#DIV/0!</v>
      </c>
      <c r="AG104" s="7" t="e">
        <f t="shared" si="12"/>
        <v>#DIV/0!</v>
      </c>
      <c r="AH104" s="7" t="e">
        <f t="shared" si="13"/>
        <v>#DIV/0!</v>
      </c>
      <c r="AI104" s="8" t="e">
        <f t="shared" si="14"/>
        <v>#DIV/0!</v>
      </c>
    </row>
    <row r="105" spans="1:35" ht="33" hidden="1" customHeight="1">
      <c r="A105" s="40">
        <v>0</v>
      </c>
      <c r="B105" s="24"/>
      <c r="C105" s="25"/>
      <c r="D105" s="24"/>
      <c r="E105" s="24"/>
      <c r="F105" s="24"/>
      <c r="G105" s="24"/>
      <c r="H105" s="24"/>
      <c r="I105" s="24"/>
      <c r="J105" s="24"/>
      <c r="K105" s="24"/>
      <c r="L105" s="24"/>
      <c r="M105" s="24"/>
      <c r="N105" s="24"/>
      <c r="O105" s="82"/>
      <c r="P105" s="82"/>
      <c r="Q105" s="24"/>
      <c r="R105" s="24"/>
      <c r="S105" s="24"/>
      <c r="T105" s="24"/>
      <c r="U105" s="26">
        <f t="shared" si="30"/>
        <v>0</v>
      </c>
      <c r="V105" s="26">
        <f t="shared" si="38"/>
        <v>0</v>
      </c>
      <c r="W105" s="26">
        <f t="shared" si="39"/>
        <v>0</v>
      </c>
      <c r="X105" s="26">
        <f t="shared" si="40"/>
        <v>0</v>
      </c>
      <c r="Y105" s="26">
        <f t="shared" si="41"/>
        <v>0</v>
      </c>
      <c r="Z105" s="26">
        <f t="shared" si="42"/>
        <v>0</v>
      </c>
      <c r="AA105" s="26">
        <f t="shared" si="43"/>
        <v>0</v>
      </c>
      <c r="AB105" s="26">
        <f t="shared" si="44"/>
        <v>0</v>
      </c>
      <c r="AC105" s="26" t="e">
        <f t="shared" si="8"/>
        <v>#DIV/0!</v>
      </c>
      <c r="AD105" s="26" t="e">
        <f t="shared" si="9"/>
        <v>#DIV/0!</v>
      </c>
      <c r="AE105" s="19" t="e">
        <f t="shared" si="10"/>
        <v>#DIV/0!</v>
      </c>
      <c r="AF105" s="7" t="e">
        <f t="shared" si="11"/>
        <v>#DIV/0!</v>
      </c>
      <c r="AG105" s="7" t="e">
        <f t="shared" si="12"/>
        <v>#DIV/0!</v>
      </c>
      <c r="AH105" s="7" t="e">
        <f t="shared" si="13"/>
        <v>#DIV/0!</v>
      </c>
      <c r="AI105" s="8" t="e">
        <f t="shared" si="14"/>
        <v>#DIV/0!</v>
      </c>
    </row>
    <row r="106" spans="1:35" ht="33" hidden="1" customHeight="1">
      <c r="A106" s="40">
        <v>0</v>
      </c>
      <c r="B106" s="24"/>
      <c r="C106" s="25"/>
      <c r="D106" s="24"/>
      <c r="E106" s="24"/>
      <c r="F106" s="24"/>
      <c r="G106" s="24"/>
      <c r="H106" s="24"/>
      <c r="I106" s="24"/>
      <c r="J106" s="24"/>
      <c r="K106" s="24"/>
      <c r="L106" s="24"/>
      <c r="M106" s="24"/>
      <c r="N106" s="24"/>
      <c r="O106" s="82"/>
      <c r="P106" s="82"/>
      <c r="Q106" s="24"/>
      <c r="R106" s="24"/>
      <c r="S106" s="24"/>
      <c r="T106" s="24"/>
      <c r="U106" s="26">
        <f t="shared" si="30"/>
        <v>0</v>
      </c>
      <c r="V106" s="26">
        <f t="shared" si="38"/>
        <v>0</v>
      </c>
      <c r="W106" s="26">
        <f t="shared" si="39"/>
        <v>0</v>
      </c>
      <c r="X106" s="26">
        <f t="shared" si="40"/>
        <v>0</v>
      </c>
      <c r="Y106" s="26">
        <f t="shared" si="41"/>
        <v>0</v>
      </c>
      <c r="Z106" s="26">
        <f t="shared" si="42"/>
        <v>0</v>
      </c>
      <c r="AA106" s="26">
        <f t="shared" si="43"/>
        <v>0</v>
      </c>
      <c r="AB106" s="26">
        <f t="shared" si="44"/>
        <v>0</v>
      </c>
      <c r="AC106" s="26" t="e">
        <f t="shared" si="8"/>
        <v>#DIV/0!</v>
      </c>
      <c r="AD106" s="26" t="e">
        <f t="shared" si="9"/>
        <v>#DIV/0!</v>
      </c>
      <c r="AE106" s="19" t="e">
        <f t="shared" si="10"/>
        <v>#DIV/0!</v>
      </c>
      <c r="AF106" s="7" t="e">
        <f t="shared" si="11"/>
        <v>#DIV/0!</v>
      </c>
      <c r="AG106" s="7" t="e">
        <f t="shared" si="12"/>
        <v>#DIV/0!</v>
      </c>
      <c r="AH106" s="7" t="e">
        <f t="shared" si="13"/>
        <v>#DIV/0!</v>
      </c>
      <c r="AI106" s="8" t="e">
        <f t="shared" si="14"/>
        <v>#DIV/0!</v>
      </c>
    </row>
    <row r="107" spans="1:35" ht="33" hidden="1" customHeight="1">
      <c r="A107" s="40">
        <v>0</v>
      </c>
      <c r="B107" s="24"/>
      <c r="C107" s="25"/>
      <c r="D107" s="24"/>
      <c r="E107" s="24"/>
      <c r="F107" s="24"/>
      <c r="G107" s="24"/>
      <c r="H107" s="24"/>
      <c r="I107" s="24"/>
      <c r="J107" s="24"/>
      <c r="K107" s="24"/>
      <c r="L107" s="24"/>
      <c r="M107" s="24"/>
      <c r="N107" s="24"/>
      <c r="O107" s="82"/>
      <c r="P107" s="82"/>
      <c r="Q107" s="24"/>
      <c r="R107" s="24"/>
      <c r="S107" s="24"/>
      <c r="T107" s="24"/>
      <c r="U107" s="26">
        <f t="shared" si="30"/>
        <v>0</v>
      </c>
      <c r="V107" s="26">
        <f t="shared" si="38"/>
        <v>0</v>
      </c>
      <c r="W107" s="26">
        <f t="shared" si="39"/>
        <v>0</v>
      </c>
      <c r="X107" s="26">
        <f t="shared" si="40"/>
        <v>0</v>
      </c>
      <c r="Y107" s="26">
        <f t="shared" si="41"/>
        <v>0</v>
      </c>
      <c r="Z107" s="26">
        <f t="shared" si="42"/>
        <v>0</v>
      </c>
      <c r="AA107" s="26">
        <f t="shared" si="43"/>
        <v>0</v>
      </c>
      <c r="AB107" s="26">
        <f t="shared" si="44"/>
        <v>0</v>
      </c>
      <c r="AC107" s="26" t="e">
        <f t="shared" si="8"/>
        <v>#DIV/0!</v>
      </c>
      <c r="AD107" s="26" t="e">
        <f t="shared" si="9"/>
        <v>#DIV/0!</v>
      </c>
      <c r="AE107" s="19" t="e">
        <f t="shared" si="10"/>
        <v>#DIV/0!</v>
      </c>
      <c r="AF107" s="7" t="e">
        <f t="shared" si="11"/>
        <v>#DIV/0!</v>
      </c>
      <c r="AG107" s="7" t="e">
        <f t="shared" si="12"/>
        <v>#DIV/0!</v>
      </c>
      <c r="AH107" s="7" t="e">
        <f t="shared" si="13"/>
        <v>#DIV/0!</v>
      </c>
      <c r="AI107" s="8" t="e">
        <f t="shared" si="14"/>
        <v>#DIV/0!</v>
      </c>
    </row>
    <row r="108" spans="1:35" ht="33" hidden="1" customHeight="1">
      <c r="A108" s="40">
        <v>0</v>
      </c>
      <c r="B108" s="24"/>
      <c r="C108" s="25"/>
      <c r="D108" s="24"/>
      <c r="E108" s="24"/>
      <c r="F108" s="24"/>
      <c r="G108" s="24"/>
      <c r="H108" s="24"/>
      <c r="I108" s="24"/>
      <c r="J108" s="24"/>
      <c r="K108" s="24"/>
      <c r="L108" s="24"/>
      <c r="M108" s="24"/>
      <c r="N108" s="24"/>
      <c r="O108" s="82"/>
      <c r="P108" s="82"/>
      <c r="Q108" s="24"/>
      <c r="R108" s="24"/>
      <c r="S108" s="24"/>
      <c r="T108" s="24"/>
      <c r="U108" s="26">
        <f t="shared" si="30"/>
        <v>0</v>
      </c>
      <c r="V108" s="26">
        <f t="shared" si="38"/>
        <v>0</v>
      </c>
      <c r="W108" s="26">
        <f t="shared" si="39"/>
        <v>0</v>
      </c>
      <c r="X108" s="26">
        <f t="shared" si="40"/>
        <v>0</v>
      </c>
      <c r="Y108" s="26">
        <f t="shared" si="41"/>
        <v>0</v>
      </c>
      <c r="Z108" s="26">
        <f t="shared" si="42"/>
        <v>0</v>
      </c>
      <c r="AA108" s="26">
        <f t="shared" si="43"/>
        <v>0</v>
      </c>
      <c r="AB108" s="26">
        <f t="shared" si="44"/>
        <v>0</v>
      </c>
      <c r="AC108" s="26" t="e">
        <f t="shared" si="8"/>
        <v>#DIV/0!</v>
      </c>
      <c r="AD108" s="26" t="e">
        <f t="shared" si="9"/>
        <v>#DIV/0!</v>
      </c>
      <c r="AE108" s="19" t="e">
        <f t="shared" si="10"/>
        <v>#DIV/0!</v>
      </c>
      <c r="AF108" s="7" t="e">
        <f t="shared" si="11"/>
        <v>#DIV/0!</v>
      </c>
      <c r="AG108" s="7" t="e">
        <f t="shared" si="12"/>
        <v>#DIV/0!</v>
      </c>
      <c r="AH108" s="7" t="e">
        <f t="shared" si="13"/>
        <v>#DIV/0!</v>
      </c>
      <c r="AI108" s="8" t="e">
        <f t="shared" si="14"/>
        <v>#DIV/0!</v>
      </c>
    </row>
    <row r="109" spans="1:35" ht="33" hidden="1" customHeight="1">
      <c r="A109" s="40">
        <v>0</v>
      </c>
      <c r="B109" s="24"/>
      <c r="C109" s="25"/>
      <c r="D109" s="24"/>
      <c r="E109" s="24"/>
      <c r="F109" s="24"/>
      <c r="G109" s="24"/>
      <c r="H109" s="24"/>
      <c r="I109" s="24"/>
      <c r="J109" s="24"/>
      <c r="K109" s="24"/>
      <c r="L109" s="24"/>
      <c r="M109" s="24"/>
      <c r="N109" s="24"/>
      <c r="O109" s="82"/>
      <c r="P109" s="82"/>
      <c r="Q109" s="24"/>
      <c r="R109" s="24"/>
      <c r="S109" s="24"/>
      <c r="T109" s="24"/>
      <c r="U109" s="26">
        <f t="shared" si="30"/>
        <v>0</v>
      </c>
      <c r="V109" s="26">
        <f t="shared" si="38"/>
        <v>0</v>
      </c>
      <c r="W109" s="26">
        <f t="shared" si="39"/>
        <v>0</v>
      </c>
      <c r="X109" s="26">
        <f t="shared" si="40"/>
        <v>0</v>
      </c>
      <c r="Y109" s="26">
        <f t="shared" si="41"/>
        <v>0</v>
      </c>
      <c r="Z109" s="26">
        <f t="shared" si="42"/>
        <v>0</v>
      </c>
      <c r="AA109" s="26">
        <f t="shared" si="43"/>
        <v>0</v>
      </c>
      <c r="AB109" s="26">
        <f t="shared" si="44"/>
        <v>0</v>
      </c>
      <c r="AC109" s="26" t="e">
        <f t="shared" si="8"/>
        <v>#DIV/0!</v>
      </c>
      <c r="AD109" s="26" t="e">
        <f t="shared" si="9"/>
        <v>#DIV/0!</v>
      </c>
      <c r="AE109" s="19" t="e">
        <f t="shared" si="10"/>
        <v>#DIV/0!</v>
      </c>
      <c r="AF109" s="7" t="e">
        <f t="shared" si="11"/>
        <v>#DIV/0!</v>
      </c>
      <c r="AG109" s="7" t="e">
        <f t="shared" si="12"/>
        <v>#DIV/0!</v>
      </c>
      <c r="AH109" s="7" t="e">
        <f t="shared" si="13"/>
        <v>#DIV/0!</v>
      </c>
      <c r="AI109" s="8" t="e">
        <f t="shared" si="14"/>
        <v>#DIV/0!</v>
      </c>
    </row>
    <row r="110" spans="1:35" ht="33" hidden="1" customHeight="1">
      <c r="A110" s="40">
        <v>0</v>
      </c>
      <c r="B110" s="24"/>
      <c r="C110" s="25"/>
      <c r="D110" s="24"/>
      <c r="E110" s="24"/>
      <c r="F110" s="24"/>
      <c r="G110" s="24"/>
      <c r="H110" s="24"/>
      <c r="I110" s="24"/>
      <c r="J110" s="24"/>
      <c r="K110" s="24"/>
      <c r="L110" s="24"/>
      <c r="M110" s="24"/>
      <c r="N110" s="24"/>
      <c r="O110" s="82"/>
      <c r="P110" s="82"/>
      <c r="Q110" s="24"/>
      <c r="R110" s="24"/>
      <c r="S110" s="24"/>
      <c r="T110" s="24"/>
      <c r="U110" s="26">
        <f t="shared" si="30"/>
        <v>0</v>
      </c>
      <c r="V110" s="26">
        <f t="shared" si="38"/>
        <v>0</v>
      </c>
      <c r="W110" s="26">
        <f t="shared" si="39"/>
        <v>0</v>
      </c>
      <c r="X110" s="26">
        <f t="shared" si="40"/>
        <v>0</v>
      </c>
      <c r="Y110" s="26">
        <f t="shared" si="41"/>
        <v>0</v>
      </c>
      <c r="Z110" s="26">
        <f t="shared" si="42"/>
        <v>0</v>
      </c>
      <c r="AA110" s="26">
        <f t="shared" si="43"/>
        <v>0</v>
      </c>
      <c r="AB110" s="26">
        <f t="shared" si="44"/>
        <v>0</v>
      </c>
      <c r="AC110" s="26" t="e">
        <f t="shared" si="8"/>
        <v>#DIV/0!</v>
      </c>
      <c r="AD110" s="26" t="e">
        <f t="shared" si="9"/>
        <v>#DIV/0!</v>
      </c>
      <c r="AE110" s="19" t="e">
        <f t="shared" si="10"/>
        <v>#DIV/0!</v>
      </c>
      <c r="AF110" s="7" t="e">
        <f t="shared" si="11"/>
        <v>#DIV/0!</v>
      </c>
      <c r="AG110" s="7" t="e">
        <f t="shared" si="12"/>
        <v>#DIV/0!</v>
      </c>
      <c r="AH110" s="7" t="e">
        <f t="shared" si="13"/>
        <v>#DIV/0!</v>
      </c>
      <c r="AI110" s="8" t="e">
        <f t="shared" si="14"/>
        <v>#DIV/0!</v>
      </c>
    </row>
    <row r="111" spans="1:35" ht="33" hidden="1" customHeight="1">
      <c r="A111" s="40">
        <v>0</v>
      </c>
      <c r="B111" s="24"/>
      <c r="C111" s="25"/>
      <c r="D111" s="24"/>
      <c r="E111" s="24"/>
      <c r="F111" s="24"/>
      <c r="G111" s="24"/>
      <c r="H111" s="24"/>
      <c r="I111" s="24"/>
      <c r="J111" s="24"/>
      <c r="K111" s="24"/>
      <c r="L111" s="24"/>
      <c r="M111" s="24"/>
      <c r="N111" s="24"/>
      <c r="O111" s="82"/>
      <c r="P111" s="82"/>
      <c r="Q111" s="24"/>
      <c r="R111" s="24"/>
      <c r="S111" s="24"/>
      <c r="T111" s="24"/>
      <c r="U111" s="26">
        <f t="shared" si="30"/>
        <v>0</v>
      </c>
      <c r="V111" s="26">
        <f t="shared" si="38"/>
        <v>0</v>
      </c>
      <c r="W111" s="26">
        <f t="shared" si="39"/>
        <v>0</v>
      </c>
      <c r="X111" s="26">
        <f t="shared" si="40"/>
        <v>0</v>
      </c>
      <c r="Y111" s="26">
        <f t="shared" si="41"/>
        <v>0</v>
      </c>
      <c r="Z111" s="26">
        <f t="shared" si="42"/>
        <v>0</v>
      </c>
      <c r="AA111" s="26">
        <f t="shared" si="43"/>
        <v>0</v>
      </c>
      <c r="AB111" s="26">
        <f t="shared" si="44"/>
        <v>0</v>
      </c>
      <c r="AC111" s="26" t="e">
        <f t="shared" si="8"/>
        <v>#DIV/0!</v>
      </c>
      <c r="AD111" s="26" t="e">
        <f t="shared" si="9"/>
        <v>#DIV/0!</v>
      </c>
      <c r="AE111" s="19" t="e">
        <f t="shared" si="10"/>
        <v>#DIV/0!</v>
      </c>
      <c r="AF111" s="7" t="e">
        <f t="shared" si="11"/>
        <v>#DIV/0!</v>
      </c>
      <c r="AG111" s="7" t="e">
        <f t="shared" si="12"/>
        <v>#DIV/0!</v>
      </c>
      <c r="AH111" s="7" t="e">
        <f t="shared" si="13"/>
        <v>#DIV/0!</v>
      </c>
      <c r="AI111" s="8" t="e">
        <f t="shared" si="14"/>
        <v>#DIV/0!</v>
      </c>
    </row>
    <row r="112" spans="1:35" ht="33" hidden="1" customHeight="1">
      <c r="A112" s="40">
        <v>0</v>
      </c>
      <c r="B112" s="24"/>
      <c r="C112" s="25"/>
      <c r="D112" s="24"/>
      <c r="E112" s="24"/>
      <c r="F112" s="24"/>
      <c r="G112" s="24"/>
      <c r="H112" s="24"/>
      <c r="I112" s="24"/>
      <c r="J112" s="24"/>
      <c r="K112" s="24"/>
      <c r="L112" s="24"/>
      <c r="M112" s="24"/>
      <c r="N112" s="24"/>
      <c r="O112" s="82"/>
      <c r="P112" s="82"/>
      <c r="Q112" s="24"/>
      <c r="R112" s="24"/>
      <c r="S112" s="24"/>
      <c r="T112" s="24"/>
      <c r="U112" s="26">
        <f t="shared" si="30"/>
        <v>0</v>
      </c>
      <c r="V112" s="26">
        <f t="shared" si="38"/>
        <v>0</v>
      </c>
      <c r="W112" s="26">
        <f t="shared" si="39"/>
        <v>0</v>
      </c>
      <c r="X112" s="26">
        <f t="shared" si="40"/>
        <v>0</v>
      </c>
      <c r="Y112" s="26">
        <f t="shared" si="41"/>
        <v>0</v>
      </c>
      <c r="Z112" s="26">
        <f t="shared" si="42"/>
        <v>0</v>
      </c>
      <c r="AA112" s="26">
        <f t="shared" si="43"/>
        <v>0</v>
      </c>
      <c r="AB112" s="26">
        <f t="shared" si="44"/>
        <v>0</v>
      </c>
      <c r="AC112" s="26" t="e">
        <f t="shared" si="8"/>
        <v>#DIV/0!</v>
      </c>
      <c r="AD112" s="26" t="e">
        <f t="shared" si="9"/>
        <v>#DIV/0!</v>
      </c>
      <c r="AE112" s="19" t="e">
        <f t="shared" si="10"/>
        <v>#DIV/0!</v>
      </c>
      <c r="AF112" s="7" t="e">
        <f t="shared" si="11"/>
        <v>#DIV/0!</v>
      </c>
      <c r="AG112" s="7" t="e">
        <f t="shared" si="12"/>
        <v>#DIV/0!</v>
      </c>
      <c r="AH112" s="7" t="e">
        <f t="shared" si="13"/>
        <v>#DIV/0!</v>
      </c>
      <c r="AI112" s="8" t="e">
        <f t="shared" si="14"/>
        <v>#DIV/0!</v>
      </c>
    </row>
    <row r="113" spans="1:35" ht="33" hidden="1" customHeight="1">
      <c r="A113" s="40">
        <v>0</v>
      </c>
      <c r="B113" s="24"/>
      <c r="C113" s="25"/>
      <c r="D113" s="24"/>
      <c r="E113" s="24"/>
      <c r="F113" s="24"/>
      <c r="G113" s="24"/>
      <c r="H113" s="24"/>
      <c r="I113" s="24"/>
      <c r="J113" s="24"/>
      <c r="K113" s="24"/>
      <c r="L113" s="24"/>
      <c r="M113" s="24"/>
      <c r="N113" s="24"/>
      <c r="O113" s="82"/>
      <c r="P113" s="82"/>
      <c r="Q113" s="24"/>
      <c r="R113" s="24"/>
      <c r="S113" s="24"/>
      <c r="T113" s="24"/>
      <c r="U113" s="26">
        <f t="shared" si="30"/>
        <v>0</v>
      </c>
      <c r="V113" s="26">
        <f t="shared" si="38"/>
        <v>0</v>
      </c>
      <c r="W113" s="26">
        <f t="shared" si="39"/>
        <v>0</v>
      </c>
      <c r="X113" s="26">
        <f t="shared" si="40"/>
        <v>0</v>
      </c>
      <c r="Y113" s="26">
        <f t="shared" si="41"/>
        <v>0</v>
      </c>
      <c r="Z113" s="26">
        <f t="shared" si="42"/>
        <v>0</v>
      </c>
      <c r="AA113" s="26">
        <f t="shared" si="43"/>
        <v>0</v>
      </c>
      <c r="AB113" s="26">
        <f t="shared" si="44"/>
        <v>0</v>
      </c>
      <c r="AC113" s="26" t="e">
        <f t="shared" si="8"/>
        <v>#DIV/0!</v>
      </c>
      <c r="AD113" s="26" t="e">
        <f t="shared" si="9"/>
        <v>#DIV/0!</v>
      </c>
      <c r="AE113" s="19" t="e">
        <f t="shared" si="10"/>
        <v>#DIV/0!</v>
      </c>
      <c r="AF113" s="7" t="e">
        <f t="shared" si="11"/>
        <v>#DIV/0!</v>
      </c>
      <c r="AG113" s="7" t="e">
        <f t="shared" si="12"/>
        <v>#DIV/0!</v>
      </c>
      <c r="AH113" s="7" t="e">
        <f t="shared" si="13"/>
        <v>#DIV/0!</v>
      </c>
      <c r="AI113" s="8" t="e">
        <f t="shared" si="14"/>
        <v>#DIV/0!</v>
      </c>
    </row>
    <row r="114" spans="1:35" ht="33" hidden="1" customHeight="1">
      <c r="A114" s="40">
        <v>0</v>
      </c>
      <c r="B114" s="24"/>
      <c r="C114" s="25"/>
      <c r="D114" s="24"/>
      <c r="E114" s="24"/>
      <c r="F114" s="24"/>
      <c r="G114" s="24"/>
      <c r="H114" s="24"/>
      <c r="I114" s="24"/>
      <c r="J114" s="24"/>
      <c r="K114" s="24"/>
      <c r="L114" s="24"/>
      <c r="M114" s="24"/>
      <c r="N114" s="24"/>
      <c r="O114" s="82"/>
      <c r="P114" s="82"/>
      <c r="Q114" s="24"/>
      <c r="R114" s="24"/>
      <c r="S114" s="24"/>
      <c r="T114" s="24"/>
      <c r="U114" s="26">
        <f t="shared" si="30"/>
        <v>0</v>
      </c>
      <c r="V114" s="26">
        <f t="shared" si="38"/>
        <v>0</v>
      </c>
      <c r="W114" s="26">
        <f t="shared" si="39"/>
        <v>0</v>
      </c>
      <c r="X114" s="26">
        <f t="shared" si="40"/>
        <v>0</v>
      </c>
      <c r="Y114" s="26">
        <f t="shared" si="41"/>
        <v>0</v>
      </c>
      <c r="Z114" s="26">
        <f t="shared" si="42"/>
        <v>0</v>
      </c>
      <c r="AA114" s="26">
        <f t="shared" si="43"/>
        <v>0</v>
      </c>
      <c r="AB114" s="26">
        <f t="shared" si="44"/>
        <v>0</v>
      </c>
      <c r="AC114" s="26" t="e">
        <f t="shared" si="8"/>
        <v>#DIV/0!</v>
      </c>
      <c r="AD114" s="26" t="e">
        <f t="shared" si="9"/>
        <v>#DIV/0!</v>
      </c>
      <c r="AE114" s="19" t="e">
        <f t="shared" si="10"/>
        <v>#DIV/0!</v>
      </c>
      <c r="AF114" s="7" t="e">
        <f t="shared" si="11"/>
        <v>#DIV/0!</v>
      </c>
      <c r="AG114" s="7" t="e">
        <f t="shared" si="12"/>
        <v>#DIV/0!</v>
      </c>
      <c r="AH114" s="7" t="e">
        <f t="shared" si="13"/>
        <v>#DIV/0!</v>
      </c>
      <c r="AI114" s="8" t="e">
        <f t="shared" si="14"/>
        <v>#DIV/0!</v>
      </c>
    </row>
    <row r="115" spans="1:35" ht="33" hidden="1" customHeight="1">
      <c r="A115" s="40">
        <v>0</v>
      </c>
      <c r="B115" s="24"/>
      <c r="C115" s="25"/>
      <c r="D115" s="24"/>
      <c r="E115" s="24"/>
      <c r="F115" s="24"/>
      <c r="G115" s="24"/>
      <c r="H115" s="24"/>
      <c r="I115" s="24"/>
      <c r="J115" s="24"/>
      <c r="K115" s="24"/>
      <c r="L115" s="24"/>
      <c r="M115" s="24"/>
      <c r="N115" s="24"/>
      <c r="O115" s="82"/>
      <c r="P115" s="82"/>
      <c r="Q115" s="24"/>
      <c r="R115" s="24"/>
      <c r="S115" s="24"/>
      <c r="T115" s="24"/>
      <c r="U115" s="26">
        <f t="shared" si="30"/>
        <v>0</v>
      </c>
      <c r="V115" s="26">
        <f t="shared" si="38"/>
        <v>0</v>
      </c>
      <c r="W115" s="26">
        <f t="shared" si="39"/>
        <v>0</v>
      </c>
      <c r="X115" s="26">
        <f t="shared" si="40"/>
        <v>0</v>
      </c>
      <c r="Y115" s="26">
        <f t="shared" si="41"/>
        <v>0</v>
      </c>
      <c r="Z115" s="26">
        <f t="shared" si="42"/>
        <v>0</v>
      </c>
      <c r="AA115" s="26">
        <f t="shared" si="43"/>
        <v>0</v>
      </c>
      <c r="AB115" s="26">
        <f t="shared" si="44"/>
        <v>0</v>
      </c>
      <c r="AC115" s="26" t="e">
        <f t="shared" si="8"/>
        <v>#DIV/0!</v>
      </c>
      <c r="AD115" s="26" t="e">
        <f t="shared" si="9"/>
        <v>#DIV/0!</v>
      </c>
      <c r="AE115" s="19" t="e">
        <f t="shared" si="10"/>
        <v>#DIV/0!</v>
      </c>
      <c r="AF115" s="7" t="e">
        <f t="shared" si="11"/>
        <v>#DIV/0!</v>
      </c>
      <c r="AG115" s="7" t="e">
        <f t="shared" si="12"/>
        <v>#DIV/0!</v>
      </c>
      <c r="AH115" s="7" t="e">
        <f t="shared" si="13"/>
        <v>#DIV/0!</v>
      </c>
      <c r="AI115" s="8" t="e">
        <f t="shared" si="14"/>
        <v>#DIV/0!</v>
      </c>
    </row>
    <row r="116" spans="1:35" ht="33" hidden="1" customHeight="1">
      <c r="A116" s="40">
        <v>0</v>
      </c>
      <c r="B116" s="24"/>
      <c r="C116" s="25"/>
      <c r="D116" s="24"/>
      <c r="E116" s="24"/>
      <c r="F116" s="24"/>
      <c r="G116" s="24"/>
      <c r="H116" s="24"/>
      <c r="I116" s="24"/>
      <c r="J116" s="24"/>
      <c r="K116" s="24"/>
      <c r="L116" s="24"/>
      <c r="M116" s="24"/>
      <c r="N116" s="24"/>
      <c r="O116" s="82"/>
      <c r="P116" s="82"/>
      <c r="Q116" s="24"/>
      <c r="R116" s="24"/>
      <c r="S116" s="24"/>
      <c r="T116" s="24"/>
      <c r="U116" s="26">
        <f t="shared" si="30"/>
        <v>0</v>
      </c>
      <c r="V116" s="26">
        <f t="shared" si="38"/>
        <v>0</v>
      </c>
      <c r="W116" s="26">
        <f t="shared" si="39"/>
        <v>0</v>
      </c>
      <c r="X116" s="26">
        <f t="shared" si="40"/>
        <v>0</v>
      </c>
      <c r="Y116" s="26">
        <f t="shared" si="41"/>
        <v>0</v>
      </c>
      <c r="Z116" s="26">
        <f t="shared" si="42"/>
        <v>0</v>
      </c>
      <c r="AA116" s="26">
        <f t="shared" si="43"/>
        <v>0</v>
      </c>
      <c r="AB116" s="26">
        <f t="shared" si="44"/>
        <v>0</v>
      </c>
      <c r="AC116" s="26" t="e">
        <f t="shared" si="8"/>
        <v>#DIV/0!</v>
      </c>
      <c r="AD116" s="26" t="e">
        <f t="shared" si="9"/>
        <v>#DIV/0!</v>
      </c>
      <c r="AE116" s="19" t="e">
        <f t="shared" si="10"/>
        <v>#DIV/0!</v>
      </c>
      <c r="AF116" s="7" t="e">
        <f t="shared" si="11"/>
        <v>#DIV/0!</v>
      </c>
      <c r="AG116" s="7" t="e">
        <f t="shared" si="12"/>
        <v>#DIV/0!</v>
      </c>
      <c r="AH116" s="7" t="e">
        <f t="shared" si="13"/>
        <v>#DIV/0!</v>
      </c>
      <c r="AI116" s="8" t="e">
        <f t="shared" si="14"/>
        <v>#DIV/0!</v>
      </c>
    </row>
    <row r="117" spans="1:35" ht="33" hidden="1" customHeight="1">
      <c r="A117" s="40">
        <v>0</v>
      </c>
      <c r="B117" s="24"/>
      <c r="C117" s="25"/>
      <c r="D117" s="24"/>
      <c r="E117" s="24"/>
      <c r="F117" s="24"/>
      <c r="G117" s="24"/>
      <c r="H117" s="24"/>
      <c r="I117" s="24"/>
      <c r="J117" s="24"/>
      <c r="K117" s="24"/>
      <c r="L117" s="24"/>
      <c r="M117" s="24"/>
      <c r="N117" s="24"/>
      <c r="O117" s="82"/>
      <c r="P117" s="82"/>
      <c r="Q117" s="24"/>
      <c r="R117" s="24"/>
      <c r="S117" s="24"/>
      <c r="T117" s="24"/>
      <c r="U117" s="26">
        <f t="shared" si="30"/>
        <v>0</v>
      </c>
      <c r="V117" s="26">
        <f t="shared" si="38"/>
        <v>0</v>
      </c>
      <c r="W117" s="26">
        <f t="shared" si="39"/>
        <v>0</v>
      </c>
      <c r="X117" s="26">
        <f t="shared" si="40"/>
        <v>0</v>
      </c>
      <c r="Y117" s="26">
        <f t="shared" si="41"/>
        <v>0</v>
      </c>
      <c r="Z117" s="26">
        <f t="shared" si="42"/>
        <v>0</v>
      </c>
      <c r="AA117" s="26">
        <f t="shared" si="43"/>
        <v>0</v>
      </c>
      <c r="AB117" s="26">
        <f t="shared" si="44"/>
        <v>0</v>
      </c>
      <c r="AC117" s="26" t="e">
        <f t="shared" si="8"/>
        <v>#DIV/0!</v>
      </c>
      <c r="AD117" s="26" t="e">
        <f t="shared" si="9"/>
        <v>#DIV/0!</v>
      </c>
      <c r="AE117" s="19" t="e">
        <f t="shared" si="10"/>
        <v>#DIV/0!</v>
      </c>
      <c r="AF117" s="7" t="e">
        <f t="shared" si="11"/>
        <v>#DIV/0!</v>
      </c>
      <c r="AG117" s="7" t="e">
        <f t="shared" si="12"/>
        <v>#DIV/0!</v>
      </c>
      <c r="AH117" s="7" t="e">
        <f t="shared" si="13"/>
        <v>#DIV/0!</v>
      </c>
      <c r="AI117" s="8" t="e">
        <f t="shared" si="14"/>
        <v>#DIV/0!</v>
      </c>
    </row>
    <row r="118" spans="1:35" ht="33" hidden="1" customHeight="1">
      <c r="A118" s="40">
        <v>0</v>
      </c>
      <c r="B118" s="24"/>
      <c r="C118" s="25"/>
      <c r="D118" s="24"/>
      <c r="E118" s="24"/>
      <c r="F118" s="24"/>
      <c r="G118" s="24"/>
      <c r="H118" s="24"/>
      <c r="I118" s="24"/>
      <c r="J118" s="24"/>
      <c r="K118" s="24"/>
      <c r="L118" s="24"/>
      <c r="M118" s="24"/>
      <c r="N118" s="24"/>
      <c r="O118" s="82"/>
      <c r="P118" s="82"/>
      <c r="Q118" s="24"/>
      <c r="R118" s="24"/>
      <c r="S118" s="24"/>
      <c r="T118" s="24"/>
      <c r="U118" s="26">
        <f t="shared" si="30"/>
        <v>0</v>
      </c>
      <c r="V118" s="26">
        <f t="shared" si="38"/>
        <v>0</v>
      </c>
      <c r="W118" s="26">
        <f t="shared" si="39"/>
        <v>0</v>
      </c>
      <c r="X118" s="26">
        <f t="shared" si="40"/>
        <v>0</v>
      </c>
      <c r="Y118" s="26">
        <f t="shared" si="41"/>
        <v>0</v>
      </c>
      <c r="Z118" s="26">
        <f t="shared" si="42"/>
        <v>0</v>
      </c>
      <c r="AA118" s="26">
        <f t="shared" si="43"/>
        <v>0</v>
      </c>
      <c r="AB118" s="26">
        <f t="shared" si="44"/>
        <v>0</v>
      </c>
      <c r="AC118" s="26" t="e">
        <f t="shared" si="8"/>
        <v>#DIV/0!</v>
      </c>
      <c r="AD118" s="26" t="e">
        <f t="shared" si="9"/>
        <v>#DIV/0!</v>
      </c>
      <c r="AE118" s="19" t="e">
        <f t="shared" si="10"/>
        <v>#DIV/0!</v>
      </c>
      <c r="AF118" s="7" t="e">
        <f t="shared" si="11"/>
        <v>#DIV/0!</v>
      </c>
      <c r="AG118" s="7" t="e">
        <f t="shared" si="12"/>
        <v>#DIV/0!</v>
      </c>
      <c r="AH118" s="7" t="e">
        <f t="shared" si="13"/>
        <v>#DIV/0!</v>
      </c>
      <c r="AI118" s="8" t="e">
        <f t="shared" si="14"/>
        <v>#DIV/0!</v>
      </c>
    </row>
    <row r="119" spans="1:35" ht="33" hidden="1" customHeight="1">
      <c r="A119" s="40">
        <v>0</v>
      </c>
      <c r="B119" s="24"/>
      <c r="C119" s="25"/>
      <c r="D119" s="24"/>
      <c r="E119" s="24"/>
      <c r="F119" s="24"/>
      <c r="G119" s="24"/>
      <c r="H119" s="24"/>
      <c r="I119" s="24"/>
      <c r="J119" s="24"/>
      <c r="K119" s="24"/>
      <c r="L119" s="24"/>
      <c r="M119" s="24"/>
      <c r="N119" s="24"/>
      <c r="O119" s="82"/>
      <c r="P119" s="82"/>
      <c r="Q119" s="24"/>
      <c r="R119" s="24"/>
      <c r="S119" s="24"/>
      <c r="T119" s="24"/>
      <c r="U119" s="26">
        <f t="shared" si="30"/>
        <v>0</v>
      </c>
      <c r="V119" s="26">
        <f t="shared" si="38"/>
        <v>0</v>
      </c>
      <c r="W119" s="26">
        <f t="shared" si="39"/>
        <v>0</v>
      </c>
      <c r="X119" s="26">
        <f t="shared" si="40"/>
        <v>0</v>
      </c>
      <c r="Y119" s="26">
        <f t="shared" si="41"/>
        <v>0</v>
      </c>
      <c r="Z119" s="26">
        <f t="shared" si="42"/>
        <v>0</v>
      </c>
      <c r="AA119" s="26">
        <f t="shared" si="43"/>
        <v>0</v>
      </c>
      <c r="AB119" s="26">
        <f t="shared" si="44"/>
        <v>0</v>
      </c>
      <c r="AC119" s="26" t="e">
        <f t="shared" si="8"/>
        <v>#DIV/0!</v>
      </c>
      <c r="AD119" s="26" t="e">
        <f t="shared" si="9"/>
        <v>#DIV/0!</v>
      </c>
      <c r="AE119" s="19" t="e">
        <f t="shared" si="10"/>
        <v>#DIV/0!</v>
      </c>
      <c r="AF119" s="7" t="e">
        <f t="shared" si="11"/>
        <v>#DIV/0!</v>
      </c>
      <c r="AG119" s="7" t="e">
        <f t="shared" si="12"/>
        <v>#DIV/0!</v>
      </c>
      <c r="AH119" s="7" t="e">
        <f t="shared" si="13"/>
        <v>#DIV/0!</v>
      </c>
      <c r="AI119" s="8" t="e">
        <f t="shared" si="14"/>
        <v>#DIV/0!</v>
      </c>
    </row>
    <row r="120" spans="1:35" ht="33" hidden="1" customHeight="1">
      <c r="A120" s="40">
        <v>0</v>
      </c>
      <c r="B120" s="24"/>
      <c r="C120" s="25"/>
      <c r="D120" s="24"/>
      <c r="E120" s="24"/>
      <c r="F120" s="24"/>
      <c r="G120" s="24"/>
      <c r="H120" s="24"/>
      <c r="I120" s="24"/>
      <c r="J120" s="24"/>
      <c r="K120" s="24"/>
      <c r="L120" s="24"/>
      <c r="M120" s="24"/>
      <c r="N120" s="24"/>
      <c r="O120" s="82"/>
      <c r="P120" s="82"/>
      <c r="Q120" s="24"/>
      <c r="R120" s="24"/>
      <c r="S120" s="24"/>
      <c r="T120" s="24"/>
      <c r="U120" s="26">
        <f t="shared" si="30"/>
        <v>0</v>
      </c>
      <c r="V120" s="26">
        <f t="shared" si="38"/>
        <v>0</v>
      </c>
      <c r="W120" s="26">
        <f t="shared" si="39"/>
        <v>0</v>
      </c>
      <c r="X120" s="26">
        <f t="shared" si="40"/>
        <v>0</v>
      </c>
      <c r="Y120" s="26">
        <f t="shared" si="41"/>
        <v>0</v>
      </c>
      <c r="Z120" s="26">
        <f t="shared" si="42"/>
        <v>0</v>
      </c>
      <c r="AA120" s="26">
        <f t="shared" si="43"/>
        <v>0</v>
      </c>
      <c r="AB120" s="26">
        <f t="shared" si="44"/>
        <v>0</v>
      </c>
      <c r="AC120" s="26" t="e">
        <f t="shared" si="8"/>
        <v>#DIV/0!</v>
      </c>
      <c r="AD120" s="26" t="e">
        <f t="shared" si="9"/>
        <v>#DIV/0!</v>
      </c>
      <c r="AE120" s="19" t="e">
        <f t="shared" si="10"/>
        <v>#DIV/0!</v>
      </c>
      <c r="AF120" s="7" t="e">
        <f t="shared" si="11"/>
        <v>#DIV/0!</v>
      </c>
      <c r="AG120" s="7" t="e">
        <f t="shared" si="12"/>
        <v>#DIV/0!</v>
      </c>
      <c r="AH120" s="7" t="e">
        <f t="shared" si="13"/>
        <v>#DIV/0!</v>
      </c>
      <c r="AI120" s="8" t="e">
        <f t="shared" si="14"/>
        <v>#DIV/0!</v>
      </c>
    </row>
    <row r="121" spans="1:35" ht="33" hidden="1" customHeight="1">
      <c r="A121" s="40">
        <v>0</v>
      </c>
      <c r="B121" s="24"/>
      <c r="C121" s="25"/>
      <c r="D121" s="24"/>
      <c r="E121" s="24"/>
      <c r="F121" s="24"/>
      <c r="G121" s="24"/>
      <c r="H121" s="24"/>
      <c r="I121" s="24"/>
      <c r="J121" s="24"/>
      <c r="K121" s="24"/>
      <c r="L121" s="24"/>
      <c r="M121" s="24"/>
      <c r="N121" s="24"/>
      <c r="O121" s="82"/>
      <c r="P121" s="82"/>
      <c r="Q121" s="24"/>
      <c r="R121" s="24"/>
      <c r="S121" s="24"/>
      <c r="T121" s="24"/>
      <c r="U121" s="26">
        <f t="shared" si="30"/>
        <v>0</v>
      </c>
      <c r="V121" s="26">
        <f t="shared" si="38"/>
        <v>0</v>
      </c>
      <c r="W121" s="26">
        <f t="shared" si="39"/>
        <v>0</v>
      </c>
      <c r="X121" s="26">
        <f t="shared" si="40"/>
        <v>0</v>
      </c>
      <c r="Y121" s="26">
        <f t="shared" si="41"/>
        <v>0</v>
      </c>
      <c r="Z121" s="26">
        <f t="shared" si="42"/>
        <v>0</v>
      </c>
      <c r="AA121" s="26">
        <f t="shared" si="43"/>
        <v>0</v>
      </c>
      <c r="AB121" s="26">
        <f t="shared" si="44"/>
        <v>0</v>
      </c>
      <c r="AC121" s="26" t="e">
        <f t="shared" si="8"/>
        <v>#DIV/0!</v>
      </c>
      <c r="AD121" s="26" t="e">
        <f t="shared" si="9"/>
        <v>#DIV/0!</v>
      </c>
      <c r="AE121" s="19" t="e">
        <f t="shared" si="10"/>
        <v>#DIV/0!</v>
      </c>
      <c r="AF121" s="7" t="e">
        <f t="shared" si="11"/>
        <v>#DIV/0!</v>
      </c>
      <c r="AG121" s="7" t="e">
        <f t="shared" si="12"/>
        <v>#DIV/0!</v>
      </c>
      <c r="AH121" s="7" t="e">
        <f t="shared" si="13"/>
        <v>#DIV/0!</v>
      </c>
      <c r="AI121" s="8" t="e">
        <f t="shared" si="14"/>
        <v>#DIV/0!</v>
      </c>
    </row>
    <row r="122" spans="1:35" ht="33" hidden="1" customHeight="1">
      <c r="A122" s="40">
        <v>0</v>
      </c>
      <c r="B122" s="24"/>
      <c r="C122" s="25"/>
      <c r="D122" s="24"/>
      <c r="E122" s="24"/>
      <c r="F122" s="24"/>
      <c r="G122" s="24"/>
      <c r="H122" s="24"/>
      <c r="I122" s="24"/>
      <c r="J122" s="24"/>
      <c r="K122" s="24"/>
      <c r="L122" s="24"/>
      <c r="M122" s="24"/>
      <c r="N122" s="24"/>
      <c r="O122" s="82"/>
      <c r="P122" s="82"/>
      <c r="Q122" s="24"/>
      <c r="R122" s="24"/>
      <c r="S122" s="24"/>
      <c r="T122" s="24"/>
      <c r="U122" s="26">
        <f t="shared" si="30"/>
        <v>0</v>
      </c>
      <c r="V122" s="26">
        <f t="shared" si="38"/>
        <v>0</v>
      </c>
      <c r="W122" s="26">
        <f t="shared" si="39"/>
        <v>0</v>
      </c>
      <c r="X122" s="26">
        <f t="shared" si="40"/>
        <v>0</v>
      </c>
      <c r="Y122" s="26">
        <f t="shared" si="41"/>
        <v>0</v>
      </c>
      <c r="Z122" s="26">
        <f t="shared" si="42"/>
        <v>0</v>
      </c>
      <c r="AA122" s="26">
        <f t="shared" si="43"/>
        <v>0</v>
      </c>
      <c r="AB122" s="26">
        <f t="shared" si="44"/>
        <v>0</v>
      </c>
      <c r="AC122" s="26" t="e">
        <f t="shared" si="8"/>
        <v>#DIV/0!</v>
      </c>
      <c r="AD122" s="26" t="e">
        <f t="shared" si="9"/>
        <v>#DIV/0!</v>
      </c>
      <c r="AE122" s="19" t="e">
        <f t="shared" si="10"/>
        <v>#DIV/0!</v>
      </c>
      <c r="AF122" s="7" t="e">
        <f t="shared" si="11"/>
        <v>#DIV/0!</v>
      </c>
      <c r="AG122" s="7" t="e">
        <f t="shared" si="12"/>
        <v>#DIV/0!</v>
      </c>
      <c r="AH122" s="7" t="e">
        <f t="shared" si="13"/>
        <v>#DIV/0!</v>
      </c>
      <c r="AI122" s="8" t="e">
        <f t="shared" si="14"/>
        <v>#DIV/0!</v>
      </c>
    </row>
    <row r="123" spans="1:35" ht="33" hidden="1" customHeight="1">
      <c r="A123" s="40">
        <v>0</v>
      </c>
      <c r="B123" s="24"/>
      <c r="C123" s="25"/>
      <c r="D123" s="24"/>
      <c r="E123" s="24"/>
      <c r="F123" s="24"/>
      <c r="G123" s="24"/>
      <c r="H123" s="24"/>
      <c r="I123" s="24"/>
      <c r="J123" s="24"/>
      <c r="K123" s="24"/>
      <c r="L123" s="24"/>
      <c r="M123" s="24"/>
      <c r="N123" s="24"/>
      <c r="O123" s="82"/>
      <c r="P123" s="82"/>
      <c r="Q123" s="24"/>
      <c r="R123" s="24"/>
      <c r="S123" s="24"/>
      <c r="T123" s="24"/>
      <c r="U123" s="26">
        <f t="shared" si="30"/>
        <v>0</v>
      </c>
      <c r="V123" s="26">
        <f t="shared" si="38"/>
        <v>0</v>
      </c>
      <c r="W123" s="26">
        <f t="shared" si="39"/>
        <v>0</v>
      </c>
      <c r="X123" s="26">
        <f t="shared" si="40"/>
        <v>0</v>
      </c>
      <c r="Y123" s="26">
        <f t="shared" si="41"/>
        <v>0</v>
      </c>
      <c r="Z123" s="26">
        <f t="shared" si="42"/>
        <v>0</v>
      </c>
      <c r="AA123" s="26">
        <f t="shared" si="43"/>
        <v>0</v>
      </c>
      <c r="AB123" s="26">
        <f t="shared" si="44"/>
        <v>0</v>
      </c>
      <c r="AC123" s="26" t="e">
        <f t="shared" si="8"/>
        <v>#DIV/0!</v>
      </c>
      <c r="AD123" s="26" t="e">
        <f t="shared" si="9"/>
        <v>#DIV/0!</v>
      </c>
      <c r="AE123" s="19" t="e">
        <f t="shared" si="10"/>
        <v>#DIV/0!</v>
      </c>
      <c r="AF123" s="7" t="e">
        <f t="shared" si="11"/>
        <v>#DIV/0!</v>
      </c>
      <c r="AG123" s="7" t="e">
        <f t="shared" si="12"/>
        <v>#DIV/0!</v>
      </c>
      <c r="AH123" s="7" t="e">
        <f t="shared" si="13"/>
        <v>#DIV/0!</v>
      </c>
      <c r="AI123" s="8" t="e">
        <f t="shared" si="14"/>
        <v>#DIV/0!</v>
      </c>
    </row>
    <row r="124" spans="1:35" ht="33" hidden="1" customHeight="1">
      <c r="A124" s="24">
        <v>0</v>
      </c>
      <c r="B124" s="24"/>
      <c r="C124" s="25"/>
      <c r="D124" s="24"/>
      <c r="E124" s="24"/>
      <c r="F124" s="24"/>
      <c r="G124" s="24"/>
      <c r="H124" s="24"/>
      <c r="I124" s="24"/>
      <c r="J124" s="24"/>
      <c r="K124" s="24"/>
      <c r="L124" s="24"/>
      <c r="M124" s="24"/>
      <c r="N124" s="24"/>
      <c r="O124" s="82"/>
      <c r="P124" s="82"/>
      <c r="Q124" s="24"/>
      <c r="R124" s="24"/>
      <c r="S124" s="24"/>
      <c r="T124" s="24"/>
      <c r="U124" s="26">
        <f t="shared" si="30"/>
        <v>0</v>
      </c>
      <c r="V124" s="26">
        <f t="shared" si="38"/>
        <v>0</v>
      </c>
      <c r="W124" s="26">
        <f t="shared" si="39"/>
        <v>0</v>
      </c>
      <c r="X124" s="26">
        <f t="shared" si="40"/>
        <v>0</v>
      </c>
      <c r="Y124" s="26">
        <f t="shared" si="41"/>
        <v>0</v>
      </c>
      <c r="Z124" s="26">
        <f t="shared" si="42"/>
        <v>0</v>
      </c>
      <c r="AA124" s="26">
        <f t="shared" si="43"/>
        <v>0</v>
      </c>
      <c r="AB124" s="26">
        <f t="shared" si="44"/>
        <v>0</v>
      </c>
      <c r="AC124" s="26" t="e">
        <f t="shared" si="8"/>
        <v>#DIV/0!</v>
      </c>
      <c r="AD124" s="26" t="e">
        <f t="shared" si="9"/>
        <v>#DIV/0!</v>
      </c>
      <c r="AE124" s="19" t="e">
        <f t="shared" si="10"/>
        <v>#DIV/0!</v>
      </c>
      <c r="AF124" s="7" t="e">
        <f t="shared" si="11"/>
        <v>#DIV/0!</v>
      </c>
      <c r="AG124" s="7" t="e">
        <f t="shared" si="12"/>
        <v>#DIV/0!</v>
      </c>
      <c r="AH124" s="7" t="e">
        <f t="shared" si="13"/>
        <v>#DIV/0!</v>
      </c>
      <c r="AI124" s="8" t="e">
        <f t="shared" si="14"/>
        <v>#DIV/0!</v>
      </c>
    </row>
    <row r="125" spans="1:35" ht="33" hidden="1" customHeight="1">
      <c r="A125" s="40">
        <v>0</v>
      </c>
      <c r="B125" s="24"/>
      <c r="C125" s="25"/>
      <c r="D125" s="24"/>
      <c r="E125" s="24"/>
      <c r="F125" s="24"/>
      <c r="G125" s="24"/>
      <c r="H125" s="24"/>
      <c r="I125" s="24"/>
      <c r="J125" s="24"/>
      <c r="K125" s="24"/>
      <c r="L125" s="24"/>
      <c r="M125" s="24"/>
      <c r="N125" s="24"/>
      <c r="O125" s="82"/>
      <c r="P125" s="82"/>
      <c r="Q125" s="24"/>
      <c r="R125" s="24"/>
      <c r="S125" s="24"/>
      <c r="T125" s="24"/>
      <c r="U125" s="26">
        <f t="shared" si="30"/>
        <v>0</v>
      </c>
      <c r="V125" s="26">
        <f t="shared" si="38"/>
        <v>0</v>
      </c>
      <c r="W125" s="26">
        <f t="shared" si="39"/>
        <v>0</v>
      </c>
      <c r="X125" s="26">
        <f t="shared" si="40"/>
        <v>0</v>
      </c>
      <c r="Y125" s="26">
        <f t="shared" si="41"/>
        <v>0</v>
      </c>
      <c r="Z125" s="26">
        <f t="shared" si="42"/>
        <v>0</v>
      </c>
      <c r="AA125" s="26">
        <f t="shared" si="43"/>
        <v>0</v>
      </c>
      <c r="AB125" s="26">
        <f t="shared" si="44"/>
        <v>0</v>
      </c>
      <c r="AC125" s="26" t="e">
        <f t="shared" si="8"/>
        <v>#DIV/0!</v>
      </c>
      <c r="AD125" s="26" t="e">
        <f t="shared" si="9"/>
        <v>#DIV/0!</v>
      </c>
      <c r="AE125" s="19" t="e">
        <f t="shared" si="10"/>
        <v>#DIV/0!</v>
      </c>
      <c r="AF125" s="7" t="e">
        <f t="shared" si="11"/>
        <v>#DIV/0!</v>
      </c>
      <c r="AG125" s="7" t="e">
        <f t="shared" si="12"/>
        <v>#DIV/0!</v>
      </c>
      <c r="AH125" s="7" t="e">
        <f t="shared" si="13"/>
        <v>#DIV/0!</v>
      </c>
      <c r="AI125" s="8" t="e">
        <f t="shared" si="14"/>
        <v>#DIV/0!</v>
      </c>
    </row>
    <row r="126" spans="1:35" ht="33" hidden="1" customHeight="1">
      <c r="A126" s="24">
        <v>0</v>
      </c>
      <c r="B126" s="24"/>
      <c r="C126" s="25"/>
      <c r="D126" s="24"/>
      <c r="E126" s="24"/>
      <c r="F126" s="24"/>
      <c r="G126" s="24"/>
      <c r="H126" s="24"/>
      <c r="I126" s="24"/>
      <c r="J126" s="24"/>
      <c r="K126" s="24"/>
      <c r="L126" s="24"/>
      <c r="M126" s="24"/>
      <c r="N126" s="24"/>
      <c r="O126" s="82"/>
      <c r="P126" s="82"/>
      <c r="Q126" s="24"/>
      <c r="R126" s="24"/>
      <c r="S126" s="24"/>
      <c r="T126" s="24"/>
      <c r="U126" s="26">
        <f t="shared" si="30"/>
        <v>0</v>
      </c>
      <c r="V126" s="26">
        <f t="shared" si="38"/>
        <v>0</v>
      </c>
      <c r="W126" s="26">
        <f t="shared" si="39"/>
        <v>0</v>
      </c>
      <c r="X126" s="26">
        <f t="shared" si="40"/>
        <v>0</v>
      </c>
      <c r="Y126" s="26">
        <f t="shared" si="41"/>
        <v>0</v>
      </c>
      <c r="Z126" s="26">
        <f t="shared" si="42"/>
        <v>0</v>
      </c>
      <c r="AA126" s="26">
        <f t="shared" si="43"/>
        <v>0</v>
      </c>
      <c r="AB126" s="26">
        <f t="shared" si="44"/>
        <v>0</v>
      </c>
      <c r="AC126" s="26" t="e">
        <f t="shared" si="8"/>
        <v>#DIV/0!</v>
      </c>
      <c r="AD126" s="26" t="e">
        <f t="shared" si="9"/>
        <v>#DIV/0!</v>
      </c>
      <c r="AE126" s="19" t="e">
        <f t="shared" si="10"/>
        <v>#DIV/0!</v>
      </c>
      <c r="AF126" s="7" t="e">
        <f t="shared" si="11"/>
        <v>#DIV/0!</v>
      </c>
      <c r="AG126" s="7" t="e">
        <f t="shared" si="12"/>
        <v>#DIV/0!</v>
      </c>
      <c r="AH126" s="7" t="e">
        <f t="shared" si="13"/>
        <v>#DIV/0!</v>
      </c>
      <c r="AI126" s="8" t="e">
        <f t="shared" si="14"/>
        <v>#DIV/0!</v>
      </c>
    </row>
    <row r="127" spans="1:35" ht="33" hidden="1" customHeight="1">
      <c r="A127" s="24">
        <v>0</v>
      </c>
      <c r="B127" s="18"/>
      <c r="C127" s="18"/>
      <c r="D127" s="24"/>
      <c r="E127" s="24"/>
      <c r="F127" s="24"/>
      <c r="G127" s="24"/>
      <c r="H127" s="24"/>
      <c r="I127" s="24"/>
      <c r="J127" s="24"/>
      <c r="K127" s="24"/>
      <c r="L127" s="24"/>
      <c r="M127" s="24"/>
      <c r="N127" s="24"/>
      <c r="O127" s="24"/>
      <c r="P127" s="24"/>
      <c r="Q127" s="24"/>
      <c r="R127" s="24"/>
      <c r="S127" s="24"/>
      <c r="T127" s="24"/>
      <c r="U127" s="26">
        <f t="shared" si="30"/>
        <v>0</v>
      </c>
      <c r="V127" s="26">
        <f t="shared" si="38"/>
        <v>0</v>
      </c>
      <c r="W127" s="26">
        <f t="shared" si="39"/>
        <v>0</v>
      </c>
      <c r="X127" s="26">
        <f t="shared" si="40"/>
        <v>0</v>
      </c>
      <c r="Y127" s="26">
        <f t="shared" si="41"/>
        <v>0</v>
      </c>
      <c r="Z127" s="26">
        <f t="shared" si="42"/>
        <v>0</v>
      </c>
      <c r="AA127" s="26">
        <f t="shared" si="43"/>
        <v>0</v>
      </c>
      <c r="AB127" s="26">
        <f t="shared" si="44"/>
        <v>0</v>
      </c>
      <c r="AC127" s="26" t="e">
        <f t="shared" si="8"/>
        <v>#DIV/0!</v>
      </c>
      <c r="AD127" s="26" t="e">
        <f t="shared" si="9"/>
        <v>#DIV/0!</v>
      </c>
      <c r="AE127" s="19" t="e">
        <f t="shared" si="10"/>
        <v>#DIV/0!</v>
      </c>
      <c r="AF127" s="7" t="e">
        <f t="shared" si="11"/>
        <v>#DIV/0!</v>
      </c>
      <c r="AG127" s="7" t="e">
        <f t="shared" si="12"/>
        <v>#DIV/0!</v>
      </c>
      <c r="AH127" s="7" t="e">
        <f t="shared" si="13"/>
        <v>#DIV/0!</v>
      </c>
      <c r="AI127" s="8" t="e">
        <f t="shared" si="14"/>
        <v>#DIV/0!</v>
      </c>
    </row>
    <row r="128" spans="1:35" ht="33" hidden="1" customHeight="1">
      <c r="A128" s="24">
        <v>0</v>
      </c>
      <c r="B128" s="18"/>
      <c r="C128" s="18"/>
      <c r="D128" s="24"/>
      <c r="E128" s="24"/>
      <c r="F128" s="24"/>
      <c r="G128" s="24"/>
      <c r="H128" s="24"/>
      <c r="I128" s="24"/>
      <c r="J128" s="24"/>
      <c r="K128" s="24"/>
      <c r="L128" s="24"/>
      <c r="M128" s="24"/>
      <c r="N128" s="24"/>
      <c r="O128" s="24"/>
      <c r="P128" s="24"/>
      <c r="Q128" s="24"/>
      <c r="R128" s="24"/>
      <c r="S128" s="24"/>
      <c r="T128" s="24"/>
      <c r="U128" s="26">
        <f t="shared" si="30"/>
        <v>0</v>
      </c>
      <c r="V128" s="26">
        <f t="shared" si="38"/>
        <v>0</v>
      </c>
      <c r="W128" s="26">
        <f t="shared" si="39"/>
        <v>0</v>
      </c>
      <c r="X128" s="26">
        <f t="shared" si="40"/>
        <v>0</v>
      </c>
      <c r="Y128" s="26">
        <f t="shared" si="41"/>
        <v>0</v>
      </c>
      <c r="Z128" s="26">
        <f t="shared" si="42"/>
        <v>0</v>
      </c>
      <c r="AA128" s="26">
        <f t="shared" si="43"/>
        <v>0</v>
      </c>
      <c r="AB128" s="26">
        <f t="shared" si="44"/>
        <v>0</v>
      </c>
      <c r="AC128" s="26" t="e">
        <f t="shared" si="8"/>
        <v>#DIV/0!</v>
      </c>
      <c r="AD128" s="26" t="e">
        <f t="shared" si="9"/>
        <v>#DIV/0!</v>
      </c>
      <c r="AE128" s="19" t="e">
        <f t="shared" si="10"/>
        <v>#DIV/0!</v>
      </c>
      <c r="AF128" s="7" t="e">
        <f t="shared" si="11"/>
        <v>#DIV/0!</v>
      </c>
      <c r="AG128" s="7" t="e">
        <f t="shared" si="12"/>
        <v>#DIV/0!</v>
      </c>
      <c r="AH128" s="7" t="e">
        <f t="shared" si="13"/>
        <v>#DIV/0!</v>
      </c>
      <c r="AI128" s="8" t="e">
        <f t="shared" si="14"/>
        <v>#DIV/0!</v>
      </c>
    </row>
    <row r="129" spans="1:35" ht="33" hidden="1" customHeight="1">
      <c r="A129" s="24">
        <v>0</v>
      </c>
      <c r="B129" s="24"/>
      <c r="C129" s="25"/>
      <c r="D129" s="24"/>
      <c r="E129" s="24"/>
      <c r="F129" s="24"/>
      <c r="G129" s="24"/>
      <c r="H129" s="24"/>
      <c r="I129" s="24"/>
      <c r="J129" s="24"/>
      <c r="K129" s="24"/>
      <c r="L129" s="24"/>
      <c r="M129" s="24"/>
      <c r="N129" s="24"/>
      <c r="O129" s="24"/>
      <c r="P129" s="24"/>
      <c r="Q129" s="24"/>
      <c r="R129" s="24"/>
      <c r="S129" s="24"/>
      <c r="T129" s="24"/>
      <c r="U129" s="26">
        <f t="shared" si="30"/>
        <v>0</v>
      </c>
      <c r="V129" s="26">
        <f t="shared" si="38"/>
        <v>0</v>
      </c>
      <c r="W129" s="26">
        <f t="shared" si="39"/>
        <v>0</v>
      </c>
      <c r="X129" s="26">
        <f t="shared" si="40"/>
        <v>0</v>
      </c>
      <c r="Y129" s="26">
        <f t="shared" si="41"/>
        <v>0</v>
      </c>
      <c r="Z129" s="26">
        <f t="shared" si="42"/>
        <v>0</v>
      </c>
      <c r="AA129" s="26">
        <f t="shared" si="43"/>
        <v>0</v>
      </c>
      <c r="AB129" s="26">
        <f t="shared" si="44"/>
        <v>0</v>
      </c>
      <c r="AC129" s="26" t="e">
        <f t="shared" si="8"/>
        <v>#DIV/0!</v>
      </c>
      <c r="AD129" s="26" t="e">
        <f t="shared" si="9"/>
        <v>#DIV/0!</v>
      </c>
      <c r="AE129" s="19" t="e">
        <f t="shared" si="10"/>
        <v>#DIV/0!</v>
      </c>
      <c r="AF129" s="7" t="e">
        <f t="shared" si="11"/>
        <v>#DIV/0!</v>
      </c>
      <c r="AG129" s="7" t="e">
        <f t="shared" si="12"/>
        <v>#DIV/0!</v>
      </c>
      <c r="AH129" s="7" t="e">
        <f t="shared" si="13"/>
        <v>#DIV/0!</v>
      </c>
      <c r="AI129" s="8" t="e">
        <f t="shared" si="14"/>
        <v>#DIV/0!</v>
      </c>
    </row>
    <row r="130" spans="1:35" ht="33" hidden="1" customHeight="1">
      <c r="A130" s="24">
        <v>0</v>
      </c>
      <c r="B130" s="24"/>
      <c r="C130" s="25"/>
      <c r="D130" s="24"/>
      <c r="E130" s="24"/>
      <c r="F130" s="24"/>
      <c r="G130" s="24"/>
      <c r="H130" s="24"/>
      <c r="I130" s="24"/>
      <c r="J130" s="24"/>
      <c r="K130" s="24"/>
      <c r="L130" s="24"/>
      <c r="M130" s="24"/>
      <c r="N130" s="24"/>
      <c r="O130" s="24"/>
      <c r="P130" s="24"/>
      <c r="Q130" s="24"/>
      <c r="R130" s="24"/>
      <c r="S130" s="24"/>
      <c r="T130" s="24"/>
      <c r="U130" s="26">
        <f t="shared" si="30"/>
        <v>0</v>
      </c>
      <c r="V130" s="26">
        <f t="shared" si="38"/>
        <v>0</v>
      </c>
      <c r="W130" s="26">
        <f t="shared" si="39"/>
        <v>0</v>
      </c>
      <c r="X130" s="26">
        <f t="shared" si="40"/>
        <v>0</v>
      </c>
      <c r="Y130" s="26">
        <f t="shared" si="41"/>
        <v>0</v>
      </c>
      <c r="Z130" s="26">
        <f t="shared" si="42"/>
        <v>0</v>
      </c>
      <c r="AA130" s="26">
        <f t="shared" si="43"/>
        <v>0</v>
      </c>
      <c r="AB130" s="26">
        <f t="shared" si="44"/>
        <v>0</v>
      </c>
      <c r="AC130" s="26" t="e">
        <f t="shared" si="8"/>
        <v>#DIV/0!</v>
      </c>
      <c r="AD130" s="26" t="e">
        <f t="shared" si="9"/>
        <v>#DIV/0!</v>
      </c>
      <c r="AE130" s="19" t="e">
        <f t="shared" si="10"/>
        <v>#DIV/0!</v>
      </c>
      <c r="AF130" s="7" t="e">
        <f t="shared" si="11"/>
        <v>#DIV/0!</v>
      </c>
      <c r="AG130" s="7" t="e">
        <f t="shared" si="12"/>
        <v>#DIV/0!</v>
      </c>
      <c r="AH130" s="7" t="e">
        <f t="shared" si="13"/>
        <v>#DIV/0!</v>
      </c>
      <c r="AI130" s="8" t="e">
        <f t="shared" si="14"/>
        <v>#DIV/0!</v>
      </c>
    </row>
    <row r="131" spans="1:35" ht="33" hidden="1" customHeight="1">
      <c r="A131" s="24">
        <v>0</v>
      </c>
      <c r="B131" s="24"/>
      <c r="C131" s="25"/>
      <c r="D131" s="24"/>
      <c r="E131" s="24"/>
      <c r="F131" s="24"/>
      <c r="G131" s="24"/>
      <c r="H131" s="24"/>
      <c r="I131" s="24"/>
      <c r="J131" s="24"/>
      <c r="K131" s="24"/>
      <c r="L131" s="24"/>
      <c r="M131" s="24"/>
      <c r="N131" s="24"/>
      <c r="O131" s="24"/>
      <c r="P131" s="24"/>
      <c r="Q131" s="24"/>
      <c r="R131" s="24"/>
      <c r="S131" s="24"/>
      <c r="T131" s="24"/>
      <c r="U131" s="26">
        <f t="shared" si="30"/>
        <v>0</v>
      </c>
      <c r="V131" s="26">
        <f t="shared" si="38"/>
        <v>0</v>
      </c>
      <c r="W131" s="26">
        <f t="shared" si="39"/>
        <v>0</v>
      </c>
      <c r="X131" s="26">
        <f t="shared" si="40"/>
        <v>0</v>
      </c>
      <c r="Y131" s="26">
        <f t="shared" si="41"/>
        <v>0</v>
      </c>
      <c r="Z131" s="26">
        <f t="shared" si="42"/>
        <v>0</v>
      </c>
      <c r="AA131" s="26">
        <f t="shared" si="43"/>
        <v>0</v>
      </c>
      <c r="AB131" s="26">
        <f t="shared" si="44"/>
        <v>0</v>
      </c>
      <c r="AC131" s="26" t="e">
        <f t="shared" si="8"/>
        <v>#DIV/0!</v>
      </c>
      <c r="AD131" s="26" t="e">
        <f t="shared" si="9"/>
        <v>#DIV/0!</v>
      </c>
      <c r="AE131" s="19" t="e">
        <f t="shared" si="10"/>
        <v>#DIV/0!</v>
      </c>
      <c r="AF131" s="7" t="e">
        <f t="shared" si="11"/>
        <v>#DIV/0!</v>
      </c>
      <c r="AG131" s="7" t="e">
        <f t="shared" si="12"/>
        <v>#DIV/0!</v>
      </c>
      <c r="AH131" s="7" t="e">
        <f t="shared" si="13"/>
        <v>#DIV/0!</v>
      </c>
      <c r="AI131" s="8" t="e">
        <f t="shared" si="14"/>
        <v>#DIV/0!</v>
      </c>
    </row>
    <row r="132" spans="1:35" ht="33" hidden="1" customHeight="1">
      <c r="A132" s="24">
        <v>0</v>
      </c>
      <c r="B132" s="24"/>
      <c r="C132" s="25"/>
      <c r="D132" s="24"/>
      <c r="E132" s="24"/>
      <c r="F132" s="24"/>
      <c r="G132" s="24"/>
      <c r="H132" s="24"/>
      <c r="I132" s="24"/>
      <c r="J132" s="24"/>
      <c r="K132" s="24"/>
      <c r="L132" s="24"/>
      <c r="M132" s="24"/>
      <c r="N132" s="24"/>
      <c r="O132" s="24"/>
      <c r="P132" s="24"/>
      <c r="Q132" s="24"/>
      <c r="R132" s="24"/>
      <c r="S132" s="24"/>
      <c r="T132" s="24"/>
      <c r="U132" s="26">
        <f t="shared" si="30"/>
        <v>0</v>
      </c>
      <c r="V132" s="26">
        <f t="shared" si="38"/>
        <v>0</v>
      </c>
      <c r="W132" s="26">
        <f t="shared" si="39"/>
        <v>0</v>
      </c>
      <c r="X132" s="26">
        <f t="shared" si="40"/>
        <v>0</v>
      </c>
      <c r="Y132" s="26">
        <f t="shared" si="41"/>
        <v>0</v>
      </c>
      <c r="Z132" s="26">
        <f t="shared" si="42"/>
        <v>0</v>
      </c>
      <c r="AA132" s="26">
        <f t="shared" si="43"/>
        <v>0</v>
      </c>
      <c r="AB132" s="26">
        <f t="shared" si="44"/>
        <v>0</v>
      </c>
      <c r="AC132" s="26" t="e">
        <f t="shared" si="8"/>
        <v>#DIV/0!</v>
      </c>
      <c r="AD132" s="26" t="e">
        <f t="shared" si="9"/>
        <v>#DIV/0!</v>
      </c>
      <c r="AE132" s="19" t="e">
        <f t="shared" si="10"/>
        <v>#DIV/0!</v>
      </c>
      <c r="AF132" s="7" t="e">
        <f t="shared" si="11"/>
        <v>#DIV/0!</v>
      </c>
      <c r="AG132" s="7" t="e">
        <f t="shared" si="12"/>
        <v>#DIV/0!</v>
      </c>
      <c r="AH132" s="7" t="e">
        <f t="shared" si="13"/>
        <v>#DIV/0!</v>
      </c>
      <c r="AI132" s="8" t="e">
        <f t="shared" si="14"/>
        <v>#DIV/0!</v>
      </c>
    </row>
    <row r="133" spans="1:35" ht="33" hidden="1" customHeight="1">
      <c r="A133" s="24">
        <v>0</v>
      </c>
      <c r="B133" s="24"/>
      <c r="C133" s="25"/>
      <c r="D133" s="24"/>
      <c r="E133" s="24"/>
      <c r="F133" s="24"/>
      <c r="G133" s="24"/>
      <c r="H133" s="24"/>
      <c r="I133" s="24"/>
      <c r="J133" s="24"/>
      <c r="K133" s="24"/>
      <c r="L133" s="24"/>
      <c r="M133" s="24"/>
      <c r="N133" s="24"/>
      <c r="O133" s="24"/>
      <c r="P133" s="24"/>
      <c r="Q133" s="24"/>
      <c r="R133" s="24"/>
      <c r="S133" s="24"/>
      <c r="T133" s="24"/>
      <c r="U133" s="26">
        <f t="shared" si="30"/>
        <v>0</v>
      </c>
      <c r="V133" s="26">
        <f t="shared" si="38"/>
        <v>0</v>
      </c>
      <c r="W133" s="26">
        <f t="shared" si="39"/>
        <v>0</v>
      </c>
      <c r="X133" s="26">
        <f t="shared" si="40"/>
        <v>0</v>
      </c>
      <c r="Y133" s="26">
        <f t="shared" si="41"/>
        <v>0</v>
      </c>
      <c r="Z133" s="26">
        <f t="shared" si="42"/>
        <v>0</v>
      </c>
      <c r="AA133" s="26">
        <f t="shared" si="43"/>
        <v>0</v>
      </c>
      <c r="AB133" s="26">
        <f t="shared" si="44"/>
        <v>0</v>
      </c>
      <c r="AC133" s="26" t="e">
        <f t="shared" si="8"/>
        <v>#DIV/0!</v>
      </c>
      <c r="AD133" s="26" t="e">
        <f t="shared" si="9"/>
        <v>#DIV/0!</v>
      </c>
      <c r="AE133" s="19" t="e">
        <f t="shared" si="10"/>
        <v>#DIV/0!</v>
      </c>
      <c r="AF133" s="7" t="e">
        <f t="shared" si="11"/>
        <v>#DIV/0!</v>
      </c>
      <c r="AG133" s="7" t="e">
        <f t="shared" si="12"/>
        <v>#DIV/0!</v>
      </c>
      <c r="AH133" s="7" t="e">
        <f t="shared" si="13"/>
        <v>#DIV/0!</v>
      </c>
      <c r="AI133" s="8" t="e">
        <f t="shared" si="14"/>
        <v>#DIV/0!</v>
      </c>
    </row>
    <row r="134" spans="1:35" ht="33" hidden="1" customHeight="1">
      <c r="A134" s="24">
        <v>0</v>
      </c>
      <c r="B134" s="24"/>
      <c r="C134" s="25"/>
      <c r="D134" s="24"/>
      <c r="E134" s="24"/>
      <c r="F134" s="24"/>
      <c r="G134" s="24"/>
      <c r="H134" s="24"/>
      <c r="I134" s="24"/>
      <c r="J134" s="24"/>
      <c r="K134" s="24"/>
      <c r="L134" s="24"/>
      <c r="M134" s="24"/>
      <c r="N134" s="24"/>
      <c r="O134" s="24"/>
      <c r="P134" s="24"/>
      <c r="Q134" s="24"/>
      <c r="R134" s="24"/>
      <c r="S134" s="24"/>
      <c r="T134" s="24"/>
      <c r="U134" s="26">
        <f t="shared" si="30"/>
        <v>0</v>
      </c>
      <c r="V134" s="26">
        <f t="shared" si="38"/>
        <v>0</v>
      </c>
      <c r="W134" s="26">
        <f t="shared" si="39"/>
        <v>0</v>
      </c>
      <c r="X134" s="26">
        <f t="shared" si="40"/>
        <v>0</v>
      </c>
      <c r="Y134" s="26">
        <f t="shared" si="41"/>
        <v>0</v>
      </c>
      <c r="Z134" s="26">
        <f t="shared" si="42"/>
        <v>0</v>
      </c>
      <c r="AA134" s="26">
        <f t="shared" si="43"/>
        <v>0</v>
      </c>
      <c r="AB134" s="26">
        <f t="shared" si="44"/>
        <v>0</v>
      </c>
      <c r="AC134" s="26" t="e">
        <f t="shared" si="8"/>
        <v>#DIV/0!</v>
      </c>
      <c r="AD134" s="26" t="e">
        <f t="shared" si="9"/>
        <v>#DIV/0!</v>
      </c>
      <c r="AE134" s="19" t="e">
        <f t="shared" si="10"/>
        <v>#DIV/0!</v>
      </c>
      <c r="AF134" s="7" t="e">
        <f t="shared" si="11"/>
        <v>#DIV/0!</v>
      </c>
      <c r="AG134" s="7" t="e">
        <f t="shared" si="12"/>
        <v>#DIV/0!</v>
      </c>
      <c r="AH134" s="7" t="e">
        <f t="shared" si="13"/>
        <v>#DIV/0!</v>
      </c>
      <c r="AI134" s="8" t="e">
        <f t="shared" si="14"/>
        <v>#DIV/0!</v>
      </c>
    </row>
    <row r="135" spans="1:35" ht="33" hidden="1" customHeight="1">
      <c r="A135" s="24">
        <v>0</v>
      </c>
      <c r="B135" s="24"/>
      <c r="C135" s="25"/>
      <c r="D135" s="24"/>
      <c r="E135" s="24"/>
      <c r="F135" s="24"/>
      <c r="G135" s="24"/>
      <c r="H135" s="24"/>
      <c r="I135" s="24"/>
      <c r="J135" s="24"/>
      <c r="K135" s="24"/>
      <c r="L135" s="24"/>
      <c r="M135" s="24"/>
      <c r="N135" s="24"/>
      <c r="O135" s="24"/>
      <c r="P135" s="24"/>
      <c r="Q135" s="24"/>
      <c r="R135" s="24"/>
      <c r="S135" s="24"/>
      <c r="T135" s="24"/>
      <c r="U135" s="26">
        <f t="shared" si="30"/>
        <v>0</v>
      </c>
      <c r="V135" s="26">
        <f t="shared" si="38"/>
        <v>0</v>
      </c>
      <c r="W135" s="26">
        <f t="shared" si="39"/>
        <v>0</v>
      </c>
      <c r="X135" s="26">
        <f t="shared" si="40"/>
        <v>0</v>
      </c>
      <c r="Y135" s="26">
        <f t="shared" si="41"/>
        <v>0</v>
      </c>
      <c r="Z135" s="26">
        <f t="shared" si="42"/>
        <v>0</v>
      </c>
      <c r="AA135" s="26">
        <f t="shared" si="43"/>
        <v>0</v>
      </c>
      <c r="AB135" s="26">
        <f t="shared" si="44"/>
        <v>0</v>
      </c>
      <c r="AC135" s="26" t="e">
        <f t="shared" si="8"/>
        <v>#DIV/0!</v>
      </c>
      <c r="AD135" s="26" t="e">
        <f t="shared" si="9"/>
        <v>#DIV/0!</v>
      </c>
      <c r="AE135" s="19" t="e">
        <f t="shared" si="10"/>
        <v>#DIV/0!</v>
      </c>
      <c r="AF135" s="7" t="e">
        <f t="shared" si="11"/>
        <v>#DIV/0!</v>
      </c>
      <c r="AG135" s="7" t="e">
        <f t="shared" si="12"/>
        <v>#DIV/0!</v>
      </c>
      <c r="AH135" s="7" t="e">
        <f t="shared" si="13"/>
        <v>#DIV/0!</v>
      </c>
      <c r="AI135" s="8" t="e">
        <f t="shared" si="14"/>
        <v>#DIV/0!</v>
      </c>
    </row>
    <row r="136" spans="1:35" ht="33" hidden="1" customHeight="1">
      <c r="A136" s="24">
        <v>0</v>
      </c>
      <c r="B136" s="24"/>
      <c r="C136" s="25"/>
      <c r="D136" s="24"/>
      <c r="E136" s="24"/>
      <c r="F136" s="24"/>
      <c r="G136" s="24"/>
      <c r="H136" s="24"/>
      <c r="I136" s="24"/>
      <c r="J136" s="24"/>
      <c r="K136" s="24"/>
      <c r="L136" s="24"/>
      <c r="M136" s="24"/>
      <c r="N136" s="24"/>
      <c r="O136" s="24"/>
      <c r="P136" s="24"/>
      <c r="Q136" s="24"/>
      <c r="R136" s="24"/>
      <c r="S136" s="24"/>
      <c r="T136" s="24"/>
      <c r="U136" s="26">
        <f t="shared" si="30"/>
        <v>0</v>
      </c>
      <c r="V136" s="26">
        <f t="shared" si="38"/>
        <v>0</v>
      </c>
      <c r="W136" s="26">
        <f t="shared" si="39"/>
        <v>0</v>
      </c>
      <c r="X136" s="26">
        <f t="shared" si="40"/>
        <v>0</v>
      </c>
      <c r="Y136" s="26">
        <f t="shared" si="41"/>
        <v>0</v>
      </c>
      <c r="Z136" s="26">
        <f t="shared" si="42"/>
        <v>0</v>
      </c>
      <c r="AA136" s="26">
        <f t="shared" si="43"/>
        <v>0</v>
      </c>
      <c r="AB136" s="26">
        <f t="shared" si="44"/>
        <v>0</v>
      </c>
      <c r="AC136" s="26" t="e">
        <f t="shared" si="8"/>
        <v>#DIV/0!</v>
      </c>
      <c r="AD136" s="26" t="e">
        <f t="shared" si="9"/>
        <v>#DIV/0!</v>
      </c>
      <c r="AE136" s="19" t="e">
        <f t="shared" si="10"/>
        <v>#DIV/0!</v>
      </c>
      <c r="AF136" s="7" t="e">
        <f t="shared" si="11"/>
        <v>#DIV/0!</v>
      </c>
      <c r="AG136" s="7" t="e">
        <f t="shared" si="12"/>
        <v>#DIV/0!</v>
      </c>
      <c r="AH136" s="7" t="e">
        <f t="shared" si="13"/>
        <v>#DIV/0!</v>
      </c>
      <c r="AI136" s="8" t="e">
        <f t="shared" si="14"/>
        <v>#DIV/0!</v>
      </c>
    </row>
    <row r="137" spans="1:35" ht="33" hidden="1" customHeight="1">
      <c r="A137" s="24">
        <v>0</v>
      </c>
      <c r="B137" s="24"/>
      <c r="C137" s="25"/>
      <c r="D137" s="24"/>
      <c r="E137" s="24"/>
      <c r="F137" s="24"/>
      <c r="G137" s="24"/>
      <c r="H137" s="24"/>
      <c r="I137" s="24"/>
      <c r="J137" s="24"/>
      <c r="K137" s="24"/>
      <c r="L137" s="24"/>
      <c r="M137" s="24"/>
      <c r="N137" s="24"/>
      <c r="O137" s="24"/>
      <c r="P137" s="24"/>
      <c r="Q137" s="24"/>
      <c r="R137" s="24"/>
      <c r="S137" s="24"/>
      <c r="T137" s="24"/>
      <c r="U137" s="26">
        <f t="shared" si="30"/>
        <v>0</v>
      </c>
      <c r="V137" s="26">
        <f t="shared" si="38"/>
        <v>0</v>
      </c>
      <c r="W137" s="26">
        <f t="shared" si="39"/>
        <v>0</v>
      </c>
      <c r="X137" s="26">
        <f t="shared" si="40"/>
        <v>0</v>
      </c>
      <c r="Y137" s="26">
        <f t="shared" si="41"/>
        <v>0</v>
      </c>
      <c r="Z137" s="26">
        <f t="shared" si="42"/>
        <v>0</v>
      </c>
      <c r="AA137" s="26">
        <f t="shared" si="43"/>
        <v>0</v>
      </c>
      <c r="AB137" s="26">
        <f t="shared" si="44"/>
        <v>0</v>
      </c>
      <c r="AC137" s="26" t="e">
        <f t="shared" si="8"/>
        <v>#DIV/0!</v>
      </c>
      <c r="AD137" s="26" t="e">
        <f t="shared" si="9"/>
        <v>#DIV/0!</v>
      </c>
      <c r="AE137" s="19" t="e">
        <f t="shared" si="10"/>
        <v>#DIV/0!</v>
      </c>
      <c r="AF137" s="7" t="e">
        <f t="shared" si="11"/>
        <v>#DIV/0!</v>
      </c>
      <c r="AG137" s="7" t="e">
        <f t="shared" si="12"/>
        <v>#DIV/0!</v>
      </c>
      <c r="AH137" s="7" t="e">
        <f t="shared" si="13"/>
        <v>#DIV/0!</v>
      </c>
      <c r="AI137" s="8" t="e">
        <f t="shared" si="14"/>
        <v>#DIV/0!</v>
      </c>
    </row>
    <row r="138" spans="1:35" ht="33" hidden="1" customHeight="1">
      <c r="A138" s="24">
        <v>0</v>
      </c>
      <c r="B138" s="24"/>
      <c r="C138" s="25"/>
      <c r="D138" s="24"/>
      <c r="E138" s="24"/>
      <c r="F138" s="24"/>
      <c r="G138" s="24"/>
      <c r="H138" s="24"/>
      <c r="I138" s="24"/>
      <c r="J138" s="24"/>
      <c r="K138" s="24"/>
      <c r="L138" s="24"/>
      <c r="M138" s="24"/>
      <c r="N138" s="24"/>
      <c r="O138" s="24"/>
      <c r="P138" s="24"/>
      <c r="Q138" s="24"/>
      <c r="R138" s="24"/>
      <c r="S138" s="24"/>
      <c r="T138" s="24"/>
      <c r="U138" s="26">
        <f t="shared" si="30"/>
        <v>0</v>
      </c>
      <c r="V138" s="26">
        <f t="shared" si="38"/>
        <v>0</v>
      </c>
      <c r="W138" s="26">
        <f t="shared" si="39"/>
        <v>0</v>
      </c>
      <c r="X138" s="26">
        <f t="shared" si="40"/>
        <v>0</v>
      </c>
      <c r="Y138" s="26">
        <f t="shared" si="41"/>
        <v>0</v>
      </c>
      <c r="Z138" s="26">
        <f t="shared" si="42"/>
        <v>0</v>
      </c>
      <c r="AA138" s="26">
        <f t="shared" si="43"/>
        <v>0</v>
      </c>
      <c r="AB138" s="26">
        <f t="shared" si="44"/>
        <v>0</v>
      </c>
      <c r="AC138" s="26" t="e">
        <f t="shared" si="8"/>
        <v>#DIV/0!</v>
      </c>
      <c r="AD138" s="26" t="e">
        <f t="shared" si="9"/>
        <v>#DIV/0!</v>
      </c>
      <c r="AE138" s="19" t="e">
        <f t="shared" si="10"/>
        <v>#DIV/0!</v>
      </c>
      <c r="AF138" s="7" t="e">
        <f t="shared" si="11"/>
        <v>#DIV/0!</v>
      </c>
      <c r="AG138" s="7" t="e">
        <f t="shared" si="12"/>
        <v>#DIV/0!</v>
      </c>
      <c r="AH138" s="7" t="e">
        <f t="shared" si="13"/>
        <v>#DIV/0!</v>
      </c>
      <c r="AI138" s="8" t="e">
        <f t="shared" si="14"/>
        <v>#DIV/0!</v>
      </c>
    </row>
    <row r="139" spans="1:35" ht="33" hidden="1" customHeight="1" thickBot="1">
      <c r="A139" s="24">
        <v>0</v>
      </c>
      <c r="B139" s="24"/>
      <c r="C139" s="25"/>
      <c r="D139" s="24"/>
      <c r="E139" s="24"/>
      <c r="F139" s="24"/>
      <c r="G139" s="24"/>
      <c r="H139" s="24"/>
      <c r="I139" s="24"/>
      <c r="J139" s="24"/>
      <c r="K139" s="24"/>
      <c r="L139" s="24"/>
      <c r="M139" s="24"/>
      <c r="N139" s="24"/>
      <c r="O139" s="24"/>
      <c r="P139" s="24"/>
      <c r="Q139" s="24"/>
      <c r="R139" s="24"/>
      <c r="S139" s="24"/>
      <c r="T139" s="24"/>
      <c r="U139" s="26">
        <f>SUM(D139:T139)</f>
        <v>0</v>
      </c>
      <c r="V139" s="26">
        <f t="shared" si="38"/>
        <v>0</v>
      </c>
      <c r="W139" s="26">
        <f t="shared" si="39"/>
        <v>0</v>
      </c>
      <c r="X139" s="26">
        <f t="shared" si="40"/>
        <v>0</v>
      </c>
      <c r="Y139" s="26">
        <f t="shared" si="41"/>
        <v>0</v>
      </c>
      <c r="Z139" s="26">
        <f t="shared" si="42"/>
        <v>0</v>
      </c>
      <c r="AA139" s="26">
        <f t="shared" si="43"/>
        <v>0</v>
      </c>
      <c r="AB139" s="26">
        <f t="shared" si="44"/>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0" t="e">
        <f>ROUND(X139/(IF($D$12="CO3",$D$13,0)+IF($E$12="CO3",$E$13,0)+IF($F$12="CO3",$F$13,0)+IF($G$12="CO3",$G$13,0)+IF($H$12="CO3",$H$13,0)+IF($I$12="CO3",$I$13,0)+IF($J$12="CO3",$J$13,0)+IF($K$12="CO3",$K$13,0)+IF($L$12="CO3",$L$13,0)+IF($M$12="CO3",$M$13,0)+IF($N$12="CO3",$N$13,0)+IF($O$12="CO3",$O$13,0)+IF($P$12="CO3",$P$13,0)+IF($Q$12="CO3",$Q$13,0)+IF($R$12="CO3",$R$13,0)+IF($S$12="CO3",$S$13,0)+IF($T$12="CO3",$T$13,0))*100,2)</f>
        <v>#DIV/0!</v>
      </c>
      <c r="AF139" s="9" t="e">
        <f>ROUND(Y139/(IF($D$12="CO4",$D$13,0)+IF($E$12="CO4",$E$13,0)+IF($F$12="CO4",$F$13,0)+IF($G$12="CO4",$G$13,0)+IF($H$12="CO4",$H$13,0)+IF($I$12="CO4",$I$13,0)+IF($J$12="CO4",$J$13,0)+IF($K$12="CO4",$K$13,0)+IF($L$12="CO4",$L$13,0)+IF($M$12="CO4",$M$13,0)+IF($N$12="CO4",$N$13,0)+IF($O$12="CO4",$O$13,0)+IF($P$12="CO4",$P$13,0)+IF($Q$12="CO4",$Q$13,0)+IF($R$12="CO4",$R$13,0)+IF($S$12="CO4",$S$13,0)+IF($T$12="CO4",$T$13,0))*100,2)</f>
        <v>#DIV/0!</v>
      </c>
      <c r="AG139" s="9" t="e">
        <f>ROUND(Z139/(IF($D$12="CO5",$D$13,0)+IF($E$12="CO5",$E$13,0)+IF($F$12="CO5",$F$13,0)+IF($G$12="CO5",$G$13,0)+IF($H$12="CO5",$H$13,0)+IF($I$12="CO5",$I$13,0)+IF($J$12="CO5",$J$13,0)+IF($K$12="CO5",$K$13,0)+IF($L$12="CO5",$L$13,0)+IF($M$12="CO5",$M$13,0)+IF($N$12="CO5",$N$13,0)+IF($O$12="CO5",$O$13,0)+IF($P$12="CO5",$P$13,0)+IF($Q$12="CO5",$Q$13,0)+IF($R$12="CO5",$R$13,0)+IF($S$12="CO5",$S$13,0)+IF($T$12="CO5",$T$13,0))*100,2)</f>
        <v>#DIV/0!</v>
      </c>
      <c r="AH139" s="9" t="e">
        <f>ROUND(AA139/(IF($D$12="CO6",$D$13,0)+IF($E$12="CO6",$E$13,0)+IF($F$12="CO6",$F$13,0)+IF($G$12="CO6",$G$13,0)+IF($H$12="CO6",$H$13,0)+IF($I$12="CO6",$I$13,0)+IF($J$12="CO6",$J$13,0)+IF($K$12="CO6",$K$13,0)+IF($L$12="CO6",$L$13,0)+IF($M$12="CO6",$M$13,0)+IF($N$12="CO6",$N$13,0)+IF($O$12="CO6",$O$13,0)+IF($P$12="CO6",$P$13,0)+IF($Q$12="CO6",$Q$13,0)+IF($R$12="CO6",$R$13,0)+IF($S$12="CO6",$S$13,0)+IF($T$12="CO6",$T$13,0))*100,2)</f>
        <v>#DIV/0!</v>
      </c>
      <c r="AI139" s="10" t="e">
        <f>ROUND(AB139/(IF($D$12="CO7",$D$13,0)+IF($E$12="CO7",$E$13,0)+IF($F$12="CO7",$F$13,0)+IF($G$12="CO7",$G$13,0)+IF($H$12="CO7",$H$13,0)+IF($I$12="CO7",$I$13,0)+IF($J$12="CO7",$J$13,0)+IF($K$12="CO7",$K$13,0)+IF($L$12="CO7",$L$13,0)+IF($M$12="CO7",$M$13,0)+IF($N$12="CO7",$N$13,0)+IF($O$12="CO7",$O$13,0)+IF($P$12="CO7",$P$13,0)+IF($Q$12="CO7",$Q$13,0)+IF($R$12="CO7",$R$13,0)+IF($S$12="CO7",$S$13,0)+IF($T$12="CO7",$T$13,0))*100,2)</f>
        <v>#DIV/0!</v>
      </c>
    </row>
    <row r="140" spans="1:35" ht="19.2" hidden="1" customHeight="1" thickBo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1" t="e">
        <f>ROUND(SUM(AE14:AE139)/INPUT!$B$8,2)</f>
        <v>#DIV/0!</v>
      </c>
      <c r="AF140" s="11" t="e">
        <f>ROUND(SUM(AF14:AF139)/INPUT!$B$8,2)</f>
        <v>#DIV/0!</v>
      </c>
      <c r="AG140" s="11" t="e">
        <f>ROUND(SUM(AG14:AG139)/INPUT!$B$8,2)</f>
        <v>#DIV/0!</v>
      </c>
      <c r="AH140" s="11" t="e">
        <f>ROUND(SUM(AH14:AH139)/INPUT!$B$8,2)</f>
        <v>#DIV/0!</v>
      </c>
      <c r="AI140" s="11"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1">
        <f>INPUT!E14</f>
        <v>50</v>
      </c>
      <c r="AF141" s="12">
        <f>INPUT!E15</f>
        <v>50</v>
      </c>
      <c r="AG141" s="12">
        <f>INPUT!E16</f>
        <v>50</v>
      </c>
      <c r="AH141" s="12">
        <f>INPUT!E17</f>
        <v>50</v>
      </c>
      <c r="AI141" s="13"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45">COUNTIF(AC14:AC139,"&gt;="&amp;AC141)</f>
        <v>0</v>
      </c>
      <c r="AD142" s="14">
        <f t="shared" si="45"/>
        <v>0</v>
      </c>
      <c r="AE142" s="22">
        <f t="shared" si="45"/>
        <v>0</v>
      </c>
      <c r="AF142" s="14">
        <f t="shared" si="45"/>
        <v>0</v>
      </c>
      <c r="AG142" s="14">
        <f t="shared" si="45"/>
        <v>0</v>
      </c>
      <c r="AH142" s="14">
        <f t="shared" si="45"/>
        <v>0</v>
      </c>
      <c r="AI142" s="15">
        <f t="shared" si="45"/>
        <v>0</v>
      </c>
    </row>
    <row r="143" spans="1:35" ht="21.9" customHeight="1" thickBo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3" t="e">
        <f>ROUND((AE142/INPUT!$B$8)*100,2)</f>
        <v>#DIV/0!</v>
      </c>
      <c r="AF143" s="16" t="e">
        <f>ROUND((AF142/INPUT!$B$8)*100,2)</f>
        <v>#DIV/0!</v>
      </c>
      <c r="AG143" s="16" t="e">
        <f>ROUND((AG142/INPUT!$B$8)*100,2)</f>
        <v>#DIV/0!</v>
      </c>
      <c r="AH143" s="16" t="e">
        <f>ROUND((AH142/INPUT!$B$8)*100,2)</f>
        <v>#DIV/0!</v>
      </c>
      <c r="AI143" s="17"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sheetProtection algorithmName="SHA-512" hashValue="GWha6Fz3herogkmXlt1oK4UgRmjoEpT5nG/1TqZquVs5GxUCUWh5EAm7C9KDzB30AbqT75Gttq1RRsipY5u5IA==" saltValue="AxO3j1cvSsPrAArzJ6mz4w==" spinCount="100000" sheet="1" objects="1" scenarios="1"/>
  <mergeCells count="35">
    <mergeCell ref="A10:A13"/>
    <mergeCell ref="C10:C13"/>
    <mergeCell ref="A140:AB140"/>
    <mergeCell ref="B10:B13"/>
    <mergeCell ref="AC10:AC13"/>
    <mergeCell ref="V10:V13"/>
    <mergeCell ref="W10:W13"/>
    <mergeCell ref="X10:X13"/>
    <mergeCell ref="U11:U13"/>
    <mergeCell ref="Y10:Y13"/>
    <mergeCell ref="A144:AB144"/>
    <mergeCell ref="A1:AI1"/>
    <mergeCell ref="A2:AI2"/>
    <mergeCell ref="A3:AI3"/>
    <mergeCell ref="A4:AI4"/>
    <mergeCell ref="D6:F6"/>
    <mergeCell ref="R6:U6"/>
    <mergeCell ref="L7:P7"/>
    <mergeCell ref="A7:B7"/>
    <mergeCell ref="C7:H7"/>
    <mergeCell ref="R7:AD7"/>
    <mergeCell ref="L6:P6"/>
    <mergeCell ref="A6:B6"/>
    <mergeCell ref="A141:AB141"/>
    <mergeCell ref="A142:AB142"/>
    <mergeCell ref="A143:AB143"/>
    <mergeCell ref="AG10:AG13"/>
    <mergeCell ref="AH10:AH13"/>
    <mergeCell ref="AI10:AI13"/>
    <mergeCell ref="Z10:Z13"/>
    <mergeCell ref="AA10:AA13"/>
    <mergeCell ref="AB10:AB13"/>
    <mergeCell ref="AE10:AE13"/>
    <mergeCell ref="AF10:AF13"/>
    <mergeCell ref="AD10:AD13"/>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I144"/>
  <sheetViews>
    <sheetView workbookViewId="0">
      <selection activeCell="AM8" sqref="AM8"/>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28" width="9.109375" style="2" hidden="1" customWidth="1"/>
    <col min="29"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56">
        <f>INPUT!B2</f>
        <v>0</v>
      </c>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1:35" ht="21">
      <c r="A3" s="148" t="s">
        <v>155</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c r="A4" s="148" t="s">
        <v>49</v>
      </c>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row>
    <row r="6" spans="1:35" ht="21">
      <c r="A6" s="151" t="s">
        <v>56</v>
      </c>
      <c r="B6" s="151"/>
      <c r="C6" s="88">
        <f>INPUT!B3</f>
        <v>0</v>
      </c>
      <c r="D6" s="149" t="s">
        <v>57</v>
      </c>
      <c r="E6" s="149"/>
      <c r="F6" s="149"/>
      <c r="G6" s="6"/>
      <c r="H6" s="88">
        <f>INPUT!B4</f>
        <v>0</v>
      </c>
      <c r="I6" s="6"/>
      <c r="J6" s="6"/>
      <c r="K6" s="6"/>
      <c r="L6" s="151" t="s">
        <v>70</v>
      </c>
      <c r="M6" s="151"/>
      <c r="N6" s="151"/>
      <c r="O6" s="151"/>
      <c r="P6" s="151"/>
      <c r="Q6" s="5"/>
      <c r="R6" s="157">
        <f>INPUT!B5</f>
        <v>0</v>
      </c>
      <c r="S6" s="157"/>
      <c r="T6" s="157"/>
      <c r="U6" s="157"/>
      <c r="V6" s="5"/>
      <c r="W6" s="5"/>
      <c r="X6" s="5"/>
      <c r="Y6" s="5"/>
      <c r="Z6" s="5"/>
      <c r="AA6" s="5"/>
      <c r="AB6" s="5"/>
      <c r="AC6" s="5"/>
      <c r="AD6" s="5"/>
      <c r="AE6" s="5"/>
      <c r="AF6" s="5"/>
      <c r="AG6" s="5"/>
      <c r="AH6" s="5"/>
      <c r="AI6" s="5"/>
    </row>
    <row r="7" spans="1:35" ht="21">
      <c r="A7" s="151" t="s">
        <v>61</v>
      </c>
      <c r="B7" s="151"/>
      <c r="C7" s="157">
        <f>INPUT!B7</f>
        <v>0</v>
      </c>
      <c r="D7" s="157"/>
      <c r="E7" s="157"/>
      <c r="F7" s="157"/>
      <c r="G7" s="157"/>
      <c r="H7" s="157"/>
      <c r="I7" s="6"/>
      <c r="J7" s="6"/>
      <c r="K7" s="6"/>
      <c r="L7" s="151" t="s">
        <v>69</v>
      </c>
      <c r="M7" s="151"/>
      <c r="N7" s="151"/>
      <c r="O7" s="151"/>
      <c r="P7" s="151"/>
      <c r="Q7" s="5"/>
      <c r="R7" s="157">
        <f>INPUT!B6</f>
        <v>0</v>
      </c>
      <c r="S7" s="157"/>
      <c r="T7" s="157"/>
      <c r="U7" s="157"/>
      <c r="V7" s="157"/>
      <c r="W7" s="157"/>
      <c r="X7" s="157"/>
      <c r="Y7" s="157"/>
      <c r="Z7" s="157"/>
      <c r="AA7" s="157"/>
      <c r="AB7" s="157"/>
      <c r="AC7" s="157"/>
      <c r="AD7" s="157"/>
      <c r="AE7" s="5"/>
      <c r="AF7" s="5"/>
      <c r="AG7" s="5"/>
      <c r="AH7" s="5"/>
      <c r="AI7" s="5"/>
    </row>
    <row r="8" spans="1:35" ht="21">
      <c r="A8" s="57"/>
      <c r="B8" s="57"/>
      <c r="C8" s="57"/>
      <c r="D8" s="57"/>
      <c r="E8" s="57"/>
      <c r="F8" s="57"/>
      <c r="G8" s="57"/>
      <c r="H8" s="57"/>
      <c r="I8" s="6"/>
      <c r="J8" s="6"/>
      <c r="K8" s="6"/>
      <c r="L8" s="57"/>
      <c r="M8" s="57"/>
      <c r="N8" s="57"/>
      <c r="O8" s="57"/>
      <c r="P8" s="57"/>
      <c r="Q8" s="5"/>
      <c r="R8" s="57"/>
      <c r="S8" s="57"/>
      <c r="T8" s="57"/>
      <c r="U8" s="57"/>
      <c r="V8" s="57"/>
      <c r="W8" s="57"/>
      <c r="X8" s="57"/>
      <c r="Y8" s="57"/>
      <c r="Z8" s="57"/>
      <c r="AA8" s="57"/>
      <c r="AB8" s="57"/>
      <c r="AC8" s="57"/>
      <c r="AD8" s="57"/>
      <c r="AE8" s="5"/>
      <c r="AF8" s="5"/>
      <c r="AG8" s="5"/>
      <c r="AH8" s="5"/>
      <c r="AI8" s="5"/>
    </row>
    <row r="9" spans="1:35" ht="21" hidden="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87" t="str">
        <f>CONCATENATE("Q.No:",INPUT!L3)</f>
        <v>Q.No:</v>
      </c>
      <c r="E10" s="87" t="str">
        <f>CONCATENATE("Q.No:",INPUT!L4)</f>
        <v>Q.No:</v>
      </c>
      <c r="F10" s="87" t="str">
        <f>CONCATENATE("Q.No:",INPUT!L5)</f>
        <v>Q.No:</v>
      </c>
      <c r="G10" s="87" t="str">
        <f>CONCATENATE("Q.No:",INPUT!L6)</f>
        <v>Q.No:</v>
      </c>
      <c r="H10" s="87" t="str">
        <f>CONCATENATE("Q.No:",INPUT!L7)</f>
        <v>Q.No:</v>
      </c>
      <c r="I10" s="87" t="str">
        <f>CONCATENATE("Q.No:",INPUT!L8)</f>
        <v>Q.No:</v>
      </c>
      <c r="J10" s="87" t="str">
        <f>CONCATENATE("Q.No:",INPUT!L9)</f>
        <v>Q.No:</v>
      </c>
      <c r="K10" s="87" t="str">
        <f>CONCATENATE("Q.No:",INPUT!L10)</f>
        <v>Q.No:</v>
      </c>
      <c r="L10" s="87" t="str">
        <f>CONCATENATE("Q.No:",INPUT!L11)</f>
        <v>Q.No:</v>
      </c>
      <c r="M10" s="87" t="str">
        <f>CONCATENATE("Q.No:",INPUT!L12)</f>
        <v>Q.No:</v>
      </c>
      <c r="N10" s="87" t="str">
        <f>CONCATENATE("Q.No:",INPUT!L13)</f>
        <v>Q.No:</v>
      </c>
      <c r="O10" s="87" t="str">
        <f>CONCATENATE("Q.No:",INPUT!L14)</f>
        <v>Q.No:</v>
      </c>
      <c r="P10" s="87" t="str">
        <f>CONCATENATE("Q.No:",INPUT!L15)</f>
        <v>Q.No:</v>
      </c>
      <c r="Q10" s="87" t="str">
        <f>CONCATENATE("Q.No:",INPUT!L16)</f>
        <v>Q.No:</v>
      </c>
      <c r="R10" s="87" t="str">
        <f>CONCATENATE("Q.No:",INPUT!L17)</f>
        <v>Q.No:</v>
      </c>
      <c r="S10" s="87" t="str">
        <f>CONCATENATE("Q.No:",INPUT!L18)</f>
        <v>Q.No:</v>
      </c>
      <c r="T10" s="87" t="str">
        <f>CONCATENATE("Q.No:",INPUT!G19)</f>
        <v>Q.No:</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f>INPUT!M3</f>
        <v>0</v>
      </c>
      <c r="E11" s="27">
        <f>INPUT!M4</f>
        <v>0</v>
      </c>
      <c r="F11" s="27">
        <f>INPUT!M5</f>
        <v>0</v>
      </c>
      <c r="G11" s="27">
        <f>INPUT!M6</f>
        <v>0</v>
      </c>
      <c r="H11" s="27">
        <f>INPUT!M7</f>
        <v>0</v>
      </c>
      <c r="I11" s="27">
        <f>INPUT!M8</f>
        <v>0</v>
      </c>
      <c r="J11" s="27">
        <f>INPUT!M9</f>
        <v>0</v>
      </c>
      <c r="K11" s="27">
        <f>INPUT!M10</f>
        <v>0</v>
      </c>
      <c r="L11" s="27">
        <f>INPUT!M11</f>
        <v>0</v>
      </c>
      <c r="M11" s="27">
        <f>INPUT!M12</f>
        <v>0</v>
      </c>
      <c r="N11" s="27">
        <f>INPUT!M13</f>
        <v>0</v>
      </c>
      <c r="O11" s="27">
        <f>INPUT!M14</f>
        <v>0</v>
      </c>
      <c r="P11" s="27">
        <f>INPUT!M15</f>
        <v>0</v>
      </c>
      <c r="Q11" s="27">
        <f>INPUT!M16</f>
        <v>0</v>
      </c>
      <c r="R11" s="27">
        <f>INPUT!M17</f>
        <v>0</v>
      </c>
      <c r="S11" s="27">
        <f>INPUT!M18</f>
        <v>0</v>
      </c>
      <c r="T11" s="27">
        <f>INPUT!L19</f>
        <v>0</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INPUT!N3</f>
        <v>0</v>
      </c>
      <c r="E12" s="27">
        <f>INPUT!N4</f>
        <v>0</v>
      </c>
      <c r="F12" s="27">
        <f>INPUT!N5</f>
        <v>0</v>
      </c>
      <c r="G12" s="27">
        <f>INPUT!N6</f>
        <v>0</v>
      </c>
      <c r="H12" s="27">
        <f>INPUT!N7</f>
        <v>0</v>
      </c>
      <c r="I12" s="27">
        <f>INPUT!N8</f>
        <v>0</v>
      </c>
      <c r="J12" s="27">
        <f>INPUT!N9</f>
        <v>0</v>
      </c>
      <c r="K12" s="27">
        <f>INPUT!N10</f>
        <v>0</v>
      </c>
      <c r="L12" s="27">
        <f>INPUT!N11</f>
        <v>0</v>
      </c>
      <c r="M12" s="27">
        <f>INPUT!N12</f>
        <v>0</v>
      </c>
      <c r="N12" s="27">
        <f>INPUT!N13</f>
        <v>0</v>
      </c>
      <c r="O12" s="27">
        <f>INPUT!N14</f>
        <v>0</v>
      </c>
      <c r="P12" s="27">
        <f>INPUT!N15</f>
        <v>0</v>
      </c>
      <c r="Q12" s="27">
        <f>INPUT!N16</f>
        <v>0</v>
      </c>
      <c r="R12" s="27">
        <f>INPUT!N17</f>
        <v>0</v>
      </c>
      <c r="S12" s="27">
        <f>INPUT!N18</f>
        <v>0</v>
      </c>
      <c r="T12" s="27">
        <f>INPUT!M19</f>
        <v>0</v>
      </c>
      <c r="U12" s="155"/>
      <c r="V12" s="145"/>
      <c r="W12" s="145"/>
      <c r="X12" s="145"/>
      <c r="Y12" s="145"/>
      <c r="Z12" s="145"/>
      <c r="AA12" s="145"/>
      <c r="AB12" s="145"/>
      <c r="AC12" s="144"/>
      <c r="AD12" s="144"/>
      <c r="AE12" s="144"/>
      <c r="AF12" s="144"/>
      <c r="AG12" s="144"/>
      <c r="AH12" s="144"/>
      <c r="AI12" s="144"/>
    </row>
    <row r="13" spans="1:35" ht="21" customHeight="1">
      <c r="A13" s="153"/>
      <c r="B13" s="154"/>
      <c r="C13" s="153"/>
      <c r="D13" s="27">
        <f>INPUT!O3</f>
        <v>0</v>
      </c>
      <c r="E13" s="27">
        <f>INPUT!O4</f>
        <v>0</v>
      </c>
      <c r="F13" s="27">
        <f>INPUT!O5</f>
        <v>0</v>
      </c>
      <c r="G13" s="27">
        <f>INPUT!O6</f>
        <v>0</v>
      </c>
      <c r="H13" s="27">
        <f>INPUT!O7</f>
        <v>0</v>
      </c>
      <c r="I13" s="27">
        <f>INPUT!O8</f>
        <v>0</v>
      </c>
      <c r="J13" s="27">
        <f>INPUT!O9</f>
        <v>0</v>
      </c>
      <c r="K13" s="27">
        <f>INPUT!O10</f>
        <v>0</v>
      </c>
      <c r="L13" s="27">
        <f>INPUT!O11</f>
        <v>0</v>
      </c>
      <c r="M13" s="27">
        <f>INPUT!O12</f>
        <v>0</v>
      </c>
      <c r="N13" s="27">
        <f>INPUT!O13</f>
        <v>0</v>
      </c>
      <c r="O13" s="27">
        <f>INPUT!O14</f>
        <v>0</v>
      </c>
      <c r="P13" s="27">
        <f>INPUT!O15</f>
        <v>0</v>
      </c>
      <c r="Q13" s="27">
        <f>INPUT!O16</f>
        <v>0</v>
      </c>
      <c r="R13" s="27">
        <f>INPUT!O17</f>
        <v>0</v>
      </c>
      <c r="S13" s="27">
        <f>INPUT!O18</f>
        <v>0</v>
      </c>
      <c r="T13" s="27">
        <f>INPUT!N19</f>
        <v>0</v>
      </c>
      <c r="U13" s="155"/>
      <c r="V13" s="145"/>
      <c r="W13" s="145"/>
      <c r="X13" s="145"/>
      <c r="Y13" s="145"/>
      <c r="Z13" s="145"/>
      <c r="AA13" s="145"/>
      <c r="AB13" s="145"/>
      <c r="AC13" s="144"/>
      <c r="AD13" s="144"/>
      <c r="AE13" s="144"/>
      <c r="AF13" s="144"/>
      <c r="AG13" s="144"/>
      <c r="AH13" s="144"/>
      <c r="AI13" s="144"/>
    </row>
    <row r="14" spans="1:35" ht="20.100000000000001" hidden="1" customHeight="1">
      <c r="A14" s="24">
        <v>0</v>
      </c>
      <c r="B14" s="26">
        <f>'INTERNAL TEST-1  '!B14</f>
        <v>0</v>
      </c>
      <c r="C14" s="89">
        <f>'INTERNAL TEST-1  '!C14</f>
        <v>0</v>
      </c>
      <c r="D14" s="24"/>
      <c r="E14" s="24"/>
      <c r="F14" s="24"/>
      <c r="G14" s="24"/>
      <c r="H14" s="24"/>
      <c r="I14" s="24"/>
      <c r="J14" s="24"/>
      <c r="K14" s="24"/>
      <c r="L14" s="24"/>
      <c r="M14" s="24"/>
      <c r="N14" s="24"/>
      <c r="O14" s="24"/>
      <c r="P14" s="24"/>
      <c r="Q14" s="24"/>
      <c r="R14" s="24"/>
      <c r="S14" s="24"/>
      <c r="T14" s="24"/>
      <c r="U14" s="26">
        <f t="shared" ref="U14:U45" si="0">SUM(D14:T14)</f>
        <v>0</v>
      </c>
      <c r="V14" s="26">
        <f t="shared" ref="V14:V77" si="1">IF($D$12="CO1",D14,0)+IF($E$12="CO1",E14,0)+IF($F$12="CO1",F14,0)+IF($G$12="CO1",G14,0)+IF($H$12="CO1",H14,0)+IF($I$12="CO1",I14,0)+IF($J$12="CO1",J14,0)+IF($K$12="CO1",K14,0)+IF($L$12="CO1",L14,0)+IF($M$12="CO1",M14,0)+IF($N$12="CO1",N14,0)+IF($O$12="CO1",O14,0)+IF($P$12="CO1",P14,0)+IF($Q$12="CO1",Q14,0)+IF($R$12="CO1",R14,0)+IF($S$12="CO1",S14,0)+IF($T$12="CO1",T14,0)</f>
        <v>0</v>
      </c>
      <c r="W14" s="26">
        <f t="shared" ref="W14:W77" si="2">IF($D$12="CO2",D14,0)+IF($E$12="CO2",E14,0)+IF($F$12="CO2",F14,0)+IF($G$12="CO2",G14,0)+IF($H$12="CO2",H14,0)+IF($I$12="CO2",I14,0)+IF($J$12="CO2",J14,0)+IF($K$12="CO2",K14,0)+IF($L$12="CO2",L14,0)+IF($M$12="CO2",M14,0)+IF($N$12="CO2",N14,0)+IF($O$12="CO2",O14,0)+IF($P$12="CO2",P14,0)+IF($Q$12="CO2",Q14,0)+IF($R$12="CO2",R14,0)+IF($S$12="CO2",S14,0)+IF($T$12="CO2",T14,0)</f>
        <v>0</v>
      </c>
      <c r="X14" s="26">
        <f t="shared" ref="X14:X77" si="3">IF($D$12="CO3",D14,0)+IF($E$12="CO3",E14,0)+IF($F$12="CO3",F14,0)+IF($G$12="CO3",G14,0)+IF($H$12="CO3",H14,0)+IF($I$12="CO3",I14,0)+IF($J$12="CO3",J14,0)+IF($K$12="CO3",K14,0)+IF($L$12="CO3",L14,0)+IF($M$12="CO3",M14,0)+IF($N$12="CO3",N14,0)+IF($O$12="CO3",O14,0)+IF($P$12="CO3",P14,0)+IF($Q$12="CO3",Q14,0)+IF($R$12="CO3",R14,0)+IF($S$12="CO3",S14,0)+IF($T$12="CO3",T14,0)</f>
        <v>0</v>
      </c>
      <c r="Y14" s="26">
        <f t="shared" ref="Y14:Y77" si="4">IF($D$12="CO4",D14,0)+IF($E$12="CO4",E14,0)+IF($F$12="CO4",F14,0)+IF($G$12="CO4",G14,0)+IF($H$12="CO4",H14,0)+IF($I$12="CO4",I14,0)+IF($J$12="CO4",J14,0)+IF($K$12="CO4",K14,0)+IF($L$12="CO4",L14,0)+IF($M$12="CO4",M14,0)+IF($N$12="CO4",N14,0)+IF($O$12="CO4",O14,0)+IF($P$12="CO4",P14,0)+IF($Q$12="CO4",Q14,0)+IF($R$12="CO4",R14,0)+IF($S$12="CO4",S14,0)+IF($T$12="CO4",T14,0)</f>
        <v>0</v>
      </c>
      <c r="Z14" s="26">
        <f t="shared" ref="Z14:Z77" si="5">IF($D$12="CO5",D14,0)+IF($E$12="CO5",E14,0)+IF($F$12="CO5",F14,0)+IF($G$12="CO5",G14,0)+IF($H$12="CO5",H14,0)+IF($I$12="CO5",I14,0)+IF($J$12="CO5",J14,0)+IF($K$12="CO5",K14,0)+IF($L$12="CO5",L14,0)+IF($M$12="CO5",M14,0)+IF($N$12="CO5",N14,0)+IF($O$12="CO5",O14,0)+IF($P$12="CO5",P14,0)+IF($Q$12="CO5",Q14,0)+IF($R$12="CO5",R14,0)+IF($S$12="CO5",S14,0)+IF($T$12="CO5",T14,0)</f>
        <v>0</v>
      </c>
      <c r="AA14" s="26">
        <f t="shared" ref="AA14:AA77" si="6">IF($D$12="CO6",D14,0)+IF($E$12="CO6",E14,0)+IF($F$12="CO6",F14,0)+IF($G$12="CO6",G14,0)+IF($H$12="CO6",H14,0)+IF($I$12="CO6",I14,0)+IF($J$12="CO6",J14,0)+IF($K$12="CO6",K14,0)+IF($L$12="CO6",L14,0)+IF($M$12="CO6",M14,0)+IF($N$12="CO6",N14,0)+IF($O$12="CO6",O14,0)+IF($P$12="CO6",P14,0)+IF($Q$12="CO6",Q14,0)+IF($R$12="CO6",R14,0)+IF($S$12="CO6",S14,0)+IF($T$12="CO6",T14,0)</f>
        <v>0</v>
      </c>
      <c r="AB14" s="26">
        <f t="shared" ref="AB14:AB77" si="7">IF($D$12="CO7",D14,0)+IF($E$12="CO7",E14,0)+IF($F$12="CO7",F14,0)+IF($G$12="CO7",G14,0)+IF($H$12="CO7",H14,0)+IF($I$12="CO7",I14,0)+IF($J$12="CO7",J14,0)+IF($K$12="CO7",K14,0)+IF($L$12="CO7",L14,0)+IF($M$12="CO7",M14,0)+IF($N$12="CO7",N14,0)+IF($O$12="CO7",O14,0)+IF($P$12="CO7",P14,0)+IF($Q$12="CO7",Q14,0)+IF($R$12="CO7",R14,0)+IF($S$12="CO7",S14,0)+IF($T$12="CO7",T14,0)</f>
        <v>0</v>
      </c>
      <c r="AC14" s="26" t="e">
        <f>ROUND(V14/(IF($D$12="CO1",$D$13,0)+IF($E$12="CO1",$E$13,0)+IF($F$12="CO1",$F$13,0)+IF($G$12="CO1",$G$13,0)+IF($H$12="CO1",$H$13,0)+IF($I$12="CO1",$I$13,0)+IF($J$12="CO1",$J$13,0)+IF($K$12="CO1",$K$13,0)+IF($L$12="CO1",$L$13,0)+IF($M$12="CO1",$M$13,0)+IF($N$12="CO1",$N$13,0)+IF($O$12="CO1",$O$13,0)+IF($P$12="CO1",$P$13,0)+IF($Q$12="CO1",$Q$13,0)+IF($R$12="CO1",$R$13,0)+IF($S$12="CO1",$S$13,0)+IF($T$12="CO1",$T$13,0))*100,2)</f>
        <v>#DIV/0!</v>
      </c>
      <c r="AD14" s="26" t="e">
        <f>ROUND(W14/(IF($D$12="CO2",$D$13,0)+IF($E$12="CO2",$E$13,0)+IF($F$12="CO2",$F$13,0)+IF($G$12="CO2",$G$13,0)+IF($H$12="CO2",$H$13,0)+IF($I$12="CO2",$I$13,0)+IF($J$12="CO2",$J$13,0)+IF($K$12="CO2",$K$13,0)+IF($L$12="CO2",$L$13,0)+IF($M$12="CO2",$M$13,0)+IF($N$12="CO2",$N$13,0)+IF($O$12="CO2",$O$13,0)+IF($P$12="CO2",$P$13,0)+IF($Q$12="CO2",$Q$13,0)+IF($R$12="CO2",$R$13,0)+IF($S$12="CO2",$S$13,0)+IF($T$12="CO2",$T$13,0))*100,2)</f>
        <v>#DIV/0!</v>
      </c>
      <c r="AE14" s="26" t="e">
        <f>ROUND(X14/(IF($D$12="CO3",$D$13,0)+IF($E$12="CO3",$E$13,0)+IF($F$12="CO3",$F$13,0)+IF($G$12="CO3",$G$13,0)+IF($H$12="CO3",$H$13,0)+IF($I$12="CO3",$I$13,0)+IF($J$12="CO3",$J$13,0)+IF($K$12="CO3",$K$13,0)+IF($L$12="CO3",$L$13,0)+IF($M$12="CO3",$M$13,0)+IF($N$12="CO3",$N$13,0)+IF($O$12="CO3",$O$13,0)+IF($P$12="CO3",$P$13,0)+IF($Q$12="CO3",$Q$13,0)+IF($R$12="CO3",$R$13,0)+IF($S$12="CO3",$S$13,0)+IF($T$12="CO3",$T$13,0))*100,2)</f>
        <v>#DIV/0!</v>
      </c>
      <c r="AF14" s="26" t="e">
        <f>ROUND(Y14/(IF($D$12="CO4",$D$13,0)+IF($E$12="CO4",$E$13,0)+IF($F$12="CO4",$F$13,0)+IF($G$12="CO4",$G$13,0)+IF($H$12="CO4",$H$13,0)+IF($I$12="CO4",$I$13,0)+IF($J$12="CO4",$J$13,0)+IF($K$12="CO4",$K$13,0)+IF($L$12="CO4",$L$13,0)+IF($M$12="CO4",$M$13,0)+IF($N$12="CO4",$N$13,0)+IF($O$12="CO4",$O$13,0)+IF($P$12="CO4",$P$13,0)+IF($Q$12="CO4",$Q$13,0)+IF($R$12="CO4",$R$13,0)+IF($S$12="CO4",$S$13,0)+IF($T$12="CO4",$T$13,0))*100,2)</f>
        <v>#DIV/0!</v>
      </c>
      <c r="AG14" s="26" t="e">
        <f>ROUND(Z14/(IF($D$12="CO5",$D$13,0)+IF($E$12="CO5",$E$13,0)+IF($F$12="CO5",$F$13,0)+IF($G$12="CO5",$G$13,0)+IF($H$12="CO5",$H$13,0)+IF($I$12="CO5",$I$13,0)+IF($J$12="CO5",$J$13,0)+IF($K$12="CO5",$K$13,0)+IF($L$12="CO5",$L$13,0)+IF($M$12="CO5",$M$13,0)+IF($N$12="CO5",$N$13,0)+IF($O$12="CO5",$O$13,0)+IF($P$12="CO5",$P$13,0)+IF($Q$12="CO5",$Q$13,0)+IF($R$12="CO5",$R$13,0)+IF($S$12="CO5",$S$13,0)+IF($T$12="CO5",$T$13,0))*100,2)</f>
        <v>#DIV/0!</v>
      </c>
      <c r="AH14" s="26" t="e">
        <f>ROUND(AA14/(IF($D$12="CO6",$D$13,0)+IF($E$12="CO6",$E$13,0)+IF($F$12="CO6",$F$13,0)+IF($G$12="CO6",$G$13,0)+IF($H$12="CO6",$H$13,0)+IF($I$12="CO6",$I$13,0)+IF($J$12="CO6",$J$13,0)+IF($K$12="CO6",$K$13,0)+IF($L$12="CO6",$L$13,0)+IF($M$12="CO6",$M$13,0)+IF($N$12="CO6",$N$13,0)+IF($O$12="CO6",$O$13,0)+IF($P$12="CO6",$P$13,0)+IF($Q$12="CO6",$Q$13,0)+IF($R$12="CO6",$R$13,0)+IF($S$12="CO6",$S$13,0)+IF($T$12="CO6",$T$13,0))*100,2)</f>
        <v>#DIV/0!</v>
      </c>
      <c r="AI14" s="26" t="e">
        <f>ROUND(AB14/(IF($D$12="CO7",$D$13,0)+IF($E$12="CO7",$E$13,0)+IF($F$12="CO7",$F$13,0)+IF($G$12="CO7",$G$13,0)+IF($H$12="CO7",$H$13,0)+IF($I$12="CO7",$I$13,0)+IF($J$12="CO7",$J$13,0)+IF($K$12="CO7",$K$13,0)+IF($L$12="CO7",$L$13,0)+IF($M$12="CO7",$M$13,0)+IF($N$12="CO7",$N$13,0)+IF($O$12="CO7",$O$13,0)+IF($P$12="CO7",$P$13,0)+IF($Q$12="CO7",$Q$13,0)+IF($R$12="CO7",$R$13,0)+IF($S$12="CO7",$S$13,0)+IF($T$12="CO7",$T$13,0))*100,2)</f>
        <v>#DIV/0!</v>
      </c>
    </row>
    <row r="15" spans="1:35" ht="20.100000000000001" hidden="1" customHeight="1">
      <c r="A15" s="24">
        <v>0</v>
      </c>
      <c r="B15" s="26">
        <f>'INTERNAL TEST-1  '!B15</f>
        <v>0</v>
      </c>
      <c r="C15" s="89">
        <f>'INTERNAL TEST-1  '!C15</f>
        <v>0</v>
      </c>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26" t="e">
        <f t="shared" ref="AE15:AE138" si="10">ROUND(X15/(IF($D$12="CO3",$D$13,0)+IF($E$12="CO3",$E$13,0)+IF($F$12="CO3",$F$13,0)+IF($G$12="CO3",$G$13,0)+IF($H$12="CO3",$H$13,0)+IF($I$12="CO3",$I$13,0)+IF($J$12="CO3",$J$13,0)+IF($K$12="CO3",$K$13,0)+IF($L$12="CO3",$L$13,0)+IF($M$12="CO3",$M$13,0)+IF($N$12="CO3",$N$13,0)+IF($O$12="CO3",$O$13,0)+IF($P$12="CO3",$P$13,0)+IF($Q$12="CO3",$Q$13,0)+IF($R$12="CO3",$R$13,0)+IF($S$12="CO3",$S$13,0)+IF($T$12="CO3",$T$13,0))*100,2)</f>
        <v>#DIV/0!</v>
      </c>
      <c r="AF15" s="26" t="e">
        <f t="shared" ref="AF15:AF138" si="11">ROUND(Y15/(IF($D$12="CO4",$D$13,0)+IF($E$12="CO4",$E$13,0)+IF($F$12="CO4",$F$13,0)+IF($G$12="CO4",$G$13,0)+IF($H$12="CO4",$H$13,0)+IF($I$12="CO4",$I$13,0)+IF($J$12="CO4",$J$13,0)+IF($K$12="CO4",$K$13,0)+IF($L$12="CO4",$L$13,0)+IF($M$12="CO4",$M$13,0)+IF($N$12="CO4",$N$13,0)+IF($O$12="CO4",$O$13,0)+IF($P$12="CO4",$P$13,0)+IF($Q$12="CO4",$Q$13,0)+IF($R$12="CO4",$R$13,0)+IF($S$12="CO4",$S$13,0)+IF($T$12="CO4",$T$13,0))*100,2)</f>
        <v>#DIV/0!</v>
      </c>
      <c r="AG15" s="26" t="e">
        <f t="shared" ref="AG15:AG138" si="12">ROUND(Z15/(IF($D$12="CO5",$D$13,0)+IF($E$12="CO5",$E$13,0)+IF($F$12="CO5",$F$13,0)+IF($G$12="CO5",$G$13,0)+IF($H$12="CO5",$H$13,0)+IF($I$12="CO5",$I$13,0)+IF($J$12="CO5",$J$13,0)+IF($K$12="CO5",$K$13,0)+IF($L$12="CO5",$L$13,0)+IF($M$12="CO5",$M$13,0)+IF($N$12="CO5",$N$13,0)+IF($O$12="CO5",$O$13,0)+IF($P$12="CO5",$P$13,0)+IF($Q$12="CO5",$Q$13,0)+IF($R$12="CO5",$R$13,0)+IF($S$12="CO5",$S$13,0)+IF($T$12="CO5",$T$13,0))*100,2)</f>
        <v>#DIV/0!</v>
      </c>
      <c r="AH15" s="26" t="e">
        <f t="shared" ref="AH15:AH138" si="13">ROUND(AA15/(IF($D$12="CO6",$D$13,0)+IF($E$12="CO6",$E$13,0)+IF($F$12="CO6",$F$13,0)+IF($G$12="CO6",$G$13,0)+IF($H$12="CO6",$H$13,0)+IF($I$12="CO6",$I$13,0)+IF($J$12="CO6",$J$13,0)+IF($K$12="CO6",$K$13,0)+IF($L$12="CO6",$L$13,0)+IF($M$12="CO6",$M$13,0)+IF($N$12="CO6",$N$13,0)+IF($O$12="CO6",$O$13,0)+IF($P$12="CO6",$P$13,0)+IF($Q$12="CO6",$Q$13,0)+IF($R$12="CO6",$R$13,0)+IF($S$12="CO6",$S$13,0)+IF($T$12="CO6",$T$13,0))*100,2)</f>
        <v>#DIV/0!</v>
      </c>
      <c r="AI15" s="26"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20.100000000000001" hidden="1" customHeight="1">
      <c r="A16" s="24">
        <v>0</v>
      </c>
      <c r="B16" s="26">
        <f>'INTERNAL TEST-1  '!B16</f>
        <v>0</v>
      </c>
      <c r="C16" s="89">
        <f>'INTERNAL TEST-1  '!C16</f>
        <v>0</v>
      </c>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26" t="e">
        <f t="shared" si="10"/>
        <v>#DIV/0!</v>
      </c>
      <c r="AF16" s="26" t="e">
        <f t="shared" si="11"/>
        <v>#DIV/0!</v>
      </c>
      <c r="AG16" s="26" t="e">
        <f t="shared" si="12"/>
        <v>#DIV/0!</v>
      </c>
      <c r="AH16" s="26" t="e">
        <f t="shared" si="13"/>
        <v>#DIV/0!</v>
      </c>
      <c r="AI16" s="26" t="e">
        <f t="shared" si="14"/>
        <v>#DIV/0!</v>
      </c>
    </row>
    <row r="17" spans="1:35" ht="20.100000000000001" hidden="1" customHeight="1">
      <c r="A17" s="24">
        <v>0</v>
      </c>
      <c r="B17" s="26">
        <f>'INTERNAL TEST-1  '!B17</f>
        <v>0</v>
      </c>
      <c r="C17" s="89">
        <f>'INTERNAL TEST-1  '!C17</f>
        <v>0</v>
      </c>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26" t="e">
        <f t="shared" si="10"/>
        <v>#DIV/0!</v>
      </c>
      <c r="AF17" s="26" t="e">
        <f t="shared" si="11"/>
        <v>#DIV/0!</v>
      </c>
      <c r="AG17" s="26" t="e">
        <f t="shared" si="12"/>
        <v>#DIV/0!</v>
      </c>
      <c r="AH17" s="26" t="e">
        <f t="shared" si="13"/>
        <v>#DIV/0!</v>
      </c>
      <c r="AI17" s="26" t="e">
        <f t="shared" si="14"/>
        <v>#DIV/0!</v>
      </c>
    </row>
    <row r="18" spans="1:35" ht="20.100000000000001" hidden="1" customHeight="1">
      <c r="A18" s="24">
        <v>0</v>
      </c>
      <c r="B18" s="26">
        <f>'INTERNAL TEST-1  '!B18</f>
        <v>0</v>
      </c>
      <c r="C18" s="89">
        <f>'INTERNAL TEST-1  '!C18</f>
        <v>0</v>
      </c>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26" t="e">
        <f t="shared" si="10"/>
        <v>#DIV/0!</v>
      </c>
      <c r="AF18" s="26" t="e">
        <f t="shared" si="11"/>
        <v>#DIV/0!</v>
      </c>
      <c r="AG18" s="26" t="e">
        <f t="shared" si="12"/>
        <v>#DIV/0!</v>
      </c>
      <c r="AH18" s="26" t="e">
        <f t="shared" si="13"/>
        <v>#DIV/0!</v>
      </c>
      <c r="AI18" s="26" t="e">
        <f t="shared" si="14"/>
        <v>#DIV/0!</v>
      </c>
    </row>
    <row r="19" spans="1:35" ht="20.100000000000001" hidden="1" customHeight="1">
      <c r="A19" s="24">
        <v>0</v>
      </c>
      <c r="B19" s="26">
        <f>'INTERNAL TEST-1  '!B19</f>
        <v>0</v>
      </c>
      <c r="C19" s="89">
        <f>'INTERNAL TEST-1  '!C19</f>
        <v>0</v>
      </c>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26" t="e">
        <f t="shared" si="10"/>
        <v>#DIV/0!</v>
      </c>
      <c r="AF19" s="26" t="e">
        <f t="shared" si="11"/>
        <v>#DIV/0!</v>
      </c>
      <c r="AG19" s="26" t="e">
        <f t="shared" si="12"/>
        <v>#DIV/0!</v>
      </c>
      <c r="AH19" s="26" t="e">
        <f t="shared" si="13"/>
        <v>#DIV/0!</v>
      </c>
      <c r="AI19" s="26" t="e">
        <f t="shared" si="14"/>
        <v>#DIV/0!</v>
      </c>
    </row>
    <row r="20" spans="1:35" ht="20.100000000000001" hidden="1" customHeight="1">
      <c r="A20" s="24">
        <v>0</v>
      </c>
      <c r="B20" s="26">
        <f>'INTERNAL TEST-1  '!B20</f>
        <v>0</v>
      </c>
      <c r="C20" s="89">
        <f>'INTERNAL TEST-1  '!C20</f>
        <v>0</v>
      </c>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si="8"/>
        <v>#DIV/0!</v>
      </c>
      <c r="AD20" s="26" t="e">
        <f t="shared" si="9"/>
        <v>#DIV/0!</v>
      </c>
      <c r="AE20" s="26" t="e">
        <f t="shared" si="10"/>
        <v>#DIV/0!</v>
      </c>
      <c r="AF20" s="26" t="e">
        <f t="shared" si="11"/>
        <v>#DIV/0!</v>
      </c>
      <c r="AG20" s="26" t="e">
        <f t="shared" si="12"/>
        <v>#DIV/0!</v>
      </c>
      <c r="AH20" s="26" t="e">
        <f t="shared" si="13"/>
        <v>#DIV/0!</v>
      </c>
      <c r="AI20" s="26" t="e">
        <f t="shared" si="14"/>
        <v>#DIV/0!</v>
      </c>
    </row>
    <row r="21" spans="1:35" ht="20.100000000000001" hidden="1" customHeight="1">
      <c r="A21" s="24">
        <v>0</v>
      </c>
      <c r="B21" s="26">
        <f>'INTERNAL TEST-1  '!B21</f>
        <v>0</v>
      </c>
      <c r="C21" s="89">
        <f>'INTERNAL TEST-1  '!C21</f>
        <v>0</v>
      </c>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8"/>
        <v>#DIV/0!</v>
      </c>
      <c r="AD21" s="26" t="e">
        <f t="shared" si="9"/>
        <v>#DIV/0!</v>
      </c>
      <c r="AE21" s="26" t="e">
        <f t="shared" si="10"/>
        <v>#DIV/0!</v>
      </c>
      <c r="AF21" s="26" t="e">
        <f t="shared" si="11"/>
        <v>#DIV/0!</v>
      </c>
      <c r="AG21" s="26" t="e">
        <f t="shared" si="12"/>
        <v>#DIV/0!</v>
      </c>
      <c r="AH21" s="26" t="e">
        <f t="shared" si="13"/>
        <v>#DIV/0!</v>
      </c>
      <c r="AI21" s="26" t="e">
        <f t="shared" si="14"/>
        <v>#DIV/0!</v>
      </c>
    </row>
    <row r="22" spans="1:35" ht="20.100000000000001" hidden="1" customHeight="1">
      <c r="A22" s="24">
        <v>0</v>
      </c>
      <c r="B22" s="26">
        <f>'INTERNAL TEST-1  '!B22</f>
        <v>0</v>
      </c>
      <c r="C22" s="89">
        <f>'INTERNAL TEST-1  '!C22</f>
        <v>0</v>
      </c>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8"/>
        <v>#DIV/0!</v>
      </c>
      <c r="AD22" s="26" t="e">
        <f t="shared" si="9"/>
        <v>#DIV/0!</v>
      </c>
      <c r="AE22" s="26" t="e">
        <f t="shared" si="10"/>
        <v>#DIV/0!</v>
      </c>
      <c r="AF22" s="26" t="e">
        <f t="shared" si="11"/>
        <v>#DIV/0!</v>
      </c>
      <c r="AG22" s="26" t="e">
        <f t="shared" si="12"/>
        <v>#DIV/0!</v>
      </c>
      <c r="AH22" s="26" t="e">
        <f t="shared" si="13"/>
        <v>#DIV/0!</v>
      </c>
      <c r="AI22" s="26" t="e">
        <f t="shared" si="14"/>
        <v>#DIV/0!</v>
      </c>
    </row>
    <row r="23" spans="1:35" ht="20.100000000000001" hidden="1" customHeight="1">
      <c r="A23" s="24">
        <v>0</v>
      </c>
      <c r="B23" s="26">
        <f>'INTERNAL TEST-1  '!B23</f>
        <v>0</v>
      </c>
      <c r="C23" s="89">
        <f>'INTERNAL TEST-1  '!C23</f>
        <v>0</v>
      </c>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8"/>
        <v>#DIV/0!</v>
      </c>
      <c r="AD23" s="26" t="e">
        <f t="shared" si="9"/>
        <v>#DIV/0!</v>
      </c>
      <c r="AE23" s="26" t="e">
        <f t="shared" si="10"/>
        <v>#DIV/0!</v>
      </c>
      <c r="AF23" s="26" t="e">
        <f t="shared" si="11"/>
        <v>#DIV/0!</v>
      </c>
      <c r="AG23" s="26" t="e">
        <f t="shared" si="12"/>
        <v>#DIV/0!</v>
      </c>
      <c r="AH23" s="26" t="e">
        <f t="shared" si="13"/>
        <v>#DIV/0!</v>
      </c>
      <c r="AI23" s="26" t="e">
        <f t="shared" si="14"/>
        <v>#DIV/0!</v>
      </c>
    </row>
    <row r="24" spans="1:35" ht="20.100000000000001" hidden="1" customHeight="1">
      <c r="A24" s="24">
        <v>0</v>
      </c>
      <c r="B24" s="26">
        <f>'INTERNAL TEST-1  '!B24</f>
        <v>0</v>
      </c>
      <c r="C24" s="89">
        <f>'INTERNAL TEST-1  '!C24</f>
        <v>0</v>
      </c>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8"/>
        <v>#DIV/0!</v>
      </c>
      <c r="AD24" s="26" t="e">
        <f t="shared" si="9"/>
        <v>#DIV/0!</v>
      </c>
      <c r="AE24" s="26" t="e">
        <f t="shared" si="10"/>
        <v>#DIV/0!</v>
      </c>
      <c r="AF24" s="26" t="e">
        <f t="shared" si="11"/>
        <v>#DIV/0!</v>
      </c>
      <c r="AG24" s="26" t="e">
        <f t="shared" si="12"/>
        <v>#DIV/0!</v>
      </c>
      <c r="AH24" s="26" t="e">
        <f t="shared" si="13"/>
        <v>#DIV/0!</v>
      </c>
      <c r="AI24" s="26" t="e">
        <f t="shared" si="14"/>
        <v>#DIV/0!</v>
      </c>
    </row>
    <row r="25" spans="1:35" ht="20.100000000000001" hidden="1" customHeight="1">
      <c r="A25" s="24">
        <v>0</v>
      </c>
      <c r="B25" s="26">
        <f>'INTERNAL TEST-1  '!B25</f>
        <v>0</v>
      </c>
      <c r="C25" s="89">
        <f>'INTERNAL TEST-1  '!C25</f>
        <v>0</v>
      </c>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8"/>
        <v>#DIV/0!</v>
      </c>
      <c r="AD25" s="26" t="e">
        <f t="shared" si="9"/>
        <v>#DIV/0!</v>
      </c>
      <c r="AE25" s="26" t="e">
        <f t="shared" si="10"/>
        <v>#DIV/0!</v>
      </c>
      <c r="AF25" s="26" t="e">
        <f t="shared" si="11"/>
        <v>#DIV/0!</v>
      </c>
      <c r="AG25" s="26" t="e">
        <f t="shared" si="12"/>
        <v>#DIV/0!</v>
      </c>
      <c r="AH25" s="26" t="e">
        <f t="shared" si="13"/>
        <v>#DIV/0!</v>
      </c>
      <c r="AI25" s="26" t="e">
        <f t="shared" si="14"/>
        <v>#DIV/0!</v>
      </c>
    </row>
    <row r="26" spans="1:35" ht="20.100000000000001" hidden="1" customHeight="1">
      <c r="A26" s="24">
        <v>0</v>
      </c>
      <c r="B26" s="26">
        <f>'INTERNAL TEST-1  '!B26</f>
        <v>0</v>
      </c>
      <c r="C26" s="89">
        <f>'INTERNAL TEST-1  '!C26</f>
        <v>0</v>
      </c>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8"/>
        <v>#DIV/0!</v>
      </c>
      <c r="AD26" s="26" t="e">
        <f t="shared" si="9"/>
        <v>#DIV/0!</v>
      </c>
      <c r="AE26" s="26" t="e">
        <f t="shared" si="10"/>
        <v>#DIV/0!</v>
      </c>
      <c r="AF26" s="26" t="e">
        <f t="shared" si="11"/>
        <v>#DIV/0!</v>
      </c>
      <c r="AG26" s="26" t="e">
        <f t="shared" si="12"/>
        <v>#DIV/0!</v>
      </c>
      <c r="AH26" s="26" t="e">
        <f t="shared" si="13"/>
        <v>#DIV/0!</v>
      </c>
      <c r="AI26" s="26" t="e">
        <f t="shared" si="14"/>
        <v>#DIV/0!</v>
      </c>
    </row>
    <row r="27" spans="1:35" ht="20.100000000000001" hidden="1" customHeight="1">
      <c r="A27" s="24">
        <v>0</v>
      </c>
      <c r="B27" s="26">
        <f>'INTERNAL TEST-1  '!B27</f>
        <v>0</v>
      </c>
      <c r="C27" s="89">
        <f>'INTERNAL TEST-1  '!C27</f>
        <v>0</v>
      </c>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8"/>
        <v>#DIV/0!</v>
      </c>
      <c r="AD27" s="26" t="e">
        <f t="shared" si="9"/>
        <v>#DIV/0!</v>
      </c>
      <c r="AE27" s="26" t="e">
        <f t="shared" si="10"/>
        <v>#DIV/0!</v>
      </c>
      <c r="AF27" s="26" t="e">
        <f t="shared" si="11"/>
        <v>#DIV/0!</v>
      </c>
      <c r="AG27" s="26" t="e">
        <f t="shared" si="12"/>
        <v>#DIV/0!</v>
      </c>
      <c r="AH27" s="26" t="e">
        <f t="shared" si="13"/>
        <v>#DIV/0!</v>
      </c>
      <c r="AI27" s="26" t="e">
        <f t="shared" si="14"/>
        <v>#DIV/0!</v>
      </c>
    </row>
    <row r="28" spans="1:35" ht="20.100000000000001" hidden="1" customHeight="1">
      <c r="A28" s="24">
        <v>0</v>
      </c>
      <c r="B28" s="26">
        <f>'INTERNAL TEST-1  '!B28</f>
        <v>0</v>
      </c>
      <c r="C28" s="89">
        <f>'INTERNAL TEST-1  '!C28</f>
        <v>0</v>
      </c>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8"/>
        <v>#DIV/0!</v>
      </c>
      <c r="AD28" s="26" t="e">
        <f t="shared" si="9"/>
        <v>#DIV/0!</v>
      </c>
      <c r="AE28" s="26" t="e">
        <f t="shared" si="10"/>
        <v>#DIV/0!</v>
      </c>
      <c r="AF28" s="26" t="e">
        <f t="shared" si="11"/>
        <v>#DIV/0!</v>
      </c>
      <c r="AG28" s="26" t="e">
        <f t="shared" si="12"/>
        <v>#DIV/0!</v>
      </c>
      <c r="AH28" s="26" t="e">
        <f t="shared" si="13"/>
        <v>#DIV/0!</v>
      </c>
      <c r="AI28" s="26" t="e">
        <f t="shared" si="14"/>
        <v>#DIV/0!</v>
      </c>
    </row>
    <row r="29" spans="1:35" ht="20.100000000000001" hidden="1" customHeight="1">
      <c r="A29" s="24">
        <v>0</v>
      </c>
      <c r="B29" s="26">
        <f>'INTERNAL TEST-1  '!B29</f>
        <v>0</v>
      </c>
      <c r="C29" s="89">
        <f>'INTERNAL TEST-1  '!C29</f>
        <v>0</v>
      </c>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8"/>
        <v>#DIV/0!</v>
      </c>
      <c r="AD29" s="26" t="e">
        <f t="shared" si="9"/>
        <v>#DIV/0!</v>
      </c>
      <c r="AE29" s="26" t="e">
        <f t="shared" si="10"/>
        <v>#DIV/0!</v>
      </c>
      <c r="AF29" s="26" t="e">
        <f t="shared" si="11"/>
        <v>#DIV/0!</v>
      </c>
      <c r="AG29" s="26" t="e">
        <f t="shared" si="12"/>
        <v>#DIV/0!</v>
      </c>
      <c r="AH29" s="26" t="e">
        <f t="shared" si="13"/>
        <v>#DIV/0!</v>
      </c>
      <c r="AI29" s="26" t="e">
        <f t="shared" si="14"/>
        <v>#DIV/0!</v>
      </c>
    </row>
    <row r="30" spans="1:35" ht="20.100000000000001" hidden="1" customHeight="1">
      <c r="A30" s="24">
        <v>0</v>
      </c>
      <c r="B30" s="26">
        <f>'INTERNAL TEST-1  '!B30</f>
        <v>0</v>
      </c>
      <c r="C30" s="89">
        <f>'INTERNAL TEST-1  '!C30</f>
        <v>0</v>
      </c>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8"/>
        <v>#DIV/0!</v>
      </c>
      <c r="AD30" s="26" t="e">
        <f t="shared" si="9"/>
        <v>#DIV/0!</v>
      </c>
      <c r="AE30" s="26" t="e">
        <f t="shared" si="10"/>
        <v>#DIV/0!</v>
      </c>
      <c r="AF30" s="26" t="e">
        <f t="shared" si="11"/>
        <v>#DIV/0!</v>
      </c>
      <c r="AG30" s="26" t="e">
        <f t="shared" si="12"/>
        <v>#DIV/0!</v>
      </c>
      <c r="AH30" s="26" t="e">
        <f t="shared" si="13"/>
        <v>#DIV/0!</v>
      </c>
      <c r="AI30" s="26" t="e">
        <f t="shared" si="14"/>
        <v>#DIV/0!</v>
      </c>
    </row>
    <row r="31" spans="1:35" ht="20.100000000000001" hidden="1" customHeight="1">
      <c r="A31" s="24">
        <v>0</v>
      </c>
      <c r="B31" s="26">
        <f>'INTERNAL TEST-1  '!B31</f>
        <v>0</v>
      </c>
      <c r="C31" s="89">
        <f>'INTERNAL TEST-1  '!C31</f>
        <v>0</v>
      </c>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8"/>
        <v>#DIV/0!</v>
      </c>
      <c r="AD31" s="26" t="e">
        <f t="shared" si="9"/>
        <v>#DIV/0!</v>
      </c>
      <c r="AE31" s="26" t="e">
        <f t="shared" si="10"/>
        <v>#DIV/0!</v>
      </c>
      <c r="AF31" s="26" t="e">
        <f t="shared" si="11"/>
        <v>#DIV/0!</v>
      </c>
      <c r="AG31" s="26" t="e">
        <f t="shared" si="12"/>
        <v>#DIV/0!</v>
      </c>
      <c r="AH31" s="26" t="e">
        <f t="shared" si="13"/>
        <v>#DIV/0!</v>
      </c>
      <c r="AI31" s="26" t="e">
        <f t="shared" si="14"/>
        <v>#DIV/0!</v>
      </c>
    </row>
    <row r="32" spans="1:35" ht="20.100000000000001" hidden="1" customHeight="1">
      <c r="A32" s="24">
        <v>0</v>
      </c>
      <c r="B32" s="26">
        <f>'INTERNAL TEST-1  '!B32</f>
        <v>0</v>
      </c>
      <c r="C32" s="89">
        <f>'INTERNAL TEST-1  '!C32</f>
        <v>0</v>
      </c>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8"/>
        <v>#DIV/0!</v>
      </c>
      <c r="AD32" s="26" t="e">
        <f t="shared" si="9"/>
        <v>#DIV/0!</v>
      </c>
      <c r="AE32" s="26" t="e">
        <f t="shared" si="10"/>
        <v>#DIV/0!</v>
      </c>
      <c r="AF32" s="26" t="e">
        <f t="shared" si="11"/>
        <v>#DIV/0!</v>
      </c>
      <c r="AG32" s="26" t="e">
        <f t="shared" si="12"/>
        <v>#DIV/0!</v>
      </c>
      <c r="AH32" s="26" t="e">
        <f t="shared" si="13"/>
        <v>#DIV/0!</v>
      </c>
      <c r="AI32" s="26" t="e">
        <f t="shared" si="14"/>
        <v>#DIV/0!</v>
      </c>
    </row>
    <row r="33" spans="1:35" ht="20.100000000000001" hidden="1" customHeight="1">
      <c r="A33" s="24">
        <v>0</v>
      </c>
      <c r="B33" s="26">
        <f>'INTERNAL TEST-1  '!B33</f>
        <v>0</v>
      </c>
      <c r="C33" s="89">
        <f>'INTERNAL TEST-1  '!C33</f>
        <v>0</v>
      </c>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8"/>
        <v>#DIV/0!</v>
      </c>
      <c r="AD33" s="26" t="e">
        <f t="shared" si="9"/>
        <v>#DIV/0!</v>
      </c>
      <c r="AE33" s="26" t="e">
        <f t="shared" si="10"/>
        <v>#DIV/0!</v>
      </c>
      <c r="AF33" s="26" t="e">
        <f t="shared" si="11"/>
        <v>#DIV/0!</v>
      </c>
      <c r="AG33" s="26" t="e">
        <f t="shared" si="12"/>
        <v>#DIV/0!</v>
      </c>
      <c r="AH33" s="26" t="e">
        <f t="shared" si="13"/>
        <v>#DIV/0!</v>
      </c>
      <c r="AI33" s="26" t="e">
        <f t="shared" si="14"/>
        <v>#DIV/0!</v>
      </c>
    </row>
    <row r="34" spans="1:35" ht="20.100000000000001" hidden="1" customHeight="1">
      <c r="A34" s="24">
        <v>0</v>
      </c>
      <c r="B34" s="26">
        <f>'INTERNAL TEST-1  '!B34</f>
        <v>0</v>
      </c>
      <c r="C34" s="89">
        <f>'INTERNAL TEST-1  '!C34</f>
        <v>0</v>
      </c>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8"/>
        <v>#DIV/0!</v>
      </c>
      <c r="AD34" s="26" t="e">
        <f t="shared" si="9"/>
        <v>#DIV/0!</v>
      </c>
      <c r="AE34" s="26" t="e">
        <f t="shared" si="10"/>
        <v>#DIV/0!</v>
      </c>
      <c r="AF34" s="26" t="e">
        <f t="shared" si="11"/>
        <v>#DIV/0!</v>
      </c>
      <c r="AG34" s="26" t="e">
        <f t="shared" si="12"/>
        <v>#DIV/0!</v>
      </c>
      <c r="AH34" s="26" t="e">
        <f t="shared" si="13"/>
        <v>#DIV/0!</v>
      </c>
      <c r="AI34" s="26" t="e">
        <f t="shared" si="14"/>
        <v>#DIV/0!</v>
      </c>
    </row>
    <row r="35" spans="1:35" ht="20.100000000000001" hidden="1" customHeight="1">
      <c r="A35" s="24">
        <v>0</v>
      </c>
      <c r="B35" s="26">
        <f>'INTERNAL TEST-1  '!B35</f>
        <v>0</v>
      </c>
      <c r="C35" s="89">
        <f>'INTERNAL TEST-1  '!C35</f>
        <v>0</v>
      </c>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8"/>
        <v>#DIV/0!</v>
      </c>
      <c r="AD35" s="26" t="e">
        <f t="shared" si="9"/>
        <v>#DIV/0!</v>
      </c>
      <c r="AE35" s="26" t="e">
        <f t="shared" si="10"/>
        <v>#DIV/0!</v>
      </c>
      <c r="AF35" s="26" t="e">
        <f t="shared" si="11"/>
        <v>#DIV/0!</v>
      </c>
      <c r="AG35" s="26" t="e">
        <f t="shared" si="12"/>
        <v>#DIV/0!</v>
      </c>
      <c r="AH35" s="26" t="e">
        <f t="shared" si="13"/>
        <v>#DIV/0!</v>
      </c>
      <c r="AI35" s="26" t="e">
        <f t="shared" si="14"/>
        <v>#DIV/0!</v>
      </c>
    </row>
    <row r="36" spans="1:35" ht="20.100000000000001" hidden="1" customHeight="1">
      <c r="A36" s="24">
        <v>0</v>
      </c>
      <c r="B36" s="26">
        <f>'INTERNAL TEST-1  '!B36</f>
        <v>0</v>
      </c>
      <c r="C36" s="89">
        <f>'INTERNAL TEST-1  '!C36</f>
        <v>0</v>
      </c>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8"/>
        <v>#DIV/0!</v>
      </c>
      <c r="AD36" s="26" t="e">
        <f t="shared" si="9"/>
        <v>#DIV/0!</v>
      </c>
      <c r="AE36" s="26" t="e">
        <f t="shared" si="10"/>
        <v>#DIV/0!</v>
      </c>
      <c r="AF36" s="26" t="e">
        <f t="shared" si="11"/>
        <v>#DIV/0!</v>
      </c>
      <c r="AG36" s="26" t="e">
        <f t="shared" si="12"/>
        <v>#DIV/0!</v>
      </c>
      <c r="AH36" s="26" t="e">
        <f t="shared" si="13"/>
        <v>#DIV/0!</v>
      </c>
      <c r="AI36" s="26" t="e">
        <f t="shared" si="14"/>
        <v>#DIV/0!</v>
      </c>
    </row>
    <row r="37" spans="1:35" ht="20.100000000000001" hidden="1" customHeight="1">
      <c r="A37" s="24">
        <v>0</v>
      </c>
      <c r="B37" s="26">
        <f>'INTERNAL TEST-1  '!B37</f>
        <v>0</v>
      </c>
      <c r="C37" s="89">
        <f>'INTERNAL TEST-1  '!C37</f>
        <v>0</v>
      </c>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8"/>
        <v>#DIV/0!</v>
      </c>
      <c r="AD37" s="26" t="e">
        <f t="shared" si="9"/>
        <v>#DIV/0!</v>
      </c>
      <c r="AE37" s="26" t="e">
        <f t="shared" si="10"/>
        <v>#DIV/0!</v>
      </c>
      <c r="AF37" s="26" t="e">
        <f t="shared" si="11"/>
        <v>#DIV/0!</v>
      </c>
      <c r="AG37" s="26" t="e">
        <f t="shared" si="12"/>
        <v>#DIV/0!</v>
      </c>
      <c r="AH37" s="26" t="e">
        <f t="shared" si="13"/>
        <v>#DIV/0!</v>
      </c>
      <c r="AI37" s="26" t="e">
        <f t="shared" si="14"/>
        <v>#DIV/0!</v>
      </c>
    </row>
    <row r="38" spans="1:35" ht="20.100000000000001" hidden="1" customHeight="1">
      <c r="A38" s="24">
        <v>0</v>
      </c>
      <c r="B38" s="26">
        <f>'INTERNAL TEST-1  '!B38</f>
        <v>0</v>
      </c>
      <c r="C38" s="89">
        <f>'INTERNAL TEST-1  '!C38</f>
        <v>0</v>
      </c>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8"/>
        <v>#DIV/0!</v>
      </c>
      <c r="AD38" s="26" t="e">
        <f t="shared" si="9"/>
        <v>#DIV/0!</v>
      </c>
      <c r="AE38" s="26" t="e">
        <f t="shared" si="10"/>
        <v>#DIV/0!</v>
      </c>
      <c r="AF38" s="26" t="e">
        <f t="shared" si="11"/>
        <v>#DIV/0!</v>
      </c>
      <c r="AG38" s="26" t="e">
        <f t="shared" si="12"/>
        <v>#DIV/0!</v>
      </c>
      <c r="AH38" s="26" t="e">
        <f t="shared" si="13"/>
        <v>#DIV/0!</v>
      </c>
      <c r="AI38" s="26" t="e">
        <f t="shared" si="14"/>
        <v>#DIV/0!</v>
      </c>
    </row>
    <row r="39" spans="1:35" ht="20.100000000000001" hidden="1" customHeight="1">
      <c r="A39" s="24">
        <v>0</v>
      </c>
      <c r="B39" s="26">
        <f>'INTERNAL TEST-1  '!B39</f>
        <v>0</v>
      </c>
      <c r="C39" s="89">
        <f>'INTERNAL TEST-1  '!C39</f>
        <v>0</v>
      </c>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8"/>
        <v>#DIV/0!</v>
      </c>
      <c r="AD39" s="26" t="e">
        <f t="shared" si="9"/>
        <v>#DIV/0!</v>
      </c>
      <c r="AE39" s="26" t="e">
        <f t="shared" si="10"/>
        <v>#DIV/0!</v>
      </c>
      <c r="AF39" s="26" t="e">
        <f t="shared" si="11"/>
        <v>#DIV/0!</v>
      </c>
      <c r="AG39" s="26" t="e">
        <f t="shared" si="12"/>
        <v>#DIV/0!</v>
      </c>
      <c r="AH39" s="26" t="e">
        <f t="shared" si="13"/>
        <v>#DIV/0!</v>
      </c>
      <c r="AI39" s="26" t="e">
        <f t="shared" si="14"/>
        <v>#DIV/0!</v>
      </c>
    </row>
    <row r="40" spans="1:35" ht="20.100000000000001" hidden="1" customHeight="1">
      <c r="A40" s="24">
        <v>0</v>
      </c>
      <c r="B40" s="26">
        <f>'INTERNAL TEST-1  '!B40</f>
        <v>0</v>
      </c>
      <c r="C40" s="89">
        <f>'INTERNAL TEST-1  '!C40</f>
        <v>0</v>
      </c>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8"/>
        <v>#DIV/0!</v>
      </c>
      <c r="AD40" s="26" t="e">
        <f t="shared" si="9"/>
        <v>#DIV/0!</v>
      </c>
      <c r="AE40" s="26" t="e">
        <f t="shared" si="10"/>
        <v>#DIV/0!</v>
      </c>
      <c r="AF40" s="26" t="e">
        <f t="shared" si="11"/>
        <v>#DIV/0!</v>
      </c>
      <c r="AG40" s="26" t="e">
        <f t="shared" si="12"/>
        <v>#DIV/0!</v>
      </c>
      <c r="AH40" s="26" t="e">
        <f t="shared" si="13"/>
        <v>#DIV/0!</v>
      </c>
      <c r="AI40" s="26" t="e">
        <f t="shared" si="14"/>
        <v>#DIV/0!</v>
      </c>
    </row>
    <row r="41" spans="1:35" ht="20.100000000000001" hidden="1" customHeight="1">
      <c r="A41" s="24">
        <v>0</v>
      </c>
      <c r="B41" s="26">
        <f>'INTERNAL TEST-1  '!B41</f>
        <v>0</v>
      </c>
      <c r="C41" s="89">
        <f>'INTERNAL TEST-1  '!C41</f>
        <v>0</v>
      </c>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8"/>
        <v>#DIV/0!</v>
      </c>
      <c r="AD41" s="26" t="e">
        <f t="shared" si="9"/>
        <v>#DIV/0!</v>
      </c>
      <c r="AE41" s="26" t="e">
        <f t="shared" si="10"/>
        <v>#DIV/0!</v>
      </c>
      <c r="AF41" s="26" t="e">
        <f t="shared" si="11"/>
        <v>#DIV/0!</v>
      </c>
      <c r="AG41" s="26" t="e">
        <f t="shared" si="12"/>
        <v>#DIV/0!</v>
      </c>
      <c r="AH41" s="26" t="e">
        <f t="shared" si="13"/>
        <v>#DIV/0!</v>
      </c>
      <c r="AI41" s="26" t="e">
        <f t="shared" si="14"/>
        <v>#DIV/0!</v>
      </c>
    </row>
    <row r="42" spans="1:35" ht="20.100000000000001" hidden="1" customHeight="1">
      <c r="A42" s="24">
        <v>0</v>
      </c>
      <c r="B42" s="26">
        <f>'INTERNAL TEST-1  '!B42</f>
        <v>0</v>
      </c>
      <c r="C42" s="89">
        <f>'INTERNAL TEST-1  '!C42</f>
        <v>0</v>
      </c>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8"/>
        <v>#DIV/0!</v>
      </c>
      <c r="AD42" s="26" t="e">
        <f t="shared" si="9"/>
        <v>#DIV/0!</v>
      </c>
      <c r="AE42" s="26" t="e">
        <f t="shared" si="10"/>
        <v>#DIV/0!</v>
      </c>
      <c r="AF42" s="26" t="e">
        <f t="shared" si="11"/>
        <v>#DIV/0!</v>
      </c>
      <c r="AG42" s="26" t="e">
        <f t="shared" si="12"/>
        <v>#DIV/0!</v>
      </c>
      <c r="AH42" s="26" t="e">
        <f t="shared" si="13"/>
        <v>#DIV/0!</v>
      </c>
      <c r="AI42" s="26" t="e">
        <f t="shared" si="14"/>
        <v>#DIV/0!</v>
      </c>
    </row>
    <row r="43" spans="1:35" ht="20.100000000000001" hidden="1" customHeight="1">
      <c r="A43" s="24">
        <v>0</v>
      </c>
      <c r="B43" s="26">
        <f>'INTERNAL TEST-1  '!B43</f>
        <v>0</v>
      </c>
      <c r="C43" s="89">
        <f>'INTERNAL TEST-1  '!C43</f>
        <v>0</v>
      </c>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8"/>
        <v>#DIV/0!</v>
      </c>
      <c r="AD43" s="26" t="e">
        <f t="shared" si="9"/>
        <v>#DIV/0!</v>
      </c>
      <c r="AE43" s="26" t="e">
        <f t="shared" si="10"/>
        <v>#DIV/0!</v>
      </c>
      <c r="AF43" s="26" t="e">
        <f t="shared" si="11"/>
        <v>#DIV/0!</v>
      </c>
      <c r="AG43" s="26" t="e">
        <f t="shared" si="12"/>
        <v>#DIV/0!</v>
      </c>
      <c r="AH43" s="26" t="e">
        <f t="shared" si="13"/>
        <v>#DIV/0!</v>
      </c>
      <c r="AI43" s="26" t="e">
        <f t="shared" si="14"/>
        <v>#DIV/0!</v>
      </c>
    </row>
    <row r="44" spans="1:35" ht="20.100000000000001" hidden="1" customHeight="1">
      <c r="A44" s="24">
        <v>0</v>
      </c>
      <c r="B44" s="26">
        <f>'INTERNAL TEST-1  '!B44</f>
        <v>0</v>
      </c>
      <c r="C44" s="89">
        <f>'INTERNAL TEST-1  '!C44</f>
        <v>0</v>
      </c>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8"/>
        <v>#DIV/0!</v>
      </c>
      <c r="AD44" s="26" t="e">
        <f t="shared" si="9"/>
        <v>#DIV/0!</v>
      </c>
      <c r="AE44" s="26" t="e">
        <f t="shared" si="10"/>
        <v>#DIV/0!</v>
      </c>
      <c r="AF44" s="26" t="e">
        <f t="shared" si="11"/>
        <v>#DIV/0!</v>
      </c>
      <c r="AG44" s="26" t="e">
        <f t="shared" si="12"/>
        <v>#DIV/0!</v>
      </c>
      <c r="AH44" s="26" t="e">
        <f t="shared" si="13"/>
        <v>#DIV/0!</v>
      </c>
      <c r="AI44" s="26" t="e">
        <f t="shared" si="14"/>
        <v>#DIV/0!</v>
      </c>
    </row>
    <row r="45" spans="1:35" ht="20.100000000000001" hidden="1" customHeight="1">
      <c r="A45" s="24">
        <v>0</v>
      </c>
      <c r="B45" s="26">
        <f>'INTERNAL TEST-1  '!B45</f>
        <v>0</v>
      </c>
      <c r="C45" s="89">
        <f>'INTERNAL TEST-1  '!C45</f>
        <v>0</v>
      </c>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8"/>
        <v>#DIV/0!</v>
      </c>
      <c r="AD45" s="26" t="e">
        <f t="shared" si="9"/>
        <v>#DIV/0!</v>
      </c>
      <c r="AE45" s="26" t="e">
        <f t="shared" si="10"/>
        <v>#DIV/0!</v>
      </c>
      <c r="AF45" s="26" t="e">
        <f t="shared" si="11"/>
        <v>#DIV/0!</v>
      </c>
      <c r="AG45" s="26" t="e">
        <f t="shared" si="12"/>
        <v>#DIV/0!</v>
      </c>
      <c r="AH45" s="26" t="e">
        <f t="shared" si="13"/>
        <v>#DIV/0!</v>
      </c>
      <c r="AI45" s="26" t="e">
        <f t="shared" si="14"/>
        <v>#DIV/0!</v>
      </c>
    </row>
    <row r="46" spans="1:35" ht="20.100000000000001" hidden="1" customHeight="1">
      <c r="A46" s="24">
        <v>0</v>
      </c>
      <c r="B46" s="26">
        <f>'INTERNAL TEST-1  '!B46</f>
        <v>0</v>
      </c>
      <c r="C46" s="89">
        <f>'INTERNAL TEST-1  '!C46</f>
        <v>0</v>
      </c>
      <c r="D46" s="24"/>
      <c r="E46" s="24"/>
      <c r="F46" s="24"/>
      <c r="G46" s="24"/>
      <c r="H46" s="24"/>
      <c r="I46" s="24"/>
      <c r="J46" s="24"/>
      <c r="K46" s="24"/>
      <c r="L46" s="24"/>
      <c r="M46" s="24"/>
      <c r="N46" s="24"/>
      <c r="O46" s="24"/>
      <c r="P46" s="24"/>
      <c r="Q46" s="24"/>
      <c r="R46" s="24"/>
      <c r="S46" s="24"/>
      <c r="T46" s="24"/>
      <c r="U46" s="26">
        <f t="shared" ref="U46:U68" si="15">SUM(D46:T46)</f>
        <v>0</v>
      </c>
      <c r="V46" s="26">
        <f t="shared" si="1"/>
        <v>0</v>
      </c>
      <c r="W46" s="26">
        <f t="shared" si="2"/>
        <v>0</v>
      </c>
      <c r="X46" s="26">
        <f t="shared" si="3"/>
        <v>0</v>
      </c>
      <c r="Y46" s="26">
        <f t="shared" si="4"/>
        <v>0</v>
      </c>
      <c r="Z46" s="26">
        <f t="shared" si="5"/>
        <v>0</v>
      </c>
      <c r="AA46" s="26">
        <f t="shared" si="6"/>
        <v>0</v>
      </c>
      <c r="AB46" s="26">
        <f t="shared" si="7"/>
        <v>0</v>
      </c>
      <c r="AC46" s="26" t="e">
        <f t="shared" si="8"/>
        <v>#DIV/0!</v>
      </c>
      <c r="AD46" s="26" t="e">
        <f t="shared" si="9"/>
        <v>#DIV/0!</v>
      </c>
      <c r="AE46" s="26" t="e">
        <f t="shared" si="10"/>
        <v>#DIV/0!</v>
      </c>
      <c r="AF46" s="26" t="e">
        <f t="shared" si="11"/>
        <v>#DIV/0!</v>
      </c>
      <c r="AG46" s="26" t="e">
        <f t="shared" si="12"/>
        <v>#DIV/0!</v>
      </c>
      <c r="AH46" s="26" t="e">
        <f t="shared" si="13"/>
        <v>#DIV/0!</v>
      </c>
      <c r="AI46" s="26" t="e">
        <f t="shared" si="14"/>
        <v>#DIV/0!</v>
      </c>
    </row>
    <row r="47" spans="1:35" ht="20.100000000000001" hidden="1" customHeight="1">
      <c r="A47" s="24">
        <v>0</v>
      </c>
      <c r="B47" s="26">
        <f>'INTERNAL TEST-1  '!B47</f>
        <v>0</v>
      </c>
      <c r="C47" s="89">
        <f>'INTERNAL TEST-1  '!C47</f>
        <v>0</v>
      </c>
      <c r="D47" s="24"/>
      <c r="E47" s="24"/>
      <c r="F47" s="24"/>
      <c r="G47" s="24"/>
      <c r="H47" s="24"/>
      <c r="I47" s="24"/>
      <c r="J47" s="24"/>
      <c r="K47" s="24"/>
      <c r="L47" s="24"/>
      <c r="M47" s="24"/>
      <c r="N47" s="24"/>
      <c r="O47" s="24"/>
      <c r="P47" s="24"/>
      <c r="Q47" s="24"/>
      <c r="R47" s="24"/>
      <c r="S47" s="24"/>
      <c r="T47" s="24"/>
      <c r="U47" s="26">
        <f t="shared" si="15"/>
        <v>0</v>
      </c>
      <c r="V47" s="26">
        <f t="shared" si="1"/>
        <v>0</v>
      </c>
      <c r="W47" s="26">
        <f t="shared" si="2"/>
        <v>0</v>
      </c>
      <c r="X47" s="26">
        <f t="shared" si="3"/>
        <v>0</v>
      </c>
      <c r="Y47" s="26">
        <f t="shared" si="4"/>
        <v>0</v>
      </c>
      <c r="Z47" s="26">
        <f t="shared" si="5"/>
        <v>0</v>
      </c>
      <c r="AA47" s="26">
        <f t="shared" si="6"/>
        <v>0</v>
      </c>
      <c r="AB47" s="26">
        <f t="shared" si="7"/>
        <v>0</v>
      </c>
      <c r="AC47" s="26" t="e">
        <f t="shared" si="8"/>
        <v>#DIV/0!</v>
      </c>
      <c r="AD47" s="26" t="e">
        <f t="shared" si="9"/>
        <v>#DIV/0!</v>
      </c>
      <c r="AE47" s="26" t="e">
        <f t="shared" si="10"/>
        <v>#DIV/0!</v>
      </c>
      <c r="AF47" s="26" t="e">
        <f t="shared" si="11"/>
        <v>#DIV/0!</v>
      </c>
      <c r="AG47" s="26" t="e">
        <f t="shared" si="12"/>
        <v>#DIV/0!</v>
      </c>
      <c r="AH47" s="26" t="e">
        <f t="shared" si="13"/>
        <v>#DIV/0!</v>
      </c>
      <c r="AI47" s="26" t="e">
        <f t="shared" si="14"/>
        <v>#DIV/0!</v>
      </c>
    </row>
    <row r="48" spans="1:35" ht="20.100000000000001" hidden="1" customHeight="1">
      <c r="A48" s="24">
        <v>0</v>
      </c>
      <c r="B48" s="26">
        <f>'INTERNAL TEST-1  '!B48</f>
        <v>0</v>
      </c>
      <c r="C48" s="89">
        <f>'INTERNAL TEST-1  '!C48</f>
        <v>0</v>
      </c>
      <c r="D48" s="24"/>
      <c r="E48" s="24"/>
      <c r="F48" s="24"/>
      <c r="G48" s="24"/>
      <c r="H48" s="24"/>
      <c r="I48" s="24"/>
      <c r="J48" s="24"/>
      <c r="K48" s="24"/>
      <c r="L48" s="24"/>
      <c r="M48" s="24"/>
      <c r="N48" s="24"/>
      <c r="O48" s="24"/>
      <c r="P48" s="24"/>
      <c r="Q48" s="24"/>
      <c r="R48" s="24"/>
      <c r="S48" s="24"/>
      <c r="T48" s="24"/>
      <c r="U48" s="26">
        <f t="shared" si="15"/>
        <v>0</v>
      </c>
      <c r="V48" s="26">
        <f t="shared" si="1"/>
        <v>0</v>
      </c>
      <c r="W48" s="26">
        <f t="shared" si="2"/>
        <v>0</v>
      </c>
      <c r="X48" s="26">
        <f t="shared" si="3"/>
        <v>0</v>
      </c>
      <c r="Y48" s="26">
        <f t="shared" si="4"/>
        <v>0</v>
      </c>
      <c r="Z48" s="26">
        <f t="shared" si="5"/>
        <v>0</v>
      </c>
      <c r="AA48" s="26">
        <f t="shared" si="6"/>
        <v>0</v>
      </c>
      <c r="AB48" s="26">
        <f t="shared" si="7"/>
        <v>0</v>
      </c>
      <c r="AC48" s="26" t="e">
        <f t="shared" si="8"/>
        <v>#DIV/0!</v>
      </c>
      <c r="AD48" s="26" t="e">
        <f t="shared" si="9"/>
        <v>#DIV/0!</v>
      </c>
      <c r="AE48" s="26" t="e">
        <f t="shared" si="10"/>
        <v>#DIV/0!</v>
      </c>
      <c r="AF48" s="26" t="e">
        <f t="shared" si="11"/>
        <v>#DIV/0!</v>
      </c>
      <c r="AG48" s="26" t="e">
        <f t="shared" si="12"/>
        <v>#DIV/0!</v>
      </c>
      <c r="AH48" s="26" t="e">
        <f t="shared" si="13"/>
        <v>#DIV/0!</v>
      </c>
      <c r="AI48" s="26" t="e">
        <f t="shared" si="14"/>
        <v>#DIV/0!</v>
      </c>
    </row>
    <row r="49" spans="1:35" ht="20.100000000000001" hidden="1" customHeight="1">
      <c r="A49" s="24">
        <v>0</v>
      </c>
      <c r="B49" s="26">
        <f>'INTERNAL TEST-1  '!B49</f>
        <v>0</v>
      </c>
      <c r="C49" s="89">
        <f>'INTERNAL TEST-1  '!C49</f>
        <v>0</v>
      </c>
      <c r="D49" s="24"/>
      <c r="E49" s="24"/>
      <c r="F49" s="24"/>
      <c r="G49" s="24"/>
      <c r="H49" s="24"/>
      <c r="I49" s="24"/>
      <c r="J49" s="24"/>
      <c r="K49" s="24"/>
      <c r="L49" s="24"/>
      <c r="M49" s="24"/>
      <c r="N49" s="24"/>
      <c r="O49" s="24"/>
      <c r="P49" s="24"/>
      <c r="Q49" s="24"/>
      <c r="R49" s="24"/>
      <c r="S49" s="24"/>
      <c r="T49" s="24"/>
      <c r="U49" s="26">
        <f t="shared" si="15"/>
        <v>0</v>
      </c>
      <c r="V49" s="26">
        <f t="shared" si="1"/>
        <v>0</v>
      </c>
      <c r="W49" s="26">
        <f t="shared" si="2"/>
        <v>0</v>
      </c>
      <c r="X49" s="26">
        <f t="shared" si="3"/>
        <v>0</v>
      </c>
      <c r="Y49" s="26">
        <f t="shared" si="4"/>
        <v>0</v>
      </c>
      <c r="Z49" s="26">
        <f t="shared" si="5"/>
        <v>0</v>
      </c>
      <c r="AA49" s="26">
        <f t="shared" si="6"/>
        <v>0</v>
      </c>
      <c r="AB49" s="26">
        <f t="shared" si="7"/>
        <v>0</v>
      </c>
      <c r="AC49" s="26" t="e">
        <f t="shared" si="8"/>
        <v>#DIV/0!</v>
      </c>
      <c r="AD49" s="26" t="e">
        <f t="shared" si="9"/>
        <v>#DIV/0!</v>
      </c>
      <c r="AE49" s="26" t="e">
        <f t="shared" si="10"/>
        <v>#DIV/0!</v>
      </c>
      <c r="AF49" s="26" t="e">
        <f t="shared" si="11"/>
        <v>#DIV/0!</v>
      </c>
      <c r="AG49" s="26" t="e">
        <f t="shared" si="12"/>
        <v>#DIV/0!</v>
      </c>
      <c r="AH49" s="26" t="e">
        <f t="shared" si="13"/>
        <v>#DIV/0!</v>
      </c>
      <c r="AI49" s="26" t="e">
        <f t="shared" si="14"/>
        <v>#DIV/0!</v>
      </c>
    </row>
    <row r="50" spans="1:35" ht="20.100000000000001" hidden="1" customHeight="1">
      <c r="A50" s="24">
        <v>0</v>
      </c>
      <c r="B50" s="26">
        <f>'INTERNAL TEST-1  '!B50</f>
        <v>0</v>
      </c>
      <c r="C50" s="89">
        <f>'INTERNAL TEST-1  '!C50</f>
        <v>0</v>
      </c>
      <c r="D50" s="24"/>
      <c r="E50" s="24"/>
      <c r="F50" s="24"/>
      <c r="G50" s="24"/>
      <c r="H50" s="24"/>
      <c r="I50" s="24"/>
      <c r="J50" s="24"/>
      <c r="K50" s="24"/>
      <c r="L50" s="24"/>
      <c r="M50" s="24"/>
      <c r="N50" s="24"/>
      <c r="O50" s="24"/>
      <c r="P50" s="24"/>
      <c r="Q50" s="24"/>
      <c r="R50" s="24"/>
      <c r="S50" s="24"/>
      <c r="T50" s="24"/>
      <c r="U50" s="26">
        <f t="shared" si="15"/>
        <v>0</v>
      </c>
      <c r="V50" s="26">
        <f t="shared" si="1"/>
        <v>0</v>
      </c>
      <c r="W50" s="26">
        <f t="shared" si="2"/>
        <v>0</v>
      </c>
      <c r="X50" s="26">
        <f t="shared" si="3"/>
        <v>0</v>
      </c>
      <c r="Y50" s="26">
        <f t="shared" si="4"/>
        <v>0</v>
      </c>
      <c r="Z50" s="26">
        <f t="shared" si="5"/>
        <v>0</v>
      </c>
      <c r="AA50" s="26">
        <f t="shared" si="6"/>
        <v>0</v>
      </c>
      <c r="AB50" s="26">
        <f t="shared" si="7"/>
        <v>0</v>
      </c>
      <c r="AC50" s="26" t="e">
        <f t="shared" si="8"/>
        <v>#DIV/0!</v>
      </c>
      <c r="AD50" s="26" t="e">
        <f t="shared" si="9"/>
        <v>#DIV/0!</v>
      </c>
      <c r="AE50" s="26" t="e">
        <f t="shared" si="10"/>
        <v>#DIV/0!</v>
      </c>
      <c r="AF50" s="26" t="e">
        <f t="shared" si="11"/>
        <v>#DIV/0!</v>
      </c>
      <c r="AG50" s="26" t="e">
        <f t="shared" si="12"/>
        <v>#DIV/0!</v>
      </c>
      <c r="AH50" s="26" t="e">
        <f t="shared" si="13"/>
        <v>#DIV/0!</v>
      </c>
      <c r="AI50" s="26" t="e">
        <f t="shared" si="14"/>
        <v>#DIV/0!</v>
      </c>
    </row>
    <row r="51" spans="1:35" ht="20.100000000000001" hidden="1" customHeight="1">
      <c r="A51" s="24">
        <v>0</v>
      </c>
      <c r="B51" s="26">
        <f>'INTERNAL TEST-1  '!B51</f>
        <v>0</v>
      </c>
      <c r="C51" s="89">
        <f>'INTERNAL TEST-1  '!C51</f>
        <v>0</v>
      </c>
      <c r="D51" s="24"/>
      <c r="E51" s="24"/>
      <c r="F51" s="24"/>
      <c r="G51" s="24"/>
      <c r="H51" s="24"/>
      <c r="I51" s="24"/>
      <c r="J51" s="24"/>
      <c r="K51" s="24"/>
      <c r="L51" s="24"/>
      <c r="M51" s="24"/>
      <c r="N51" s="24"/>
      <c r="O51" s="24"/>
      <c r="P51" s="24"/>
      <c r="Q51" s="24"/>
      <c r="R51" s="24"/>
      <c r="S51" s="24"/>
      <c r="T51" s="24"/>
      <c r="U51" s="26">
        <f t="shared" si="15"/>
        <v>0</v>
      </c>
      <c r="V51" s="26">
        <f t="shared" si="1"/>
        <v>0</v>
      </c>
      <c r="W51" s="26">
        <f t="shared" si="2"/>
        <v>0</v>
      </c>
      <c r="X51" s="26">
        <f t="shared" si="3"/>
        <v>0</v>
      </c>
      <c r="Y51" s="26">
        <f t="shared" si="4"/>
        <v>0</v>
      </c>
      <c r="Z51" s="26">
        <f t="shared" si="5"/>
        <v>0</v>
      </c>
      <c r="AA51" s="26">
        <f t="shared" si="6"/>
        <v>0</v>
      </c>
      <c r="AB51" s="26">
        <f t="shared" si="7"/>
        <v>0</v>
      </c>
      <c r="AC51" s="26" t="e">
        <f t="shared" si="8"/>
        <v>#DIV/0!</v>
      </c>
      <c r="AD51" s="26" t="e">
        <f t="shared" si="9"/>
        <v>#DIV/0!</v>
      </c>
      <c r="AE51" s="26" t="e">
        <f t="shared" si="10"/>
        <v>#DIV/0!</v>
      </c>
      <c r="AF51" s="26" t="e">
        <f t="shared" si="11"/>
        <v>#DIV/0!</v>
      </c>
      <c r="AG51" s="26" t="e">
        <f t="shared" si="12"/>
        <v>#DIV/0!</v>
      </c>
      <c r="AH51" s="26" t="e">
        <f t="shared" si="13"/>
        <v>#DIV/0!</v>
      </c>
      <c r="AI51" s="26" t="e">
        <f t="shared" si="14"/>
        <v>#DIV/0!</v>
      </c>
    </row>
    <row r="52" spans="1:35" ht="20.100000000000001" hidden="1" customHeight="1">
      <c r="A52" s="24">
        <v>0</v>
      </c>
      <c r="B52" s="26">
        <f>'INTERNAL TEST-1  '!B52</f>
        <v>0</v>
      </c>
      <c r="C52" s="89">
        <f>'INTERNAL TEST-1  '!C52</f>
        <v>0</v>
      </c>
      <c r="D52" s="24"/>
      <c r="E52" s="24"/>
      <c r="F52" s="24"/>
      <c r="G52" s="24"/>
      <c r="H52" s="24"/>
      <c r="I52" s="24"/>
      <c r="J52" s="24"/>
      <c r="K52" s="24"/>
      <c r="L52" s="24"/>
      <c r="M52" s="24"/>
      <c r="N52" s="24"/>
      <c r="O52" s="24"/>
      <c r="P52" s="24"/>
      <c r="Q52" s="24"/>
      <c r="R52" s="24"/>
      <c r="S52" s="24"/>
      <c r="T52" s="24"/>
      <c r="U52" s="26">
        <f t="shared" si="15"/>
        <v>0</v>
      </c>
      <c r="V52" s="26">
        <f t="shared" si="1"/>
        <v>0</v>
      </c>
      <c r="W52" s="26">
        <f t="shared" si="2"/>
        <v>0</v>
      </c>
      <c r="X52" s="26">
        <f t="shared" si="3"/>
        <v>0</v>
      </c>
      <c r="Y52" s="26">
        <f t="shared" si="4"/>
        <v>0</v>
      </c>
      <c r="Z52" s="26">
        <f t="shared" si="5"/>
        <v>0</v>
      </c>
      <c r="AA52" s="26">
        <f t="shared" si="6"/>
        <v>0</v>
      </c>
      <c r="AB52" s="26">
        <f t="shared" si="7"/>
        <v>0</v>
      </c>
      <c r="AC52" s="26" t="e">
        <f t="shared" si="8"/>
        <v>#DIV/0!</v>
      </c>
      <c r="AD52" s="26" t="e">
        <f t="shared" si="9"/>
        <v>#DIV/0!</v>
      </c>
      <c r="AE52" s="26" t="e">
        <f t="shared" si="10"/>
        <v>#DIV/0!</v>
      </c>
      <c r="AF52" s="26" t="e">
        <f t="shared" si="11"/>
        <v>#DIV/0!</v>
      </c>
      <c r="AG52" s="26" t="e">
        <f t="shared" si="12"/>
        <v>#DIV/0!</v>
      </c>
      <c r="AH52" s="26" t="e">
        <f t="shared" si="13"/>
        <v>#DIV/0!</v>
      </c>
      <c r="AI52" s="26" t="e">
        <f t="shared" si="14"/>
        <v>#DIV/0!</v>
      </c>
    </row>
    <row r="53" spans="1:35" ht="20.100000000000001" hidden="1" customHeight="1">
      <c r="A53" s="24">
        <v>0</v>
      </c>
      <c r="B53" s="26">
        <f>'INTERNAL TEST-1  '!B53</f>
        <v>0</v>
      </c>
      <c r="C53" s="89">
        <f>'INTERNAL TEST-1  '!C53</f>
        <v>0</v>
      </c>
      <c r="D53" s="24"/>
      <c r="E53" s="24"/>
      <c r="F53" s="24"/>
      <c r="G53" s="24"/>
      <c r="H53" s="24"/>
      <c r="I53" s="24"/>
      <c r="J53" s="24"/>
      <c r="K53" s="24"/>
      <c r="L53" s="24"/>
      <c r="M53" s="24"/>
      <c r="N53" s="24"/>
      <c r="O53" s="24"/>
      <c r="P53" s="24"/>
      <c r="Q53" s="24"/>
      <c r="R53" s="24"/>
      <c r="S53" s="24"/>
      <c r="T53" s="24"/>
      <c r="U53" s="26">
        <f t="shared" si="15"/>
        <v>0</v>
      </c>
      <c r="V53" s="26">
        <f t="shared" si="1"/>
        <v>0</v>
      </c>
      <c r="W53" s="26">
        <f t="shared" si="2"/>
        <v>0</v>
      </c>
      <c r="X53" s="26">
        <f t="shared" si="3"/>
        <v>0</v>
      </c>
      <c r="Y53" s="26">
        <f t="shared" si="4"/>
        <v>0</v>
      </c>
      <c r="Z53" s="26">
        <f t="shared" si="5"/>
        <v>0</v>
      </c>
      <c r="AA53" s="26">
        <f t="shared" si="6"/>
        <v>0</v>
      </c>
      <c r="AB53" s="26">
        <f t="shared" si="7"/>
        <v>0</v>
      </c>
      <c r="AC53" s="26" t="e">
        <f t="shared" si="8"/>
        <v>#DIV/0!</v>
      </c>
      <c r="AD53" s="26" t="e">
        <f t="shared" si="9"/>
        <v>#DIV/0!</v>
      </c>
      <c r="AE53" s="26" t="e">
        <f t="shared" si="10"/>
        <v>#DIV/0!</v>
      </c>
      <c r="AF53" s="26" t="e">
        <f t="shared" si="11"/>
        <v>#DIV/0!</v>
      </c>
      <c r="AG53" s="26" t="e">
        <f t="shared" si="12"/>
        <v>#DIV/0!</v>
      </c>
      <c r="AH53" s="26" t="e">
        <f t="shared" si="13"/>
        <v>#DIV/0!</v>
      </c>
      <c r="AI53" s="26" t="e">
        <f t="shared" si="14"/>
        <v>#DIV/0!</v>
      </c>
    </row>
    <row r="54" spans="1:35" ht="20.100000000000001" hidden="1" customHeight="1">
      <c r="A54" s="24">
        <v>0</v>
      </c>
      <c r="B54" s="26">
        <f>'INTERNAL TEST-1  '!B54</f>
        <v>0</v>
      </c>
      <c r="C54" s="89">
        <f>'INTERNAL TEST-1  '!C54</f>
        <v>0</v>
      </c>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8"/>
        <v>#DIV/0!</v>
      </c>
      <c r="AD54" s="26" t="e">
        <f t="shared" si="9"/>
        <v>#DIV/0!</v>
      </c>
      <c r="AE54" s="26" t="e">
        <f t="shared" si="10"/>
        <v>#DIV/0!</v>
      </c>
      <c r="AF54" s="26" t="e">
        <f t="shared" si="11"/>
        <v>#DIV/0!</v>
      </c>
      <c r="AG54" s="26" t="e">
        <f t="shared" si="12"/>
        <v>#DIV/0!</v>
      </c>
      <c r="AH54" s="26" t="e">
        <f t="shared" si="13"/>
        <v>#DIV/0!</v>
      </c>
      <c r="AI54" s="26" t="e">
        <f t="shared" si="14"/>
        <v>#DIV/0!</v>
      </c>
    </row>
    <row r="55" spans="1:35" ht="20.100000000000001" hidden="1" customHeight="1">
      <c r="A55" s="24">
        <v>0</v>
      </c>
      <c r="B55" s="26">
        <f>'INTERNAL TEST-1  '!B55</f>
        <v>0</v>
      </c>
      <c r="C55" s="89">
        <f>'INTERNAL TEST-1  '!C55</f>
        <v>0</v>
      </c>
      <c r="D55" s="24"/>
      <c r="E55" s="24"/>
      <c r="F55" s="24"/>
      <c r="G55" s="24"/>
      <c r="H55" s="24"/>
      <c r="I55" s="24"/>
      <c r="J55" s="24"/>
      <c r="K55" s="24"/>
      <c r="L55" s="24"/>
      <c r="M55" s="24"/>
      <c r="N55" s="24"/>
      <c r="O55" s="24"/>
      <c r="P55" s="24"/>
      <c r="Q55" s="24"/>
      <c r="R55" s="24"/>
      <c r="S55" s="24"/>
      <c r="T55" s="24"/>
      <c r="U55" s="26">
        <f t="shared" si="15"/>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8"/>
        <v>#DIV/0!</v>
      </c>
      <c r="AD55" s="26" t="e">
        <f t="shared" si="9"/>
        <v>#DIV/0!</v>
      </c>
      <c r="AE55" s="26" t="e">
        <f t="shared" si="10"/>
        <v>#DIV/0!</v>
      </c>
      <c r="AF55" s="26" t="e">
        <f t="shared" si="11"/>
        <v>#DIV/0!</v>
      </c>
      <c r="AG55" s="26" t="e">
        <f t="shared" si="12"/>
        <v>#DIV/0!</v>
      </c>
      <c r="AH55" s="26" t="e">
        <f t="shared" si="13"/>
        <v>#DIV/0!</v>
      </c>
      <c r="AI55" s="26" t="e">
        <f t="shared" si="14"/>
        <v>#DIV/0!</v>
      </c>
    </row>
    <row r="56" spans="1:35" ht="20.100000000000001" hidden="1" customHeight="1">
      <c r="A56" s="24">
        <v>0</v>
      </c>
      <c r="B56" s="26">
        <f>'INTERNAL TEST-1  '!B56</f>
        <v>0</v>
      </c>
      <c r="C56" s="89">
        <f>'INTERNAL TEST-1  '!C56</f>
        <v>0</v>
      </c>
      <c r="D56" s="24"/>
      <c r="E56" s="24"/>
      <c r="F56" s="24"/>
      <c r="G56" s="24"/>
      <c r="H56" s="24"/>
      <c r="I56" s="24"/>
      <c r="J56" s="24"/>
      <c r="K56" s="24"/>
      <c r="L56" s="24"/>
      <c r="M56" s="24"/>
      <c r="N56" s="24"/>
      <c r="O56" s="24"/>
      <c r="P56" s="24"/>
      <c r="Q56" s="24"/>
      <c r="R56" s="24"/>
      <c r="S56" s="24"/>
      <c r="T56" s="24"/>
      <c r="U56" s="26">
        <f t="shared" si="15"/>
        <v>0</v>
      </c>
      <c r="V56" s="26">
        <f t="shared" si="1"/>
        <v>0</v>
      </c>
      <c r="W56" s="26">
        <f t="shared" si="2"/>
        <v>0</v>
      </c>
      <c r="X56" s="26">
        <f t="shared" si="3"/>
        <v>0</v>
      </c>
      <c r="Y56" s="26">
        <f t="shared" si="4"/>
        <v>0</v>
      </c>
      <c r="Z56" s="26">
        <f t="shared" si="5"/>
        <v>0</v>
      </c>
      <c r="AA56" s="26">
        <f t="shared" si="6"/>
        <v>0</v>
      </c>
      <c r="AB56" s="26">
        <f t="shared" si="7"/>
        <v>0</v>
      </c>
      <c r="AC56" s="26" t="e">
        <f t="shared" si="8"/>
        <v>#DIV/0!</v>
      </c>
      <c r="AD56" s="26" t="e">
        <f t="shared" si="9"/>
        <v>#DIV/0!</v>
      </c>
      <c r="AE56" s="26" t="e">
        <f t="shared" si="10"/>
        <v>#DIV/0!</v>
      </c>
      <c r="AF56" s="26" t="e">
        <f t="shared" si="11"/>
        <v>#DIV/0!</v>
      </c>
      <c r="AG56" s="26" t="e">
        <f t="shared" si="12"/>
        <v>#DIV/0!</v>
      </c>
      <c r="AH56" s="26" t="e">
        <f t="shared" si="13"/>
        <v>#DIV/0!</v>
      </c>
      <c r="AI56" s="26" t="e">
        <f t="shared" si="14"/>
        <v>#DIV/0!</v>
      </c>
    </row>
    <row r="57" spans="1:35" ht="20.100000000000001" hidden="1" customHeight="1">
      <c r="A57" s="24">
        <v>0</v>
      </c>
      <c r="B57" s="26">
        <f>'INTERNAL TEST-1  '!B57</f>
        <v>0</v>
      </c>
      <c r="C57" s="89">
        <f>'INTERNAL TEST-1  '!C57</f>
        <v>0</v>
      </c>
      <c r="D57" s="24"/>
      <c r="E57" s="24"/>
      <c r="F57" s="24"/>
      <c r="G57" s="24"/>
      <c r="H57" s="24"/>
      <c r="I57" s="24"/>
      <c r="J57" s="24"/>
      <c r="K57" s="24"/>
      <c r="L57" s="24"/>
      <c r="M57" s="24"/>
      <c r="N57" s="24"/>
      <c r="O57" s="24"/>
      <c r="P57" s="24"/>
      <c r="Q57" s="24"/>
      <c r="R57" s="24"/>
      <c r="S57" s="24"/>
      <c r="T57" s="24"/>
      <c r="U57" s="26">
        <f t="shared" si="15"/>
        <v>0</v>
      </c>
      <c r="V57" s="26">
        <f t="shared" si="1"/>
        <v>0</v>
      </c>
      <c r="W57" s="26">
        <f t="shared" si="2"/>
        <v>0</v>
      </c>
      <c r="X57" s="26">
        <f t="shared" si="3"/>
        <v>0</v>
      </c>
      <c r="Y57" s="26">
        <f t="shared" si="4"/>
        <v>0</v>
      </c>
      <c r="Z57" s="26">
        <f t="shared" si="5"/>
        <v>0</v>
      </c>
      <c r="AA57" s="26">
        <f t="shared" si="6"/>
        <v>0</v>
      </c>
      <c r="AB57" s="26">
        <f t="shared" si="7"/>
        <v>0</v>
      </c>
      <c r="AC57" s="26" t="e">
        <f t="shared" si="8"/>
        <v>#DIV/0!</v>
      </c>
      <c r="AD57" s="26" t="e">
        <f t="shared" si="9"/>
        <v>#DIV/0!</v>
      </c>
      <c r="AE57" s="26" t="e">
        <f t="shared" si="10"/>
        <v>#DIV/0!</v>
      </c>
      <c r="AF57" s="26" t="e">
        <f t="shared" si="11"/>
        <v>#DIV/0!</v>
      </c>
      <c r="AG57" s="26" t="e">
        <f t="shared" si="12"/>
        <v>#DIV/0!</v>
      </c>
      <c r="AH57" s="26" t="e">
        <f t="shared" si="13"/>
        <v>#DIV/0!</v>
      </c>
      <c r="AI57" s="26" t="e">
        <f t="shared" si="14"/>
        <v>#DIV/0!</v>
      </c>
    </row>
    <row r="58" spans="1:35" ht="20.100000000000001" hidden="1" customHeight="1">
      <c r="A58" s="24">
        <v>0</v>
      </c>
      <c r="B58" s="26">
        <f>'INTERNAL TEST-1  '!B58</f>
        <v>0</v>
      </c>
      <c r="C58" s="89">
        <f>'INTERNAL TEST-1  '!C58</f>
        <v>0</v>
      </c>
      <c r="D58" s="24"/>
      <c r="E58" s="24"/>
      <c r="F58" s="24"/>
      <c r="G58" s="24"/>
      <c r="H58" s="24"/>
      <c r="I58" s="24"/>
      <c r="J58" s="24"/>
      <c r="K58" s="24"/>
      <c r="L58" s="24"/>
      <c r="M58" s="24"/>
      <c r="N58" s="24"/>
      <c r="O58" s="24"/>
      <c r="P58" s="24"/>
      <c r="Q58" s="24"/>
      <c r="R58" s="24"/>
      <c r="S58" s="24"/>
      <c r="T58" s="24"/>
      <c r="U58" s="26">
        <f t="shared" si="15"/>
        <v>0</v>
      </c>
      <c r="V58" s="26">
        <f t="shared" si="1"/>
        <v>0</v>
      </c>
      <c r="W58" s="26">
        <f t="shared" si="2"/>
        <v>0</v>
      </c>
      <c r="X58" s="26">
        <f t="shared" si="3"/>
        <v>0</v>
      </c>
      <c r="Y58" s="26">
        <f t="shared" si="4"/>
        <v>0</v>
      </c>
      <c r="Z58" s="26">
        <f t="shared" si="5"/>
        <v>0</v>
      </c>
      <c r="AA58" s="26">
        <f t="shared" si="6"/>
        <v>0</v>
      </c>
      <c r="AB58" s="26">
        <f t="shared" si="7"/>
        <v>0</v>
      </c>
      <c r="AC58" s="26" t="e">
        <f t="shared" si="8"/>
        <v>#DIV/0!</v>
      </c>
      <c r="AD58" s="26" t="e">
        <f t="shared" si="9"/>
        <v>#DIV/0!</v>
      </c>
      <c r="AE58" s="26" t="e">
        <f t="shared" si="10"/>
        <v>#DIV/0!</v>
      </c>
      <c r="AF58" s="26" t="e">
        <f t="shared" si="11"/>
        <v>#DIV/0!</v>
      </c>
      <c r="AG58" s="26" t="e">
        <f t="shared" si="12"/>
        <v>#DIV/0!</v>
      </c>
      <c r="AH58" s="26" t="e">
        <f t="shared" si="13"/>
        <v>#DIV/0!</v>
      </c>
      <c r="AI58" s="26" t="e">
        <f t="shared" si="14"/>
        <v>#DIV/0!</v>
      </c>
    </row>
    <row r="59" spans="1:35" ht="20.100000000000001" hidden="1" customHeight="1">
      <c r="A59" s="24">
        <v>0</v>
      </c>
      <c r="B59" s="26">
        <f>'INTERNAL TEST-1  '!B59</f>
        <v>0</v>
      </c>
      <c r="C59" s="89">
        <f>'INTERNAL TEST-1  '!C59</f>
        <v>0</v>
      </c>
      <c r="D59" s="24"/>
      <c r="E59" s="24"/>
      <c r="F59" s="24"/>
      <c r="G59" s="24"/>
      <c r="H59" s="24"/>
      <c r="I59" s="24"/>
      <c r="J59" s="24"/>
      <c r="K59" s="24"/>
      <c r="L59" s="24"/>
      <c r="M59" s="24"/>
      <c r="N59" s="24"/>
      <c r="O59" s="24"/>
      <c r="P59" s="24"/>
      <c r="Q59" s="24"/>
      <c r="R59" s="24"/>
      <c r="S59" s="24"/>
      <c r="T59" s="24"/>
      <c r="U59" s="26">
        <f t="shared" si="15"/>
        <v>0</v>
      </c>
      <c r="V59" s="26">
        <f t="shared" si="1"/>
        <v>0</v>
      </c>
      <c r="W59" s="26">
        <f t="shared" si="2"/>
        <v>0</v>
      </c>
      <c r="X59" s="26">
        <f t="shared" si="3"/>
        <v>0</v>
      </c>
      <c r="Y59" s="26">
        <f t="shared" si="4"/>
        <v>0</v>
      </c>
      <c r="Z59" s="26">
        <f t="shared" si="5"/>
        <v>0</v>
      </c>
      <c r="AA59" s="26">
        <f t="shared" si="6"/>
        <v>0</v>
      </c>
      <c r="AB59" s="26">
        <f t="shared" si="7"/>
        <v>0</v>
      </c>
      <c r="AC59" s="26" t="e">
        <f t="shared" si="8"/>
        <v>#DIV/0!</v>
      </c>
      <c r="AD59" s="26" t="e">
        <f t="shared" si="9"/>
        <v>#DIV/0!</v>
      </c>
      <c r="AE59" s="26" t="e">
        <f t="shared" si="10"/>
        <v>#DIV/0!</v>
      </c>
      <c r="AF59" s="26" t="e">
        <f t="shared" si="11"/>
        <v>#DIV/0!</v>
      </c>
      <c r="AG59" s="26" t="e">
        <f t="shared" si="12"/>
        <v>#DIV/0!</v>
      </c>
      <c r="AH59" s="26" t="e">
        <f t="shared" si="13"/>
        <v>#DIV/0!</v>
      </c>
      <c r="AI59" s="26" t="e">
        <f t="shared" si="14"/>
        <v>#DIV/0!</v>
      </c>
    </row>
    <row r="60" spans="1:35" ht="20.100000000000001" hidden="1" customHeight="1">
      <c r="A60" s="24">
        <v>0</v>
      </c>
      <c r="B60" s="26">
        <f>'INTERNAL TEST-1  '!B60</f>
        <v>0</v>
      </c>
      <c r="C60" s="89">
        <f>'INTERNAL TEST-1  '!C60</f>
        <v>0</v>
      </c>
      <c r="D60" s="24"/>
      <c r="E60" s="24"/>
      <c r="F60" s="24"/>
      <c r="G60" s="24"/>
      <c r="H60" s="24"/>
      <c r="I60" s="24"/>
      <c r="J60" s="24"/>
      <c r="K60" s="24"/>
      <c r="L60" s="24"/>
      <c r="M60" s="24"/>
      <c r="N60" s="24"/>
      <c r="O60" s="24"/>
      <c r="P60" s="24"/>
      <c r="Q60" s="24"/>
      <c r="R60" s="24"/>
      <c r="S60" s="24"/>
      <c r="T60" s="24"/>
      <c r="U60" s="26">
        <f t="shared" si="15"/>
        <v>0</v>
      </c>
      <c r="V60" s="26">
        <f t="shared" si="1"/>
        <v>0</v>
      </c>
      <c r="W60" s="26">
        <f t="shared" si="2"/>
        <v>0</v>
      </c>
      <c r="X60" s="26">
        <f t="shared" si="3"/>
        <v>0</v>
      </c>
      <c r="Y60" s="26">
        <f t="shared" si="4"/>
        <v>0</v>
      </c>
      <c r="Z60" s="26">
        <f t="shared" si="5"/>
        <v>0</v>
      </c>
      <c r="AA60" s="26">
        <f t="shared" si="6"/>
        <v>0</v>
      </c>
      <c r="AB60" s="26">
        <f t="shared" si="7"/>
        <v>0</v>
      </c>
      <c r="AC60" s="26" t="e">
        <f t="shared" si="8"/>
        <v>#DIV/0!</v>
      </c>
      <c r="AD60" s="26" t="e">
        <f t="shared" si="9"/>
        <v>#DIV/0!</v>
      </c>
      <c r="AE60" s="26" t="e">
        <f t="shared" si="10"/>
        <v>#DIV/0!</v>
      </c>
      <c r="AF60" s="26" t="e">
        <f t="shared" si="11"/>
        <v>#DIV/0!</v>
      </c>
      <c r="AG60" s="26" t="e">
        <f t="shared" si="12"/>
        <v>#DIV/0!</v>
      </c>
      <c r="AH60" s="26" t="e">
        <f t="shared" si="13"/>
        <v>#DIV/0!</v>
      </c>
      <c r="AI60" s="26" t="e">
        <f t="shared" si="14"/>
        <v>#DIV/0!</v>
      </c>
    </row>
    <row r="61" spans="1:35" ht="20.100000000000001" hidden="1" customHeight="1">
      <c r="A61" s="24">
        <v>0</v>
      </c>
      <c r="B61" s="26">
        <f>'INTERNAL TEST-1  '!B61</f>
        <v>0</v>
      </c>
      <c r="C61" s="89">
        <f>'INTERNAL TEST-1  '!C61</f>
        <v>0</v>
      </c>
      <c r="D61" s="24"/>
      <c r="E61" s="24"/>
      <c r="F61" s="24"/>
      <c r="G61" s="24"/>
      <c r="H61" s="24"/>
      <c r="I61" s="24"/>
      <c r="J61" s="24"/>
      <c r="K61" s="24"/>
      <c r="L61" s="24"/>
      <c r="M61" s="24"/>
      <c r="N61" s="24"/>
      <c r="O61" s="24"/>
      <c r="P61" s="24"/>
      <c r="Q61" s="24"/>
      <c r="R61" s="24"/>
      <c r="S61" s="24"/>
      <c r="T61" s="24"/>
      <c r="U61" s="26">
        <f t="shared" si="15"/>
        <v>0</v>
      </c>
      <c r="V61" s="26">
        <f t="shared" si="1"/>
        <v>0</v>
      </c>
      <c r="W61" s="26">
        <f t="shared" si="2"/>
        <v>0</v>
      </c>
      <c r="X61" s="26">
        <f t="shared" si="3"/>
        <v>0</v>
      </c>
      <c r="Y61" s="26">
        <f t="shared" si="4"/>
        <v>0</v>
      </c>
      <c r="Z61" s="26">
        <f t="shared" si="5"/>
        <v>0</v>
      </c>
      <c r="AA61" s="26">
        <f t="shared" si="6"/>
        <v>0</v>
      </c>
      <c r="AB61" s="26">
        <f t="shared" si="7"/>
        <v>0</v>
      </c>
      <c r="AC61" s="26" t="e">
        <f t="shared" si="8"/>
        <v>#DIV/0!</v>
      </c>
      <c r="AD61" s="26" t="e">
        <f t="shared" si="9"/>
        <v>#DIV/0!</v>
      </c>
      <c r="AE61" s="26" t="e">
        <f t="shared" si="10"/>
        <v>#DIV/0!</v>
      </c>
      <c r="AF61" s="26" t="e">
        <f t="shared" si="11"/>
        <v>#DIV/0!</v>
      </c>
      <c r="AG61" s="26" t="e">
        <f t="shared" si="12"/>
        <v>#DIV/0!</v>
      </c>
      <c r="AH61" s="26" t="e">
        <f t="shared" si="13"/>
        <v>#DIV/0!</v>
      </c>
      <c r="AI61" s="26" t="e">
        <f t="shared" si="14"/>
        <v>#DIV/0!</v>
      </c>
    </row>
    <row r="62" spans="1:35" ht="20.100000000000001" hidden="1" customHeight="1">
      <c r="A62" s="24">
        <v>0</v>
      </c>
      <c r="B62" s="26">
        <f>'INTERNAL TEST-1  '!B62</f>
        <v>0</v>
      </c>
      <c r="C62" s="89">
        <f>'INTERNAL TEST-1  '!C62</f>
        <v>0</v>
      </c>
      <c r="D62" s="24"/>
      <c r="E62" s="24"/>
      <c r="F62" s="24"/>
      <c r="G62" s="24"/>
      <c r="H62" s="24"/>
      <c r="I62" s="24"/>
      <c r="J62" s="24"/>
      <c r="K62" s="24"/>
      <c r="L62" s="24"/>
      <c r="M62" s="24"/>
      <c r="N62" s="24"/>
      <c r="O62" s="24"/>
      <c r="P62" s="24"/>
      <c r="Q62" s="24"/>
      <c r="R62" s="24"/>
      <c r="S62" s="24"/>
      <c r="T62" s="24"/>
      <c r="U62" s="26">
        <f t="shared" si="15"/>
        <v>0</v>
      </c>
      <c r="V62" s="26">
        <f t="shared" si="1"/>
        <v>0</v>
      </c>
      <c r="W62" s="26">
        <f t="shared" si="2"/>
        <v>0</v>
      </c>
      <c r="X62" s="26">
        <f t="shared" si="3"/>
        <v>0</v>
      </c>
      <c r="Y62" s="26">
        <f t="shared" si="4"/>
        <v>0</v>
      </c>
      <c r="Z62" s="26">
        <f t="shared" si="5"/>
        <v>0</v>
      </c>
      <c r="AA62" s="26">
        <f t="shared" si="6"/>
        <v>0</v>
      </c>
      <c r="AB62" s="26">
        <f t="shared" si="7"/>
        <v>0</v>
      </c>
      <c r="AC62" s="26" t="e">
        <f t="shared" si="8"/>
        <v>#DIV/0!</v>
      </c>
      <c r="AD62" s="26" t="e">
        <f t="shared" si="9"/>
        <v>#DIV/0!</v>
      </c>
      <c r="AE62" s="26" t="e">
        <f t="shared" si="10"/>
        <v>#DIV/0!</v>
      </c>
      <c r="AF62" s="26" t="e">
        <f t="shared" si="11"/>
        <v>#DIV/0!</v>
      </c>
      <c r="AG62" s="26" t="e">
        <f t="shared" si="12"/>
        <v>#DIV/0!</v>
      </c>
      <c r="AH62" s="26" t="e">
        <f t="shared" si="13"/>
        <v>#DIV/0!</v>
      </c>
      <c r="AI62" s="26" t="e">
        <f t="shared" si="14"/>
        <v>#DIV/0!</v>
      </c>
    </row>
    <row r="63" spans="1:35" ht="20.100000000000001" hidden="1" customHeight="1">
      <c r="A63" s="24">
        <v>0</v>
      </c>
      <c r="B63" s="26">
        <f>'INTERNAL TEST-1  '!B63</f>
        <v>0</v>
      </c>
      <c r="C63" s="89">
        <f>'INTERNAL TEST-1  '!C63</f>
        <v>0</v>
      </c>
      <c r="D63" s="24"/>
      <c r="E63" s="24"/>
      <c r="F63" s="24"/>
      <c r="G63" s="24"/>
      <c r="H63" s="24"/>
      <c r="I63" s="24"/>
      <c r="J63" s="24"/>
      <c r="K63" s="24"/>
      <c r="L63" s="24"/>
      <c r="M63" s="24"/>
      <c r="N63" s="24"/>
      <c r="O63" s="24"/>
      <c r="P63" s="24"/>
      <c r="Q63" s="24"/>
      <c r="R63" s="24"/>
      <c r="S63" s="24"/>
      <c r="T63" s="24"/>
      <c r="U63" s="26">
        <f t="shared" si="15"/>
        <v>0</v>
      </c>
      <c r="V63" s="26">
        <f t="shared" si="1"/>
        <v>0</v>
      </c>
      <c r="W63" s="26">
        <f t="shared" si="2"/>
        <v>0</v>
      </c>
      <c r="X63" s="26">
        <f t="shared" si="3"/>
        <v>0</v>
      </c>
      <c r="Y63" s="26">
        <f t="shared" si="4"/>
        <v>0</v>
      </c>
      <c r="Z63" s="26">
        <f t="shared" si="5"/>
        <v>0</v>
      </c>
      <c r="AA63" s="26">
        <f t="shared" si="6"/>
        <v>0</v>
      </c>
      <c r="AB63" s="26">
        <f t="shared" si="7"/>
        <v>0</v>
      </c>
      <c r="AC63" s="26" t="e">
        <f t="shared" si="8"/>
        <v>#DIV/0!</v>
      </c>
      <c r="AD63" s="26" t="e">
        <f t="shared" si="9"/>
        <v>#DIV/0!</v>
      </c>
      <c r="AE63" s="26" t="e">
        <f t="shared" si="10"/>
        <v>#DIV/0!</v>
      </c>
      <c r="AF63" s="26" t="e">
        <f t="shared" si="11"/>
        <v>#DIV/0!</v>
      </c>
      <c r="AG63" s="26" t="e">
        <f t="shared" si="12"/>
        <v>#DIV/0!</v>
      </c>
      <c r="AH63" s="26" t="e">
        <f t="shared" si="13"/>
        <v>#DIV/0!</v>
      </c>
      <c r="AI63" s="26" t="e">
        <f t="shared" si="14"/>
        <v>#DIV/0!</v>
      </c>
    </row>
    <row r="64" spans="1:35" ht="20.100000000000001" hidden="1" customHeight="1">
      <c r="A64" s="24">
        <v>0</v>
      </c>
      <c r="B64" s="26">
        <f>'INTERNAL TEST-1  '!B64</f>
        <v>0</v>
      </c>
      <c r="C64" s="89">
        <f>'INTERNAL TEST-1  '!C64</f>
        <v>0</v>
      </c>
      <c r="D64" s="24"/>
      <c r="E64" s="24"/>
      <c r="F64" s="24"/>
      <c r="G64" s="24"/>
      <c r="H64" s="24"/>
      <c r="I64" s="24"/>
      <c r="J64" s="24"/>
      <c r="K64" s="24"/>
      <c r="L64" s="24"/>
      <c r="M64" s="24"/>
      <c r="N64" s="24"/>
      <c r="O64" s="24"/>
      <c r="P64" s="24"/>
      <c r="Q64" s="24"/>
      <c r="R64" s="24"/>
      <c r="S64" s="24"/>
      <c r="T64" s="24"/>
      <c r="U64" s="26">
        <f t="shared" si="15"/>
        <v>0</v>
      </c>
      <c r="V64" s="26">
        <f t="shared" si="1"/>
        <v>0</v>
      </c>
      <c r="W64" s="26">
        <f t="shared" si="2"/>
        <v>0</v>
      </c>
      <c r="X64" s="26">
        <f t="shared" si="3"/>
        <v>0</v>
      </c>
      <c r="Y64" s="26">
        <f t="shared" si="4"/>
        <v>0</v>
      </c>
      <c r="Z64" s="26">
        <f t="shared" si="5"/>
        <v>0</v>
      </c>
      <c r="AA64" s="26">
        <f t="shared" si="6"/>
        <v>0</v>
      </c>
      <c r="AB64" s="26">
        <f t="shared" si="7"/>
        <v>0</v>
      </c>
      <c r="AC64" s="26" t="e">
        <f t="shared" si="8"/>
        <v>#DIV/0!</v>
      </c>
      <c r="AD64" s="26" t="e">
        <f t="shared" si="9"/>
        <v>#DIV/0!</v>
      </c>
      <c r="AE64" s="26" t="e">
        <f t="shared" si="10"/>
        <v>#DIV/0!</v>
      </c>
      <c r="AF64" s="26" t="e">
        <f t="shared" si="11"/>
        <v>#DIV/0!</v>
      </c>
      <c r="AG64" s="26" t="e">
        <f t="shared" si="12"/>
        <v>#DIV/0!</v>
      </c>
      <c r="AH64" s="26" t="e">
        <f t="shared" si="13"/>
        <v>#DIV/0!</v>
      </c>
      <c r="AI64" s="26" t="e">
        <f t="shared" si="14"/>
        <v>#DIV/0!</v>
      </c>
    </row>
    <row r="65" spans="1:35" ht="20.100000000000001" hidden="1" customHeight="1">
      <c r="A65" s="24">
        <v>0</v>
      </c>
      <c r="B65" s="26">
        <f>'INTERNAL TEST-1  '!B65</f>
        <v>0</v>
      </c>
      <c r="C65" s="89">
        <f>'INTERNAL TEST-1  '!C65</f>
        <v>0</v>
      </c>
      <c r="D65" s="24"/>
      <c r="E65" s="24"/>
      <c r="F65" s="24"/>
      <c r="G65" s="24"/>
      <c r="H65" s="24"/>
      <c r="I65" s="24"/>
      <c r="J65" s="24"/>
      <c r="K65" s="24"/>
      <c r="L65" s="24"/>
      <c r="M65" s="24"/>
      <c r="N65" s="24"/>
      <c r="O65" s="24"/>
      <c r="P65" s="24"/>
      <c r="Q65" s="24"/>
      <c r="R65" s="24"/>
      <c r="S65" s="24"/>
      <c r="T65" s="24"/>
      <c r="U65" s="26">
        <f t="shared" si="15"/>
        <v>0</v>
      </c>
      <c r="V65" s="26">
        <f t="shared" si="1"/>
        <v>0</v>
      </c>
      <c r="W65" s="26">
        <f t="shared" si="2"/>
        <v>0</v>
      </c>
      <c r="X65" s="26">
        <f t="shared" si="3"/>
        <v>0</v>
      </c>
      <c r="Y65" s="26">
        <f t="shared" si="4"/>
        <v>0</v>
      </c>
      <c r="Z65" s="26">
        <f t="shared" si="5"/>
        <v>0</v>
      </c>
      <c r="AA65" s="26">
        <f t="shared" si="6"/>
        <v>0</v>
      </c>
      <c r="AB65" s="26">
        <f t="shared" si="7"/>
        <v>0</v>
      </c>
      <c r="AC65" s="26" t="e">
        <f t="shared" si="8"/>
        <v>#DIV/0!</v>
      </c>
      <c r="AD65" s="26" t="e">
        <f t="shared" si="9"/>
        <v>#DIV/0!</v>
      </c>
      <c r="AE65" s="26" t="e">
        <f t="shared" si="10"/>
        <v>#DIV/0!</v>
      </c>
      <c r="AF65" s="26" t="e">
        <f t="shared" si="11"/>
        <v>#DIV/0!</v>
      </c>
      <c r="AG65" s="26" t="e">
        <f t="shared" si="12"/>
        <v>#DIV/0!</v>
      </c>
      <c r="AH65" s="26" t="e">
        <f t="shared" si="13"/>
        <v>#DIV/0!</v>
      </c>
      <c r="AI65" s="26" t="e">
        <f t="shared" si="14"/>
        <v>#DIV/0!</v>
      </c>
    </row>
    <row r="66" spans="1:35" ht="20.100000000000001" hidden="1" customHeight="1">
      <c r="A66" s="24">
        <v>0</v>
      </c>
      <c r="B66" s="26">
        <f>'INTERNAL TEST-1  '!B66</f>
        <v>0</v>
      </c>
      <c r="C66" s="89">
        <f>'INTERNAL TEST-1  '!C66</f>
        <v>0</v>
      </c>
      <c r="D66" s="24"/>
      <c r="E66" s="24"/>
      <c r="F66" s="24"/>
      <c r="G66" s="24"/>
      <c r="H66" s="24"/>
      <c r="I66" s="24"/>
      <c r="J66" s="24"/>
      <c r="K66" s="24"/>
      <c r="L66" s="24"/>
      <c r="M66" s="24"/>
      <c r="N66" s="24"/>
      <c r="O66" s="24"/>
      <c r="P66" s="24"/>
      <c r="Q66" s="24"/>
      <c r="R66" s="24"/>
      <c r="S66" s="24"/>
      <c r="T66" s="24"/>
      <c r="U66" s="26">
        <f t="shared" si="15"/>
        <v>0</v>
      </c>
      <c r="V66" s="26">
        <f t="shared" si="1"/>
        <v>0</v>
      </c>
      <c r="W66" s="26">
        <f t="shared" si="2"/>
        <v>0</v>
      </c>
      <c r="X66" s="26">
        <f t="shared" si="3"/>
        <v>0</v>
      </c>
      <c r="Y66" s="26">
        <f t="shared" si="4"/>
        <v>0</v>
      </c>
      <c r="Z66" s="26">
        <f t="shared" si="5"/>
        <v>0</v>
      </c>
      <c r="AA66" s="26">
        <f t="shared" si="6"/>
        <v>0</v>
      </c>
      <c r="AB66" s="26">
        <f t="shared" si="7"/>
        <v>0</v>
      </c>
      <c r="AC66" s="26" t="e">
        <f t="shared" si="8"/>
        <v>#DIV/0!</v>
      </c>
      <c r="AD66" s="26" t="e">
        <f t="shared" si="9"/>
        <v>#DIV/0!</v>
      </c>
      <c r="AE66" s="26" t="e">
        <f t="shared" si="10"/>
        <v>#DIV/0!</v>
      </c>
      <c r="AF66" s="26" t="e">
        <f t="shared" si="11"/>
        <v>#DIV/0!</v>
      </c>
      <c r="AG66" s="26" t="e">
        <f t="shared" si="12"/>
        <v>#DIV/0!</v>
      </c>
      <c r="AH66" s="26" t="e">
        <f t="shared" si="13"/>
        <v>#DIV/0!</v>
      </c>
      <c r="AI66" s="26" t="e">
        <f t="shared" si="14"/>
        <v>#DIV/0!</v>
      </c>
    </row>
    <row r="67" spans="1:35" ht="20.100000000000001" hidden="1" customHeight="1">
      <c r="A67" s="24">
        <v>0</v>
      </c>
      <c r="B67" s="26">
        <f>'INTERNAL TEST-1  '!B67</f>
        <v>0</v>
      </c>
      <c r="C67" s="89">
        <f>'INTERNAL TEST-1  '!C67</f>
        <v>0</v>
      </c>
      <c r="D67" s="24"/>
      <c r="E67" s="24"/>
      <c r="F67" s="24"/>
      <c r="G67" s="24"/>
      <c r="H67" s="24"/>
      <c r="I67" s="24"/>
      <c r="J67" s="24"/>
      <c r="K67" s="24"/>
      <c r="L67" s="24"/>
      <c r="M67" s="24"/>
      <c r="N67" s="24"/>
      <c r="O67" s="24"/>
      <c r="P67" s="24"/>
      <c r="Q67" s="24"/>
      <c r="R67" s="24"/>
      <c r="S67" s="24"/>
      <c r="T67" s="24"/>
      <c r="U67" s="26">
        <f t="shared" si="15"/>
        <v>0</v>
      </c>
      <c r="V67" s="26">
        <f t="shared" si="1"/>
        <v>0</v>
      </c>
      <c r="W67" s="26">
        <f t="shared" si="2"/>
        <v>0</v>
      </c>
      <c r="X67" s="26">
        <f t="shared" si="3"/>
        <v>0</v>
      </c>
      <c r="Y67" s="26">
        <f t="shared" si="4"/>
        <v>0</v>
      </c>
      <c r="Z67" s="26">
        <f t="shared" si="5"/>
        <v>0</v>
      </c>
      <c r="AA67" s="26">
        <f t="shared" si="6"/>
        <v>0</v>
      </c>
      <c r="AB67" s="26">
        <f t="shared" si="7"/>
        <v>0</v>
      </c>
      <c r="AC67" s="26" t="e">
        <f t="shared" si="8"/>
        <v>#DIV/0!</v>
      </c>
      <c r="AD67" s="26" t="e">
        <f t="shared" si="9"/>
        <v>#DIV/0!</v>
      </c>
      <c r="AE67" s="26" t="e">
        <f t="shared" si="10"/>
        <v>#DIV/0!</v>
      </c>
      <c r="AF67" s="26" t="e">
        <f t="shared" si="11"/>
        <v>#DIV/0!</v>
      </c>
      <c r="AG67" s="26" t="e">
        <f t="shared" si="12"/>
        <v>#DIV/0!</v>
      </c>
      <c r="AH67" s="26" t="e">
        <f t="shared" si="13"/>
        <v>#DIV/0!</v>
      </c>
      <c r="AI67" s="26" t="e">
        <f t="shared" si="14"/>
        <v>#DIV/0!</v>
      </c>
    </row>
    <row r="68" spans="1:35" ht="20.100000000000001" hidden="1" customHeight="1">
      <c r="A68" s="24">
        <v>0</v>
      </c>
      <c r="B68" s="26">
        <f>'INTERNAL TEST-1  '!B68</f>
        <v>0</v>
      </c>
      <c r="C68" s="89">
        <f>'INTERNAL TEST-1  '!C68</f>
        <v>0</v>
      </c>
      <c r="D68" s="24"/>
      <c r="E68" s="24"/>
      <c r="F68" s="24"/>
      <c r="G68" s="24"/>
      <c r="H68" s="24"/>
      <c r="I68" s="24"/>
      <c r="J68" s="24"/>
      <c r="K68" s="24"/>
      <c r="L68" s="24"/>
      <c r="M68" s="24"/>
      <c r="N68" s="24"/>
      <c r="O68" s="24"/>
      <c r="P68" s="24"/>
      <c r="Q68" s="24"/>
      <c r="R68" s="24"/>
      <c r="S68" s="24"/>
      <c r="T68" s="24"/>
      <c r="U68" s="26">
        <f t="shared" si="15"/>
        <v>0</v>
      </c>
      <c r="V68" s="26">
        <f t="shared" si="1"/>
        <v>0</v>
      </c>
      <c r="W68" s="26">
        <f t="shared" si="2"/>
        <v>0</v>
      </c>
      <c r="X68" s="26">
        <f t="shared" si="3"/>
        <v>0</v>
      </c>
      <c r="Y68" s="26">
        <f t="shared" si="4"/>
        <v>0</v>
      </c>
      <c r="Z68" s="26">
        <f t="shared" si="5"/>
        <v>0</v>
      </c>
      <c r="AA68" s="26">
        <f t="shared" si="6"/>
        <v>0</v>
      </c>
      <c r="AB68" s="26">
        <f t="shared" si="7"/>
        <v>0</v>
      </c>
      <c r="AC68" s="26" t="e">
        <f t="shared" si="8"/>
        <v>#DIV/0!</v>
      </c>
      <c r="AD68" s="26" t="e">
        <f t="shared" si="9"/>
        <v>#DIV/0!</v>
      </c>
      <c r="AE68" s="26" t="e">
        <f t="shared" si="10"/>
        <v>#DIV/0!</v>
      </c>
      <c r="AF68" s="26" t="e">
        <f t="shared" si="11"/>
        <v>#DIV/0!</v>
      </c>
      <c r="AG68" s="26" t="e">
        <f t="shared" si="12"/>
        <v>#DIV/0!</v>
      </c>
      <c r="AH68" s="26" t="e">
        <f t="shared" si="13"/>
        <v>#DIV/0!</v>
      </c>
      <c r="AI68" s="26" t="e">
        <f t="shared" si="14"/>
        <v>#DIV/0!</v>
      </c>
    </row>
    <row r="69" spans="1:35" ht="20.100000000000001" hidden="1" customHeight="1">
      <c r="A69" s="24">
        <v>0</v>
      </c>
      <c r="B69" s="26">
        <f>'INTERNAL TEST-1  '!B69</f>
        <v>0</v>
      </c>
      <c r="C69" s="89">
        <f>'INTERNAL TEST-1  '!C69</f>
        <v>0</v>
      </c>
      <c r="D69" s="24"/>
      <c r="E69" s="24"/>
      <c r="F69" s="24"/>
      <c r="G69" s="24"/>
      <c r="H69" s="24"/>
      <c r="I69" s="24"/>
      <c r="J69" s="24"/>
      <c r="K69" s="24"/>
      <c r="L69" s="24"/>
      <c r="M69" s="24"/>
      <c r="N69" s="24"/>
      <c r="O69" s="82"/>
      <c r="P69" s="82"/>
      <c r="Q69" s="24"/>
      <c r="R69" s="24"/>
      <c r="S69" s="24"/>
      <c r="T69" s="24"/>
      <c r="U69" s="26">
        <f t="shared" ref="U69:U138" si="16">SUM(D69:T69)</f>
        <v>0</v>
      </c>
      <c r="V69" s="26">
        <f t="shared" si="1"/>
        <v>0</v>
      </c>
      <c r="W69" s="26">
        <f t="shared" si="2"/>
        <v>0</v>
      </c>
      <c r="X69" s="26">
        <f t="shared" si="3"/>
        <v>0</v>
      </c>
      <c r="Y69" s="26">
        <f t="shared" si="4"/>
        <v>0</v>
      </c>
      <c r="Z69" s="26">
        <f t="shared" si="5"/>
        <v>0</v>
      </c>
      <c r="AA69" s="26">
        <f t="shared" si="6"/>
        <v>0</v>
      </c>
      <c r="AB69" s="26">
        <f t="shared" si="7"/>
        <v>0</v>
      </c>
      <c r="AC69" s="26" t="e">
        <f t="shared" si="8"/>
        <v>#DIV/0!</v>
      </c>
      <c r="AD69" s="26" t="e">
        <f t="shared" si="9"/>
        <v>#DIV/0!</v>
      </c>
      <c r="AE69" s="26" t="e">
        <f t="shared" si="10"/>
        <v>#DIV/0!</v>
      </c>
      <c r="AF69" s="26" t="e">
        <f t="shared" si="11"/>
        <v>#DIV/0!</v>
      </c>
      <c r="AG69" s="26" t="e">
        <f t="shared" si="12"/>
        <v>#DIV/0!</v>
      </c>
      <c r="AH69" s="26" t="e">
        <f t="shared" si="13"/>
        <v>#DIV/0!</v>
      </c>
      <c r="AI69" s="26" t="e">
        <f t="shared" si="14"/>
        <v>#DIV/0!</v>
      </c>
    </row>
    <row r="70" spans="1:35" ht="20.100000000000001" hidden="1" customHeight="1">
      <c r="A70" s="24">
        <v>0</v>
      </c>
      <c r="B70" s="26">
        <f>'INTERNAL TEST-1  '!B70</f>
        <v>0</v>
      </c>
      <c r="C70" s="89">
        <f>'INTERNAL TEST-1  '!C70</f>
        <v>0</v>
      </c>
      <c r="D70" s="24"/>
      <c r="E70" s="24"/>
      <c r="F70" s="24"/>
      <c r="G70" s="24"/>
      <c r="H70" s="24"/>
      <c r="I70" s="24"/>
      <c r="J70" s="24"/>
      <c r="K70" s="24"/>
      <c r="L70" s="24"/>
      <c r="M70" s="24"/>
      <c r="N70" s="24"/>
      <c r="O70" s="82"/>
      <c r="P70" s="82"/>
      <c r="Q70" s="24"/>
      <c r="R70" s="24"/>
      <c r="S70" s="24"/>
      <c r="T70" s="24"/>
      <c r="U70" s="26">
        <f t="shared" si="16"/>
        <v>0</v>
      </c>
      <c r="V70" s="26">
        <f t="shared" si="1"/>
        <v>0</v>
      </c>
      <c r="W70" s="26">
        <f t="shared" si="2"/>
        <v>0</v>
      </c>
      <c r="X70" s="26">
        <f t="shared" si="3"/>
        <v>0</v>
      </c>
      <c r="Y70" s="26">
        <f t="shared" si="4"/>
        <v>0</v>
      </c>
      <c r="Z70" s="26">
        <f t="shared" si="5"/>
        <v>0</v>
      </c>
      <c r="AA70" s="26">
        <f t="shared" si="6"/>
        <v>0</v>
      </c>
      <c r="AB70" s="26">
        <f t="shared" si="7"/>
        <v>0</v>
      </c>
      <c r="AC70" s="26" t="e">
        <f t="shared" si="8"/>
        <v>#DIV/0!</v>
      </c>
      <c r="AD70" s="26" t="e">
        <f t="shared" si="9"/>
        <v>#DIV/0!</v>
      </c>
      <c r="AE70" s="26" t="e">
        <f t="shared" si="10"/>
        <v>#DIV/0!</v>
      </c>
      <c r="AF70" s="26" t="e">
        <f t="shared" si="11"/>
        <v>#DIV/0!</v>
      </c>
      <c r="AG70" s="26" t="e">
        <f t="shared" si="12"/>
        <v>#DIV/0!</v>
      </c>
      <c r="AH70" s="26" t="e">
        <f t="shared" si="13"/>
        <v>#DIV/0!</v>
      </c>
      <c r="AI70" s="26" t="e">
        <f t="shared" si="14"/>
        <v>#DIV/0!</v>
      </c>
    </row>
    <row r="71" spans="1:35" ht="20.100000000000001" hidden="1" customHeight="1">
      <c r="A71" s="24">
        <v>0</v>
      </c>
      <c r="B71" s="26">
        <f>'INTERNAL TEST-1  '!B71</f>
        <v>0</v>
      </c>
      <c r="C71" s="89">
        <f>'INTERNAL TEST-1  '!C71</f>
        <v>0</v>
      </c>
      <c r="D71" s="24"/>
      <c r="E71" s="24"/>
      <c r="F71" s="24"/>
      <c r="G71" s="24"/>
      <c r="H71" s="24"/>
      <c r="I71" s="24"/>
      <c r="J71" s="24"/>
      <c r="K71" s="24"/>
      <c r="L71" s="24"/>
      <c r="M71" s="24"/>
      <c r="N71" s="24"/>
      <c r="O71" s="82"/>
      <c r="P71" s="82"/>
      <c r="Q71" s="24"/>
      <c r="R71" s="24"/>
      <c r="S71" s="24"/>
      <c r="T71" s="24"/>
      <c r="U71" s="26">
        <f t="shared" si="16"/>
        <v>0</v>
      </c>
      <c r="V71" s="26">
        <f t="shared" si="1"/>
        <v>0</v>
      </c>
      <c r="W71" s="26">
        <f t="shared" si="2"/>
        <v>0</v>
      </c>
      <c r="X71" s="26">
        <f t="shared" si="3"/>
        <v>0</v>
      </c>
      <c r="Y71" s="26">
        <f t="shared" si="4"/>
        <v>0</v>
      </c>
      <c r="Z71" s="26">
        <f t="shared" si="5"/>
        <v>0</v>
      </c>
      <c r="AA71" s="26">
        <f t="shared" si="6"/>
        <v>0</v>
      </c>
      <c r="AB71" s="26">
        <f t="shared" si="7"/>
        <v>0</v>
      </c>
      <c r="AC71" s="26" t="e">
        <f t="shared" si="8"/>
        <v>#DIV/0!</v>
      </c>
      <c r="AD71" s="26" t="e">
        <f t="shared" si="9"/>
        <v>#DIV/0!</v>
      </c>
      <c r="AE71" s="26" t="e">
        <f t="shared" si="10"/>
        <v>#DIV/0!</v>
      </c>
      <c r="AF71" s="26" t="e">
        <f t="shared" si="11"/>
        <v>#DIV/0!</v>
      </c>
      <c r="AG71" s="26" t="e">
        <f t="shared" si="12"/>
        <v>#DIV/0!</v>
      </c>
      <c r="AH71" s="26" t="e">
        <f t="shared" si="13"/>
        <v>#DIV/0!</v>
      </c>
      <c r="AI71" s="26" t="e">
        <f t="shared" si="14"/>
        <v>#DIV/0!</v>
      </c>
    </row>
    <row r="72" spans="1:35" ht="20.100000000000001" hidden="1" customHeight="1">
      <c r="A72" s="24">
        <v>0</v>
      </c>
      <c r="B72" s="26">
        <f>'INTERNAL TEST-1  '!B72</f>
        <v>0</v>
      </c>
      <c r="C72" s="89">
        <f>'INTERNAL TEST-1  '!C72</f>
        <v>0</v>
      </c>
      <c r="D72" s="24"/>
      <c r="E72" s="24"/>
      <c r="F72" s="24"/>
      <c r="G72" s="24"/>
      <c r="H72" s="24"/>
      <c r="I72" s="24"/>
      <c r="J72" s="24"/>
      <c r="K72" s="24"/>
      <c r="L72" s="24"/>
      <c r="M72" s="24"/>
      <c r="N72" s="24"/>
      <c r="O72" s="82"/>
      <c r="P72" s="82"/>
      <c r="Q72" s="24"/>
      <c r="R72" s="24"/>
      <c r="S72" s="24"/>
      <c r="T72" s="24"/>
      <c r="U72" s="26">
        <f t="shared" si="16"/>
        <v>0</v>
      </c>
      <c r="V72" s="26">
        <f t="shared" si="1"/>
        <v>0</v>
      </c>
      <c r="W72" s="26">
        <f t="shared" si="2"/>
        <v>0</v>
      </c>
      <c r="X72" s="26">
        <f t="shared" si="3"/>
        <v>0</v>
      </c>
      <c r="Y72" s="26">
        <f t="shared" si="4"/>
        <v>0</v>
      </c>
      <c r="Z72" s="26">
        <f t="shared" si="5"/>
        <v>0</v>
      </c>
      <c r="AA72" s="26">
        <f t="shared" si="6"/>
        <v>0</v>
      </c>
      <c r="AB72" s="26">
        <f t="shared" si="7"/>
        <v>0</v>
      </c>
      <c r="AC72" s="26" t="e">
        <f t="shared" si="8"/>
        <v>#DIV/0!</v>
      </c>
      <c r="AD72" s="26" t="e">
        <f t="shared" si="9"/>
        <v>#DIV/0!</v>
      </c>
      <c r="AE72" s="26" t="e">
        <f t="shared" si="10"/>
        <v>#DIV/0!</v>
      </c>
      <c r="AF72" s="26" t="e">
        <f t="shared" si="11"/>
        <v>#DIV/0!</v>
      </c>
      <c r="AG72" s="26" t="e">
        <f t="shared" si="12"/>
        <v>#DIV/0!</v>
      </c>
      <c r="AH72" s="26" t="e">
        <f t="shared" si="13"/>
        <v>#DIV/0!</v>
      </c>
      <c r="AI72" s="26" t="e">
        <f t="shared" si="14"/>
        <v>#DIV/0!</v>
      </c>
    </row>
    <row r="73" spans="1:35" ht="20.100000000000001" hidden="1" customHeight="1">
      <c r="A73" s="24">
        <v>0</v>
      </c>
      <c r="B73" s="26">
        <f>'INTERNAL TEST-1  '!B73</f>
        <v>0</v>
      </c>
      <c r="C73" s="89">
        <f>'INTERNAL TEST-1  '!C73</f>
        <v>0</v>
      </c>
      <c r="D73" s="24"/>
      <c r="E73" s="24"/>
      <c r="F73" s="24"/>
      <c r="G73" s="24"/>
      <c r="H73" s="24"/>
      <c r="I73" s="24"/>
      <c r="J73" s="24"/>
      <c r="K73" s="24"/>
      <c r="L73" s="24"/>
      <c r="M73" s="24"/>
      <c r="N73" s="24"/>
      <c r="O73" s="82"/>
      <c r="P73" s="82"/>
      <c r="Q73" s="24"/>
      <c r="R73" s="24"/>
      <c r="S73" s="24"/>
      <c r="T73" s="24"/>
      <c r="U73" s="26">
        <f t="shared" si="16"/>
        <v>0</v>
      </c>
      <c r="V73" s="26">
        <f t="shared" si="1"/>
        <v>0</v>
      </c>
      <c r="W73" s="26">
        <f t="shared" si="2"/>
        <v>0</v>
      </c>
      <c r="X73" s="26">
        <f t="shared" si="3"/>
        <v>0</v>
      </c>
      <c r="Y73" s="26">
        <f t="shared" si="4"/>
        <v>0</v>
      </c>
      <c r="Z73" s="26">
        <f t="shared" si="5"/>
        <v>0</v>
      </c>
      <c r="AA73" s="26">
        <f t="shared" si="6"/>
        <v>0</v>
      </c>
      <c r="AB73" s="26">
        <f t="shared" si="7"/>
        <v>0</v>
      </c>
      <c r="AC73" s="26" t="e">
        <f t="shared" si="8"/>
        <v>#DIV/0!</v>
      </c>
      <c r="AD73" s="26" t="e">
        <f t="shared" si="9"/>
        <v>#DIV/0!</v>
      </c>
      <c r="AE73" s="26" t="e">
        <f t="shared" si="10"/>
        <v>#DIV/0!</v>
      </c>
      <c r="AF73" s="26" t="e">
        <f t="shared" si="11"/>
        <v>#DIV/0!</v>
      </c>
      <c r="AG73" s="26" t="e">
        <f t="shared" si="12"/>
        <v>#DIV/0!</v>
      </c>
      <c r="AH73" s="26" t="e">
        <f t="shared" si="13"/>
        <v>#DIV/0!</v>
      </c>
      <c r="AI73" s="26" t="e">
        <f t="shared" si="14"/>
        <v>#DIV/0!</v>
      </c>
    </row>
    <row r="74" spans="1:35" ht="20.100000000000001" hidden="1" customHeight="1">
      <c r="A74" s="24">
        <v>0</v>
      </c>
      <c r="B74" s="26">
        <f>'INTERNAL TEST-1  '!B74</f>
        <v>0</v>
      </c>
      <c r="C74" s="89">
        <f>'INTERNAL TEST-1  '!C74</f>
        <v>0</v>
      </c>
      <c r="D74" s="24"/>
      <c r="E74" s="24"/>
      <c r="F74" s="24"/>
      <c r="G74" s="24"/>
      <c r="H74" s="24"/>
      <c r="I74" s="24"/>
      <c r="J74" s="24"/>
      <c r="K74" s="24"/>
      <c r="L74" s="24"/>
      <c r="M74" s="24"/>
      <c r="N74" s="24"/>
      <c r="O74" s="82"/>
      <c r="P74" s="82"/>
      <c r="Q74" s="24"/>
      <c r="R74" s="24"/>
      <c r="S74" s="24"/>
      <c r="T74" s="24"/>
      <c r="U74" s="26">
        <f t="shared" si="16"/>
        <v>0</v>
      </c>
      <c r="V74" s="26">
        <f t="shared" si="1"/>
        <v>0</v>
      </c>
      <c r="W74" s="26">
        <f t="shared" si="2"/>
        <v>0</v>
      </c>
      <c r="X74" s="26">
        <f t="shared" si="3"/>
        <v>0</v>
      </c>
      <c r="Y74" s="26">
        <f t="shared" si="4"/>
        <v>0</v>
      </c>
      <c r="Z74" s="26">
        <f t="shared" si="5"/>
        <v>0</v>
      </c>
      <c r="AA74" s="26">
        <f t="shared" si="6"/>
        <v>0</v>
      </c>
      <c r="AB74" s="26">
        <f t="shared" si="7"/>
        <v>0</v>
      </c>
      <c r="AC74" s="26" t="e">
        <f t="shared" si="8"/>
        <v>#DIV/0!</v>
      </c>
      <c r="AD74" s="26" t="e">
        <f t="shared" si="9"/>
        <v>#DIV/0!</v>
      </c>
      <c r="AE74" s="26" t="e">
        <f t="shared" si="10"/>
        <v>#DIV/0!</v>
      </c>
      <c r="AF74" s="26" t="e">
        <f t="shared" si="11"/>
        <v>#DIV/0!</v>
      </c>
      <c r="AG74" s="26" t="e">
        <f t="shared" si="12"/>
        <v>#DIV/0!</v>
      </c>
      <c r="AH74" s="26" t="e">
        <f t="shared" si="13"/>
        <v>#DIV/0!</v>
      </c>
      <c r="AI74" s="26" t="e">
        <f t="shared" si="14"/>
        <v>#DIV/0!</v>
      </c>
    </row>
    <row r="75" spans="1:35" ht="20.100000000000001" hidden="1" customHeight="1">
      <c r="A75" s="24">
        <v>0</v>
      </c>
      <c r="B75" s="26">
        <f>'INTERNAL TEST-1  '!B75</f>
        <v>0</v>
      </c>
      <c r="C75" s="89">
        <f>'INTERNAL TEST-1  '!C75</f>
        <v>0</v>
      </c>
      <c r="D75" s="24"/>
      <c r="E75" s="24"/>
      <c r="F75" s="24"/>
      <c r="G75" s="24"/>
      <c r="H75" s="24"/>
      <c r="I75" s="24"/>
      <c r="J75" s="24"/>
      <c r="K75" s="24"/>
      <c r="L75" s="24"/>
      <c r="M75" s="24"/>
      <c r="N75" s="24"/>
      <c r="O75" s="82"/>
      <c r="P75" s="82"/>
      <c r="Q75" s="24"/>
      <c r="R75" s="24"/>
      <c r="S75" s="24"/>
      <c r="T75" s="24"/>
      <c r="U75" s="26">
        <f t="shared" si="16"/>
        <v>0</v>
      </c>
      <c r="V75" s="26">
        <f t="shared" si="1"/>
        <v>0</v>
      </c>
      <c r="W75" s="26">
        <f t="shared" si="2"/>
        <v>0</v>
      </c>
      <c r="X75" s="26">
        <f t="shared" si="3"/>
        <v>0</v>
      </c>
      <c r="Y75" s="26">
        <f t="shared" si="4"/>
        <v>0</v>
      </c>
      <c r="Z75" s="26">
        <f t="shared" si="5"/>
        <v>0</v>
      </c>
      <c r="AA75" s="26">
        <f t="shared" si="6"/>
        <v>0</v>
      </c>
      <c r="AB75" s="26">
        <f t="shared" si="7"/>
        <v>0</v>
      </c>
      <c r="AC75" s="26" t="e">
        <f t="shared" si="8"/>
        <v>#DIV/0!</v>
      </c>
      <c r="AD75" s="26" t="e">
        <f t="shared" si="9"/>
        <v>#DIV/0!</v>
      </c>
      <c r="AE75" s="26" t="e">
        <f t="shared" si="10"/>
        <v>#DIV/0!</v>
      </c>
      <c r="AF75" s="26" t="e">
        <f t="shared" si="11"/>
        <v>#DIV/0!</v>
      </c>
      <c r="AG75" s="26" t="e">
        <f t="shared" si="12"/>
        <v>#DIV/0!</v>
      </c>
      <c r="AH75" s="26" t="e">
        <f t="shared" si="13"/>
        <v>#DIV/0!</v>
      </c>
      <c r="AI75" s="26" t="e">
        <f t="shared" si="14"/>
        <v>#DIV/0!</v>
      </c>
    </row>
    <row r="76" spans="1:35" ht="20.100000000000001" hidden="1" customHeight="1">
      <c r="A76" s="24">
        <v>0</v>
      </c>
      <c r="B76" s="26">
        <f>'INTERNAL TEST-1  '!B76</f>
        <v>0</v>
      </c>
      <c r="C76" s="89">
        <f>'INTERNAL TEST-1  '!C76</f>
        <v>0</v>
      </c>
      <c r="D76" s="24"/>
      <c r="E76" s="24"/>
      <c r="F76" s="24"/>
      <c r="G76" s="24"/>
      <c r="H76" s="24"/>
      <c r="I76" s="24"/>
      <c r="J76" s="24"/>
      <c r="K76" s="24"/>
      <c r="L76" s="24"/>
      <c r="M76" s="24"/>
      <c r="N76" s="24"/>
      <c r="O76" s="82"/>
      <c r="P76" s="82"/>
      <c r="Q76" s="24"/>
      <c r="R76" s="24"/>
      <c r="S76" s="24"/>
      <c r="T76" s="24"/>
      <c r="U76" s="26">
        <f t="shared" si="16"/>
        <v>0</v>
      </c>
      <c r="V76" s="26">
        <f t="shared" si="1"/>
        <v>0</v>
      </c>
      <c r="W76" s="26">
        <f t="shared" si="2"/>
        <v>0</v>
      </c>
      <c r="X76" s="26">
        <f t="shared" si="3"/>
        <v>0</v>
      </c>
      <c r="Y76" s="26">
        <f t="shared" si="4"/>
        <v>0</v>
      </c>
      <c r="Z76" s="26">
        <f t="shared" si="5"/>
        <v>0</v>
      </c>
      <c r="AA76" s="26">
        <f t="shared" si="6"/>
        <v>0</v>
      </c>
      <c r="AB76" s="26">
        <f t="shared" si="7"/>
        <v>0</v>
      </c>
      <c r="AC76" s="26" t="e">
        <f t="shared" si="8"/>
        <v>#DIV/0!</v>
      </c>
      <c r="AD76" s="26" t="e">
        <f t="shared" si="9"/>
        <v>#DIV/0!</v>
      </c>
      <c r="AE76" s="26" t="e">
        <f t="shared" si="10"/>
        <v>#DIV/0!</v>
      </c>
      <c r="AF76" s="26" t="e">
        <f t="shared" si="11"/>
        <v>#DIV/0!</v>
      </c>
      <c r="AG76" s="26" t="e">
        <f t="shared" si="12"/>
        <v>#DIV/0!</v>
      </c>
      <c r="AH76" s="26" t="e">
        <f t="shared" si="13"/>
        <v>#DIV/0!</v>
      </c>
      <c r="AI76" s="26" t="e">
        <f t="shared" si="14"/>
        <v>#DIV/0!</v>
      </c>
    </row>
    <row r="77" spans="1:35" ht="20.100000000000001" hidden="1" customHeight="1">
      <c r="A77" s="24">
        <v>0</v>
      </c>
      <c r="B77" s="26">
        <f>'INTERNAL TEST-1  '!B77</f>
        <v>0</v>
      </c>
      <c r="C77" s="89">
        <f>'INTERNAL TEST-1  '!C77</f>
        <v>0</v>
      </c>
      <c r="D77" s="24"/>
      <c r="E77" s="24"/>
      <c r="F77" s="24"/>
      <c r="G77" s="24"/>
      <c r="H77" s="24"/>
      <c r="I77" s="24"/>
      <c r="J77" s="24"/>
      <c r="K77" s="24"/>
      <c r="L77" s="24"/>
      <c r="M77" s="24"/>
      <c r="N77" s="24"/>
      <c r="O77" s="82"/>
      <c r="P77" s="82"/>
      <c r="Q77" s="24"/>
      <c r="R77" s="24"/>
      <c r="S77" s="24"/>
      <c r="T77" s="24"/>
      <c r="U77" s="26">
        <f t="shared" si="16"/>
        <v>0</v>
      </c>
      <c r="V77" s="26">
        <f t="shared" si="1"/>
        <v>0</v>
      </c>
      <c r="W77" s="26">
        <f t="shared" si="2"/>
        <v>0</v>
      </c>
      <c r="X77" s="26">
        <f t="shared" si="3"/>
        <v>0</v>
      </c>
      <c r="Y77" s="26">
        <f t="shared" si="4"/>
        <v>0</v>
      </c>
      <c r="Z77" s="26">
        <f t="shared" si="5"/>
        <v>0</v>
      </c>
      <c r="AA77" s="26">
        <f t="shared" si="6"/>
        <v>0</v>
      </c>
      <c r="AB77" s="26">
        <f t="shared" si="7"/>
        <v>0</v>
      </c>
      <c r="AC77" s="26" t="e">
        <f t="shared" si="8"/>
        <v>#DIV/0!</v>
      </c>
      <c r="AD77" s="26" t="e">
        <f t="shared" si="9"/>
        <v>#DIV/0!</v>
      </c>
      <c r="AE77" s="26" t="e">
        <f t="shared" si="10"/>
        <v>#DIV/0!</v>
      </c>
      <c r="AF77" s="26" t="e">
        <f t="shared" si="11"/>
        <v>#DIV/0!</v>
      </c>
      <c r="AG77" s="26" t="e">
        <f t="shared" si="12"/>
        <v>#DIV/0!</v>
      </c>
      <c r="AH77" s="26" t="e">
        <f t="shared" si="13"/>
        <v>#DIV/0!</v>
      </c>
      <c r="AI77" s="26" t="e">
        <f t="shared" si="14"/>
        <v>#DIV/0!</v>
      </c>
    </row>
    <row r="78" spans="1:35" ht="20.100000000000001" hidden="1" customHeight="1">
      <c r="A78" s="24">
        <v>0</v>
      </c>
      <c r="B78" s="26">
        <f>'INTERNAL TEST-1  '!B78</f>
        <v>0</v>
      </c>
      <c r="C78" s="89">
        <f>'INTERNAL TEST-1  '!C78</f>
        <v>0</v>
      </c>
      <c r="D78" s="24"/>
      <c r="E78" s="24"/>
      <c r="F78" s="24"/>
      <c r="G78" s="24"/>
      <c r="H78" s="24"/>
      <c r="I78" s="24"/>
      <c r="J78" s="24"/>
      <c r="K78" s="24"/>
      <c r="L78" s="24"/>
      <c r="M78" s="24"/>
      <c r="N78" s="24"/>
      <c r="O78" s="82"/>
      <c r="P78" s="82"/>
      <c r="Q78" s="24"/>
      <c r="R78" s="24"/>
      <c r="S78" s="24"/>
      <c r="T78" s="24"/>
      <c r="U78" s="26">
        <f t="shared" si="16"/>
        <v>0</v>
      </c>
      <c r="V78" s="26">
        <f t="shared" ref="V78:V139" si="17">IF($D$12="CO1",D78,0)+IF($E$12="CO1",E78,0)+IF($F$12="CO1",F78,0)+IF($G$12="CO1",G78,0)+IF($H$12="CO1",H78,0)+IF($I$12="CO1",I78,0)+IF($J$12="CO1",J78,0)+IF($K$12="CO1",K78,0)+IF($L$12="CO1",L78,0)+IF($M$12="CO1",M78,0)+IF($N$12="CO1",N78,0)+IF($O$12="CO1",O78,0)+IF($P$12="CO1",P78,0)+IF($Q$12="CO1",Q78,0)+IF($R$12="CO1",R78,0)+IF($S$12="CO1",S78,0)+IF($T$12="CO1",T78,0)</f>
        <v>0</v>
      </c>
      <c r="W78" s="26">
        <f t="shared" ref="W78:W139" si="18">IF($D$12="CO2",D78,0)+IF($E$12="CO2",E78,0)+IF($F$12="CO2",F78,0)+IF($G$12="CO2",G78,0)+IF($H$12="CO2",H78,0)+IF($I$12="CO2",I78,0)+IF($J$12="CO2",J78,0)+IF($K$12="CO2",K78,0)+IF($L$12="CO2",L78,0)+IF($M$12="CO2",M78,0)+IF($N$12="CO2",N78,0)+IF($O$12="CO2",O78,0)+IF($P$12="CO2",P78,0)+IF($Q$12="CO2",Q78,0)+IF($R$12="CO2",R78,0)+IF($S$12="CO2",S78,0)+IF($T$12="CO2",T78,0)</f>
        <v>0</v>
      </c>
      <c r="X78" s="26">
        <f t="shared" ref="X78:X139" si="19">IF($D$12="CO3",D78,0)+IF($E$12="CO3",E78,0)+IF($F$12="CO3",F78,0)+IF($G$12="CO3",G78,0)+IF($H$12="CO3",H78,0)+IF($I$12="CO3",I78,0)+IF($J$12="CO3",J78,0)+IF($K$12="CO3",K78,0)+IF($L$12="CO3",L78,0)+IF($M$12="CO3",M78,0)+IF($N$12="CO3",N78,0)+IF($O$12="CO3",O78,0)+IF($P$12="CO3",P78,0)+IF($Q$12="CO3",Q78,0)+IF($R$12="CO3",R78,0)+IF($S$12="CO3",S78,0)+IF($T$12="CO3",T78,0)</f>
        <v>0</v>
      </c>
      <c r="Y78" s="26">
        <f t="shared" ref="Y78:Y139" si="20">IF($D$12="CO4",D78,0)+IF($E$12="CO4",E78,0)+IF($F$12="CO4",F78,0)+IF($G$12="CO4",G78,0)+IF($H$12="CO4",H78,0)+IF($I$12="CO4",I78,0)+IF($J$12="CO4",J78,0)+IF($K$12="CO4",K78,0)+IF($L$12="CO4",L78,0)+IF($M$12="CO4",M78,0)+IF($N$12="CO4",N78,0)+IF($O$12="CO4",O78,0)+IF($P$12="CO4",P78,0)+IF($Q$12="CO4",Q78,0)+IF($R$12="CO4",R78,0)+IF($S$12="CO4",S78,0)+IF($T$12="CO4",T78,0)</f>
        <v>0</v>
      </c>
      <c r="Z78" s="26">
        <f t="shared" ref="Z78:Z139" si="21">IF($D$12="CO5",D78,0)+IF($E$12="CO5",E78,0)+IF($F$12="CO5",F78,0)+IF($G$12="CO5",G78,0)+IF($H$12="CO5",H78,0)+IF($I$12="CO5",I78,0)+IF($J$12="CO5",J78,0)+IF($K$12="CO5",K78,0)+IF($L$12="CO5",L78,0)+IF($M$12="CO5",M78,0)+IF($N$12="CO5",N78,0)+IF($O$12="CO5",O78,0)+IF($P$12="CO5",P78,0)+IF($Q$12="CO5",Q78,0)+IF($R$12="CO5",R78,0)+IF($S$12="CO5",S78,0)+IF($T$12="CO5",T78,0)</f>
        <v>0</v>
      </c>
      <c r="AA78" s="26">
        <f t="shared" ref="AA78:AA139" si="22">IF($D$12="CO6",D78,0)+IF($E$12="CO6",E78,0)+IF($F$12="CO6",F78,0)+IF($G$12="CO6",G78,0)+IF($H$12="CO6",H78,0)+IF($I$12="CO6",I78,0)+IF($J$12="CO6",J78,0)+IF($K$12="CO6",K78,0)+IF($L$12="CO6",L78,0)+IF($M$12="CO6",M78,0)+IF($N$12="CO6",N78,0)+IF($O$12="CO6",O78,0)+IF($P$12="CO6",P78,0)+IF($Q$12="CO6",Q78,0)+IF($R$12="CO6",R78,0)+IF($S$12="CO6",S78,0)+IF($T$12="CO6",T78,0)</f>
        <v>0</v>
      </c>
      <c r="AB78" s="26">
        <f t="shared" ref="AB78:AB139" si="23">IF($D$12="CO7",D78,0)+IF($E$12="CO7",E78,0)+IF($F$12="CO7",F78,0)+IF($G$12="CO7",G78,0)+IF($H$12="CO7",H78,0)+IF($I$12="CO7",I78,0)+IF($J$12="CO7",J78,0)+IF($K$12="CO7",K78,0)+IF($L$12="CO7",L78,0)+IF($M$12="CO7",M78,0)+IF($N$12="CO7",N78,0)+IF($O$12="CO7",O78,0)+IF($P$12="CO7",P78,0)+IF($Q$12="CO7",Q78,0)+IF($R$12="CO7",R78,0)+IF($S$12="CO7",S78,0)+IF($T$12="CO7",T78,0)</f>
        <v>0</v>
      </c>
      <c r="AC78" s="26" t="e">
        <f t="shared" si="8"/>
        <v>#DIV/0!</v>
      </c>
      <c r="AD78" s="26" t="e">
        <f t="shared" si="9"/>
        <v>#DIV/0!</v>
      </c>
      <c r="AE78" s="26" t="e">
        <f t="shared" si="10"/>
        <v>#DIV/0!</v>
      </c>
      <c r="AF78" s="26" t="e">
        <f t="shared" si="11"/>
        <v>#DIV/0!</v>
      </c>
      <c r="AG78" s="26" t="e">
        <f t="shared" si="12"/>
        <v>#DIV/0!</v>
      </c>
      <c r="AH78" s="26" t="e">
        <f t="shared" si="13"/>
        <v>#DIV/0!</v>
      </c>
      <c r="AI78" s="26" t="e">
        <f t="shared" si="14"/>
        <v>#DIV/0!</v>
      </c>
    </row>
    <row r="79" spans="1:35" ht="20.100000000000001" hidden="1" customHeight="1">
      <c r="A79" s="24">
        <v>0</v>
      </c>
      <c r="B79" s="26">
        <f>'INTERNAL TEST-1  '!B79</f>
        <v>0</v>
      </c>
      <c r="C79" s="89">
        <f>'INTERNAL TEST-1  '!C79</f>
        <v>0</v>
      </c>
      <c r="D79" s="24"/>
      <c r="E79" s="24"/>
      <c r="F79" s="24"/>
      <c r="G79" s="24"/>
      <c r="H79" s="24"/>
      <c r="I79" s="24"/>
      <c r="J79" s="24"/>
      <c r="K79" s="24"/>
      <c r="L79" s="24"/>
      <c r="M79" s="24"/>
      <c r="N79" s="24"/>
      <c r="O79" s="82"/>
      <c r="P79" s="82"/>
      <c r="Q79" s="24"/>
      <c r="R79" s="24"/>
      <c r="S79" s="24"/>
      <c r="T79" s="24"/>
      <c r="U79" s="26">
        <f t="shared" si="16"/>
        <v>0</v>
      </c>
      <c r="V79" s="26">
        <f t="shared" si="17"/>
        <v>0</v>
      </c>
      <c r="W79" s="26">
        <f t="shared" si="18"/>
        <v>0</v>
      </c>
      <c r="X79" s="26">
        <f t="shared" si="19"/>
        <v>0</v>
      </c>
      <c r="Y79" s="26">
        <f t="shared" si="20"/>
        <v>0</v>
      </c>
      <c r="Z79" s="26">
        <f t="shared" si="21"/>
        <v>0</v>
      </c>
      <c r="AA79" s="26">
        <f t="shared" si="22"/>
        <v>0</v>
      </c>
      <c r="AB79" s="26">
        <f t="shared" si="23"/>
        <v>0</v>
      </c>
      <c r="AC79" s="26" t="e">
        <f t="shared" si="8"/>
        <v>#DIV/0!</v>
      </c>
      <c r="AD79" s="26" t="e">
        <f t="shared" si="9"/>
        <v>#DIV/0!</v>
      </c>
      <c r="AE79" s="26" t="e">
        <f t="shared" si="10"/>
        <v>#DIV/0!</v>
      </c>
      <c r="AF79" s="26" t="e">
        <f t="shared" si="11"/>
        <v>#DIV/0!</v>
      </c>
      <c r="AG79" s="26" t="e">
        <f t="shared" si="12"/>
        <v>#DIV/0!</v>
      </c>
      <c r="AH79" s="26" t="e">
        <f t="shared" si="13"/>
        <v>#DIV/0!</v>
      </c>
      <c r="AI79" s="26" t="e">
        <f t="shared" si="14"/>
        <v>#DIV/0!</v>
      </c>
    </row>
    <row r="80" spans="1:35" ht="20.100000000000001" hidden="1" customHeight="1">
      <c r="A80" s="24">
        <v>0</v>
      </c>
      <c r="B80" s="26">
        <f>'INTERNAL TEST-1  '!B80</f>
        <v>0</v>
      </c>
      <c r="C80" s="89">
        <f>'INTERNAL TEST-1  '!C80</f>
        <v>0</v>
      </c>
      <c r="D80" s="24"/>
      <c r="E80" s="24"/>
      <c r="F80" s="24"/>
      <c r="G80" s="24"/>
      <c r="H80" s="24"/>
      <c r="I80" s="24"/>
      <c r="J80" s="24"/>
      <c r="K80" s="24"/>
      <c r="L80" s="24"/>
      <c r="M80" s="24"/>
      <c r="N80" s="24"/>
      <c r="O80" s="82"/>
      <c r="P80" s="82"/>
      <c r="Q80" s="24"/>
      <c r="R80" s="24"/>
      <c r="S80" s="24"/>
      <c r="T80" s="24"/>
      <c r="U80" s="26">
        <f t="shared" si="16"/>
        <v>0</v>
      </c>
      <c r="V80" s="26">
        <f t="shared" si="17"/>
        <v>0</v>
      </c>
      <c r="W80" s="26">
        <f t="shared" si="18"/>
        <v>0</v>
      </c>
      <c r="X80" s="26">
        <f t="shared" si="19"/>
        <v>0</v>
      </c>
      <c r="Y80" s="26">
        <f t="shared" si="20"/>
        <v>0</v>
      </c>
      <c r="Z80" s="26">
        <f t="shared" si="21"/>
        <v>0</v>
      </c>
      <c r="AA80" s="26">
        <f t="shared" si="22"/>
        <v>0</v>
      </c>
      <c r="AB80" s="26">
        <f t="shared" si="23"/>
        <v>0</v>
      </c>
      <c r="AC80" s="26" t="e">
        <f t="shared" si="8"/>
        <v>#DIV/0!</v>
      </c>
      <c r="AD80" s="26" t="e">
        <f t="shared" si="9"/>
        <v>#DIV/0!</v>
      </c>
      <c r="AE80" s="26" t="e">
        <f t="shared" si="10"/>
        <v>#DIV/0!</v>
      </c>
      <c r="AF80" s="26" t="e">
        <f t="shared" si="11"/>
        <v>#DIV/0!</v>
      </c>
      <c r="AG80" s="26" t="e">
        <f t="shared" si="12"/>
        <v>#DIV/0!</v>
      </c>
      <c r="AH80" s="26" t="e">
        <f t="shared" si="13"/>
        <v>#DIV/0!</v>
      </c>
      <c r="AI80" s="26" t="e">
        <f t="shared" si="14"/>
        <v>#DIV/0!</v>
      </c>
    </row>
    <row r="81" spans="1:35" ht="20.100000000000001" hidden="1" customHeight="1">
      <c r="A81" s="24">
        <v>0</v>
      </c>
      <c r="B81" s="26">
        <f>'INTERNAL TEST-1  '!B81</f>
        <v>0</v>
      </c>
      <c r="C81" s="89">
        <f>'INTERNAL TEST-1  '!C81</f>
        <v>0</v>
      </c>
      <c r="D81" s="24"/>
      <c r="E81" s="24"/>
      <c r="F81" s="24"/>
      <c r="G81" s="24"/>
      <c r="H81" s="24"/>
      <c r="I81" s="24"/>
      <c r="J81" s="24"/>
      <c r="K81" s="24"/>
      <c r="L81" s="24"/>
      <c r="M81" s="24"/>
      <c r="N81" s="24"/>
      <c r="O81" s="82"/>
      <c r="P81" s="82"/>
      <c r="Q81" s="24"/>
      <c r="R81" s="24"/>
      <c r="S81" s="24"/>
      <c r="T81" s="24"/>
      <c r="U81" s="26">
        <f t="shared" si="16"/>
        <v>0</v>
      </c>
      <c r="V81" s="26">
        <f t="shared" si="17"/>
        <v>0</v>
      </c>
      <c r="W81" s="26">
        <f t="shared" si="18"/>
        <v>0</v>
      </c>
      <c r="X81" s="26">
        <f t="shared" si="19"/>
        <v>0</v>
      </c>
      <c r="Y81" s="26">
        <f t="shared" si="20"/>
        <v>0</v>
      </c>
      <c r="Z81" s="26">
        <f t="shared" si="21"/>
        <v>0</v>
      </c>
      <c r="AA81" s="26">
        <f t="shared" si="22"/>
        <v>0</v>
      </c>
      <c r="AB81" s="26">
        <f t="shared" si="23"/>
        <v>0</v>
      </c>
      <c r="AC81" s="26" t="e">
        <f t="shared" si="8"/>
        <v>#DIV/0!</v>
      </c>
      <c r="AD81" s="26" t="e">
        <f t="shared" si="9"/>
        <v>#DIV/0!</v>
      </c>
      <c r="AE81" s="26" t="e">
        <f t="shared" si="10"/>
        <v>#DIV/0!</v>
      </c>
      <c r="AF81" s="26" t="e">
        <f t="shared" si="11"/>
        <v>#DIV/0!</v>
      </c>
      <c r="AG81" s="26" t="e">
        <f t="shared" si="12"/>
        <v>#DIV/0!</v>
      </c>
      <c r="AH81" s="26" t="e">
        <f t="shared" si="13"/>
        <v>#DIV/0!</v>
      </c>
      <c r="AI81" s="26" t="e">
        <f t="shared" si="14"/>
        <v>#DIV/0!</v>
      </c>
    </row>
    <row r="82" spans="1:35" ht="20.100000000000001" hidden="1" customHeight="1">
      <c r="A82" s="24">
        <v>0</v>
      </c>
      <c r="B82" s="26">
        <f>'INTERNAL TEST-1  '!B82</f>
        <v>0</v>
      </c>
      <c r="C82" s="89">
        <f>'INTERNAL TEST-1  '!C82</f>
        <v>0</v>
      </c>
      <c r="D82" s="24"/>
      <c r="E82" s="24"/>
      <c r="F82" s="24"/>
      <c r="G82" s="24"/>
      <c r="H82" s="24"/>
      <c r="I82" s="24"/>
      <c r="J82" s="24"/>
      <c r="K82" s="24"/>
      <c r="L82" s="24"/>
      <c r="M82" s="24"/>
      <c r="N82" s="24"/>
      <c r="O82" s="82"/>
      <c r="P82" s="82"/>
      <c r="Q82" s="24"/>
      <c r="R82" s="24"/>
      <c r="S82" s="24"/>
      <c r="T82" s="24"/>
      <c r="U82" s="26">
        <f t="shared" si="16"/>
        <v>0</v>
      </c>
      <c r="V82" s="26">
        <f t="shared" si="17"/>
        <v>0</v>
      </c>
      <c r="W82" s="26">
        <f t="shared" si="18"/>
        <v>0</v>
      </c>
      <c r="X82" s="26">
        <f t="shared" si="19"/>
        <v>0</v>
      </c>
      <c r="Y82" s="26">
        <f t="shared" si="20"/>
        <v>0</v>
      </c>
      <c r="Z82" s="26">
        <f t="shared" si="21"/>
        <v>0</v>
      </c>
      <c r="AA82" s="26">
        <f t="shared" si="22"/>
        <v>0</v>
      </c>
      <c r="AB82" s="26">
        <f t="shared" si="23"/>
        <v>0</v>
      </c>
      <c r="AC82" s="26" t="e">
        <f t="shared" si="8"/>
        <v>#DIV/0!</v>
      </c>
      <c r="AD82" s="26" t="e">
        <f t="shared" si="9"/>
        <v>#DIV/0!</v>
      </c>
      <c r="AE82" s="26" t="e">
        <f t="shared" si="10"/>
        <v>#DIV/0!</v>
      </c>
      <c r="AF82" s="26" t="e">
        <f t="shared" si="11"/>
        <v>#DIV/0!</v>
      </c>
      <c r="AG82" s="26" t="e">
        <f t="shared" si="12"/>
        <v>#DIV/0!</v>
      </c>
      <c r="AH82" s="26" t="e">
        <f t="shared" si="13"/>
        <v>#DIV/0!</v>
      </c>
      <c r="AI82" s="26" t="e">
        <f t="shared" si="14"/>
        <v>#DIV/0!</v>
      </c>
    </row>
    <row r="83" spans="1:35" ht="20.100000000000001" hidden="1" customHeight="1">
      <c r="A83" s="24">
        <v>0</v>
      </c>
      <c r="B83" s="26">
        <f>'INTERNAL TEST-1  '!B83</f>
        <v>0</v>
      </c>
      <c r="C83" s="89">
        <f>'INTERNAL TEST-1  '!C83</f>
        <v>0</v>
      </c>
      <c r="D83" s="24"/>
      <c r="E83" s="24"/>
      <c r="F83" s="24"/>
      <c r="G83" s="24"/>
      <c r="H83" s="24"/>
      <c r="I83" s="24"/>
      <c r="J83" s="24"/>
      <c r="K83" s="24"/>
      <c r="L83" s="24"/>
      <c r="M83" s="24"/>
      <c r="N83" s="24"/>
      <c r="O83" s="82"/>
      <c r="P83" s="82"/>
      <c r="Q83" s="24"/>
      <c r="R83" s="24"/>
      <c r="S83" s="24"/>
      <c r="T83" s="24"/>
      <c r="U83" s="26">
        <f t="shared" si="16"/>
        <v>0</v>
      </c>
      <c r="V83" s="26">
        <f t="shared" si="17"/>
        <v>0</v>
      </c>
      <c r="W83" s="26">
        <f t="shared" si="18"/>
        <v>0</v>
      </c>
      <c r="X83" s="26">
        <f t="shared" si="19"/>
        <v>0</v>
      </c>
      <c r="Y83" s="26">
        <f t="shared" si="20"/>
        <v>0</v>
      </c>
      <c r="Z83" s="26">
        <f t="shared" si="21"/>
        <v>0</v>
      </c>
      <c r="AA83" s="26">
        <f t="shared" si="22"/>
        <v>0</v>
      </c>
      <c r="AB83" s="26">
        <f t="shared" si="23"/>
        <v>0</v>
      </c>
      <c r="AC83" s="26" t="e">
        <f t="shared" si="8"/>
        <v>#DIV/0!</v>
      </c>
      <c r="AD83" s="26" t="e">
        <f t="shared" si="9"/>
        <v>#DIV/0!</v>
      </c>
      <c r="AE83" s="26" t="e">
        <f t="shared" si="10"/>
        <v>#DIV/0!</v>
      </c>
      <c r="AF83" s="26" t="e">
        <f t="shared" si="11"/>
        <v>#DIV/0!</v>
      </c>
      <c r="AG83" s="26" t="e">
        <f t="shared" si="12"/>
        <v>#DIV/0!</v>
      </c>
      <c r="AH83" s="26" t="e">
        <f t="shared" si="13"/>
        <v>#DIV/0!</v>
      </c>
      <c r="AI83" s="26" t="e">
        <f t="shared" si="14"/>
        <v>#DIV/0!</v>
      </c>
    </row>
    <row r="84" spans="1:35" ht="20.100000000000001" hidden="1" customHeight="1">
      <c r="A84" s="24">
        <v>0</v>
      </c>
      <c r="B84" s="26">
        <f>'INTERNAL TEST-1  '!B84</f>
        <v>0</v>
      </c>
      <c r="C84" s="89">
        <f>'INTERNAL TEST-1  '!C84</f>
        <v>0</v>
      </c>
      <c r="D84" s="24"/>
      <c r="E84" s="24"/>
      <c r="F84" s="24"/>
      <c r="G84" s="24"/>
      <c r="H84" s="24"/>
      <c r="I84" s="24"/>
      <c r="J84" s="24"/>
      <c r="K84" s="24"/>
      <c r="L84" s="24"/>
      <c r="M84" s="24"/>
      <c r="N84" s="24"/>
      <c r="O84" s="82"/>
      <c r="P84" s="82"/>
      <c r="Q84" s="24"/>
      <c r="R84" s="24"/>
      <c r="S84" s="24"/>
      <c r="T84" s="24"/>
      <c r="U84" s="26">
        <f t="shared" si="16"/>
        <v>0</v>
      </c>
      <c r="V84" s="26">
        <f t="shared" si="17"/>
        <v>0</v>
      </c>
      <c r="W84" s="26">
        <f t="shared" si="18"/>
        <v>0</v>
      </c>
      <c r="X84" s="26">
        <f t="shared" si="19"/>
        <v>0</v>
      </c>
      <c r="Y84" s="26">
        <f t="shared" si="20"/>
        <v>0</v>
      </c>
      <c r="Z84" s="26">
        <f t="shared" si="21"/>
        <v>0</v>
      </c>
      <c r="AA84" s="26">
        <f t="shared" si="22"/>
        <v>0</v>
      </c>
      <c r="AB84" s="26">
        <f t="shared" si="23"/>
        <v>0</v>
      </c>
      <c r="AC84" s="26" t="e">
        <f t="shared" si="8"/>
        <v>#DIV/0!</v>
      </c>
      <c r="AD84" s="26" t="e">
        <f t="shared" si="9"/>
        <v>#DIV/0!</v>
      </c>
      <c r="AE84" s="26" t="e">
        <f t="shared" si="10"/>
        <v>#DIV/0!</v>
      </c>
      <c r="AF84" s="26" t="e">
        <f t="shared" si="11"/>
        <v>#DIV/0!</v>
      </c>
      <c r="AG84" s="26" t="e">
        <f t="shared" si="12"/>
        <v>#DIV/0!</v>
      </c>
      <c r="AH84" s="26" t="e">
        <f t="shared" si="13"/>
        <v>#DIV/0!</v>
      </c>
      <c r="AI84" s="26" t="e">
        <f t="shared" si="14"/>
        <v>#DIV/0!</v>
      </c>
    </row>
    <row r="85" spans="1:35" ht="20.100000000000001" hidden="1" customHeight="1">
      <c r="A85" s="24">
        <v>0</v>
      </c>
      <c r="B85" s="26">
        <f>'INTERNAL TEST-1  '!B85</f>
        <v>0</v>
      </c>
      <c r="C85" s="89">
        <f>'INTERNAL TEST-1  '!C85</f>
        <v>0</v>
      </c>
      <c r="D85" s="24"/>
      <c r="E85" s="24"/>
      <c r="F85" s="24"/>
      <c r="G85" s="24"/>
      <c r="H85" s="24"/>
      <c r="I85" s="24"/>
      <c r="J85" s="24"/>
      <c r="K85" s="24"/>
      <c r="L85" s="24"/>
      <c r="M85" s="24"/>
      <c r="N85" s="24"/>
      <c r="O85" s="82"/>
      <c r="P85" s="82"/>
      <c r="Q85" s="24"/>
      <c r="R85" s="24"/>
      <c r="S85" s="24"/>
      <c r="T85" s="24"/>
      <c r="U85" s="26">
        <f t="shared" si="16"/>
        <v>0</v>
      </c>
      <c r="V85" s="26">
        <f t="shared" si="17"/>
        <v>0</v>
      </c>
      <c r="W85" s="26">
        <f t="shared" si="18"/>
        <v>0</v>
      </c>
      <c r="X85" s="26">
        <f t="shared" si="19"/>
        <v>0</v>
      </c>
      <c r="Y85" s="26">
        <f t="shared" si="20"/>
        <v>0</v>
      </c>
      <c r="Z85" s="26">
        <f t="shared" si="21"/>
        <v>0</v>
      </c>
      <c r="AA85" s="26">
        <f t="shared" si="22"/>
        <v>0</v>
      </c>
      <c r="AB85" s="26">
        <f t="shared" si="23"/>
        <v>0</v>
      </c>
      <c r="AC85" s="26" t="e">
        <f t="shared" si="8"/>
        <v>#DIV/0!</v>
      </c>
      <c r="AD85" s="26" t="e">
        <f t="shared" si="9"/>
        <v>#DIV/0!</v>
      </c>
      <c r="AE85" s="26" t="e">
        <f t="shared" si="10"/>
        <v>#DIV/0!</v>
      </c>
      <c r="AF85" s="26" t="e">
        <f t="shared" si="11"/>
        <v>#DIV/0!</v>
      </c>
      <c r="AG85" s="26" t="e">
        <f t="shared" si="12"/>
        <v>#DIV/0!</v>
      </c>
      <c r="AH85" s="26" t="e">
        <f t="shared" si="13"/>
        <v>#DIV/0!</v>
      </c>
      <c r="AI85" s="26" t="e">
        <f t="shared" si="14"/>
        <v>#DIV/0!</v>
      </c>
    </row>
    <row r="86" spans="1:35" ht="20.100000000000001" hidden="1" customHeight="1">
      <c r="A86" s="24">
        <v>0</v>
      </c>
      <c r="B86" s="26">
        <f>'INTERNAL TEST-1  '!B86</f>
        <v>0</v>
      </c>
      <c r="C86" s="89">
        <f>'INTERNAL TEST-1  '!C86</f>
        <v>0</v>
      </c>
      <c r="D86" s="24"/>
      <c r="E86" s="24"/>
      <c r="F86" s="24"/>
      <c r="G86" s="24"/>
      <c r="H86" s="24"/>
      <c r="I86" s="24"/>
      <c r="J86" s="24"/>
      <c r="K86" s="24"/>
      <c r="L86" s="24"/>
      <c r="M86" s="24"/>
      <c r="N86" s="24"/>
      <c r="O86" s="82"/>
      <c r="P86" s="82"/>
      <c r="Q86" s="24"/>
      <c r="R86" s="24"/>
      <c r="S86" s="24"/>
      <c r="T86" s="24"/>
      <c r="U86" s="26">
        <f t="shared" si="16"/>
        <v>0</v>
      </c>
      <c r="V86" s="26">
        <f t="shared" si="17"/>
        <v>0</v>
      </c>
      <c r="W86" s="26">
        <f t="shared" si="18"/>
        <v>0</v>
      </c>
      <c r="X86" s="26">
        <f t="shared" si="19"/>
        <v>0</v>
      </c>
      <c r="Y86" s="26">
        <f t="shared" si="20"/>
        <v>0</v>
      </c>
      <c r="Z86" s="26">
        <f t="shared" si="21"/>
        <v>0</v>
      </c>
      <c r="AA86" s="26">
        <f t="shared" si="22"/>
        <v>0</v>
      </c>
      <c r="AB86" s="26">
        <f t="shared" si="23"/>
        <v>0</v>
      </c>
      <c r="AC86" s="26" t="e">
        <f t="shared" si="8"/>
        <v>#DIV/0!</v>
      </c>
      <c r="AD86" s="26" t="e">
        <f t="shared" si="9"/>
        <v>#DIV/0!</v>
      </c>
      <c r="AE86" s="26" t="e">
        <f t="shared" si="10"/>
        <v>#DIV/0!</v>
      </c>
      <c r="AF86" s="26" t="e">
        <f t="shared" si="11"/>
        <v>#DIV/0!</v>
      </c>
      <c r="AG86" s="26" t="e">
        <f t="shared" si="12"/>
        <v>#DIV/0!</v>
      </c>
      <c r="AH86" s="26" t="e">
        <f t="shared" si="13"/>
        <v>#DIV/0!</v>
      </c>
      <c r="AI86" s="26" t="e">
        <f t="shared" si="14"/>
        <v>#DIV/0!</v>
      </c>
    </row>
    <row r="87" spans="1:35" ht="20.100000000000001" hidden="1" customHeight="1">
      <c r="A87" s="24">
        <v>0</v>
      </c>
      <c r="B87" s="26">
        <f>'INTERNAL TEST-1  '!B87</f>
        <v>0</v>
      </c>
      <c r="C87" s="89">
        <f>'INTERNAL TEST-1  '!C87</f>
        <v>0</v>
      </c>
      <c r="D87" s="24"/>
      <c r="E87" s="24"/>
      <c r="F87" s="24"/>
      <c r="G87" s="24"/>
      <c r="H87" s="24"/>
      <c r="I87" s="24"/>
      <c r="J87" s="24"/>
      <c r="K87" s="24"/>
      <c r="L87" s="24"/>
      <c r="M87" s="24"/>
      <c r="N87" s="24"/>
      <c r="O87" s="82"/>
      <c r="P87" s="82"/>
      <c r="Q87" s="24"/>
      <c r="R87" s="24"/>
      <c r="S87" s="24"/>
      <c r="T87" s="24"/>
      <c r="U87" s="26">
        <f t="shared" si="16"/>
        <v>0</v>
      </c>
      <c r="V87" s="26">
        <f t="shared" si="17"/>
        <v>0</v>
      </c>
      <c r="W87" s="26">
        <f t="shared" si="18"/>
        <v>0</v>
      </c>
      <c r="X87" s="26">
        <f t="shared" si="19"/>
        <v>0</v>
      </c>
      <c r="Y87" s="26">
        <f t="shared" si="20"/>
        <v>0</v>
      </c>
      <c r="Z87" s="26">
        <f t="shared" si="21"/>
        <v>0</v>
      </c>
      <c r="AA87" s="26">
        <f t="shared" si="22"/>
        <v>0</v>
      </c>
      <c r="AB87" s="26">
        <f t="shared" si="23"/>
        <v>0</v>
      </c>
      <c r="AC87" s="26" t="e">
        <f t="shared" si="8"/>
        <v>#DIV/0!</v>
      </c>
      <c r="AD87" s="26" t="e">
        <f t="shared" si="9"/>
        <v>#DIV/0!</v>
      </c>
      <c r="AE87" s="26" t="e">
        <f t="shared" si="10"/>
        <v>#DIV/0!</v>
      </c>
      <c r="AF87" s="26" t="e">
        <f t="shared" si="11"/>
        <v>#DIV/0!</v>
      </c>
      <c r="AG87" s="26" t="e">
        <f t="shared" si="12"/>
        <v>#DIV/0!</v>
      </c>
      <c r="AH87" s="26" t="e">
        <f t="shared" si="13"/>
        <v>#DIV/0!</v>
      </c>
      <c r="AI87" s="26" t="e">
        <f t="shared" si="14"/>
        <v>#DIV/0!</v>
      </c>
    </row>
    <row r="88" spans="1:35" ht="20.100000000000001" hidden="1" customHeight="1">
      <c r="A88" s="24">
        <v>0</v>
      </c>
      <c r="B88" s="26">
        <f>'INTERNAL TEST-1  '!B88</f>
        <v>0</v>
      </c>
      <c r="C88" s="89">
        <f>'INTERNAL TEST-1  '!C88</f>
        <v>0</v>
      </c>
      <c r="D88" s="24"/>
      <c r="E88" s="24"/>
      <c r="F88" s="24"/>
      <c r="G88" s="24"/>
      <c r="H88" s="24"/>
      <c r="I88" s="24"/>
      <c r="J88" s="24"/>
      <c r="K88" s="24"/>
      <c r="L88" s="24"/>
      <c r="M88" s="24"/>
      <c r="N88" s="24"/>
      <c r="O88" s="82"/>
      <c r="P88" s="82"/>
      <c r="Q88" s="24"/>
      <c r="R88" s="24"/>
      <c r="S88" s="24"/>
      <c r="T88" s="24"/>
      <c r="U88" s="26">
        <f t="shared" si="16"/>
        <v>0</v>
      </c>
      <c r="V88" s="26">
        <f t="shared" si="17"/>
        <v>0</v>
      </c>
      <c r="W88" s="26">
        <f t="shared" si="18"/>
        <v>0</v>
      </c>
      <c r="X88" s="26">
        <f t="shared" si="19"/>
        <v>0</v>
      </c>
      <c r="Y88" s="26">
        <f t="shared" si="20"/>
        <v>0</v>
      </c>
      <c r="Z88" s="26">
        <f t="shared" si="21"/>
        <v>0</v>
      </c>
      <c r="AA88" s="26">
        <f t="shared" si="22"/>
        <v>0</v>
      </c>
      <c r="AB88" s="26">
        <f t="shared" si="23"/>
        <v>0</v>
      </c>
      <c r="AC88" s="26" t="e">
        <f t="shared" si="8"/>
        <v>#DIV/0!</v>
      </c>
      <c r="AD88" s="26" t="e">
        <f t="shared" si="9"/>
        <v>#DIV/0!</v>
      </c>
      <c r="AE88" s="26" t="e">
        <f t="shared" si="10"/>
        <v>#DIV/0!</v>
      </c>
      <c r="AF88" s="26" t="e">
        <f t="shared" si="11"/>
        <v>#DIV/0!</v>
      </c>
      <c r="AG88" s="26" t="e">
        <f t="shared" si="12"/>
        <v>#DIV/0!</v>
      </c>
      <c r="AH88" s="26" t="e">
        <f t="shared" si="13"/>
        <v>#DIV/0!</v>
      </c>
      <c r="AI88" s="26" t="e">
        <f t="shared" si="14"/>
        <v>#DIV/0!</v>
      </c>
    </row>
    <row r="89" spans="1:35" ht="20.100000000000001" hidden="1" customHeight="1">
      <c r="A89" s="24">
        <v>0</v>
      </c>
      <c r="B89" s="26">
        <f>'INTERNAL TEST-1  '!B89</f>
        <v>0</v>
      </c>
      <c r="C89" s="89">
        <f>'INTERNAL TEST-1  '!C89</f>
        <v>0</v>
      </c>
      <c r="D89" s="24"/>
      <c r="E89" s="24"/>
      <c r="F89" s="24"/>
      <c r="G89" s="24"/>
      <c r="H89" s="24"/>
      <c r="I89" s="24"/>
      <c r="J89" s="24"/>
      <c r="K89" s="24"/>
      <c r="L89" s="24"/>
      <c r="M89" s="24"/>
      <c r="N89" s="24"/>
      <c r="O89" s="82"/>
      <c r="P89" s="82"/>
      <c r="Q89" s="24"/>
      <c r="R89" s="24"/>
      <c r="S89" s="24"/>
      <c r="T89" s="24"/>
      <c r="U89" s="26">
        <f t="shared" si="16"/>
        <v>0</v>
      </c>
      <c r="V89" s="26">
        <f t="shared" si="17"/>
        <v>0</v>
      </c>
      <c r="W89" s="26">
        <f t="shared" si="18"/>
        <v>0</v>
      </c>
      <c r="X89" s="26">
        <f t="shared" si="19"/>
        <v>0</v>
      </c>
      <c r="Y89" s="26">
        <f t="shared" si="20"/>
        <v>0</v>
      </c>
      <c r="Z89" s="26">
        <f t="shared" si="21"/>
        <v>0</v>
      </c>
      <c r="AA89" s="26">
        <f t="shared" si="22"/>
        <v>0</v>
      </c>
      <c r="AB89" s="26">
        <f t="shared" si="23"/>
        <v>0</v>
      </c>
      <c r="AC89" s="26" t="e">
        <f t="shared" si="8"/>
        <v>#DIV/0!</v>
      </c>
      <c r="AD89" s="26" t="e">
        <f t="shared" si="9"/>
        <v>#DIV/0!</v>
      </c>
      <c r="AE89" s="26" t="e">
        <f t="shared" si="10"/>
        <v>#DIV/0!</v>
      </c>
      <c r="AF89" s="26" t="e">
        <f t="shared" si="11"/>
        <v>#DIV/0!</v>
      </c>
      <c r="AG89" s="26" t="e">
        <f t="shared" si="12"/>
        <v>#DIV/0!</v>
      </c>
      <c r="AH89" s="26" t="e">
        <f t="shared" si="13"/>
        <v>#DIV/0!</v>
      </c>
      <c r="AI89" s="26" t="e">
        <f t="shared" si="14"/>
        <v>#DIV/0!</v>
      </c>
    </row>
    <row r="90" spans="1:35" ht="20.100000000000001" hidden="1" customHeight="1">
      <c r="A90" s="24">
        <v>0</v>
      </c>
      <c r="B90" s="26">
        <f>'INTERNAL TEST-1  '!B90</f>
        <v>0</v>
      </c>
      <c r="C90" s="89">
        <f>'INTERNAL TEST-1  '!C90</f>
        <v>0</v>
      </c>
      <c r="D90" s="24"/>
      <c r="E90" s="24"/>
      <c r="F90" s="24"/>
      <c r="G90" s="24"/>
      <c r="H90" s="24"/>
      <c r="I90" s="24"/>
      <c r="J90" s="24"/>
      <c r="K90" s="24"/>
      <c r="L90" s="24"/>
      <c r="M90" s="24"/>
      <c r="N90" s="24"/>
      <c r="O90" s="82"/>
      <c r="P90" s="82"/>
      <c r="Q90" s="24"/>
      <c r="R90" s="24"/>
      <c r="S90" s="24"/>
      <c r="T90" s="24"/>
      <c r="U90" s="26">
        <f t="shared" si="16"/>
        <v>0</v>
      </c>
      <c r="V90" s="26">
        <f t="shared" si="17"/>
        <v>0</v>
      </c>
      <c r="W90" s="26">
        <f t="shared" si="18"/>
        <v>0</v>
      </c>
      <c r="X90" s="26">
        <f t="shared" si="19"/>
        <v>0</v>
      </c>
      <c r="Y90" s="26">
        <f t="shared" si="20"/>
        <v>0</v>
      </c>
      <c r="Z90" s="26">
        <f t="shared" si="21"/>
        <v>0</v>
      </c>
      <c r="AA90" s="26">
        <f t="shared" si="22"/>
        <v>0</v>
      </c>
      <c r="AB90" s="26">
        <f t="shared" si="23"/>
        <v>0</v>
      </c>
      <c r="AC90" s="26" t="e">
        <f t="shared" si="8"/>
        <v>#DIV/0!</v>
      </c>
      <c r="AD90" s="26" t="e">
        <f t="shared" si="9"/>
        <v>#DIV/0!</v>
      </c>
      <c r="AE90" s="26" t="e">
        <f t="shared" si="10"/>
        <v>#DIV/0!</v>
      </c>
      <c r="AF90" s="26" t="e">
        <f t="shared" si="11"/>
        <v>#DIV/0!</v>
      </c>
      <c r="AG90" s="26" t="e">
        <f t="shared" si="12"/>
        <v>#DIV/0!</v>
      </c>
      <c r="AH90" s="26" t="e">
        <f t="shared" si="13"/>
        <v>#DIV/0!</v>
      </c>
      <c r="AI90" s="26" t="e">
        <f t="shared" si="14"/>
        <v>#DIV/0!</v>
      </c>
    </row>
    <row r="91" spans="1:35" ht="20.100000000000001" hidden="1" customHeight="1">
      <c r="A91" s="24">
        <v>0</v>
      </c>
      <c r="B91" s="26">
        <f>'INTERNAL TEST-1  '!B91</f>
        <v>0</v>
      </c>
      <c r="C91" s="89">
        <f>'INTERNAL TEST-1  '!C91</f>
        <v>0</v>
      </c>
      <c r="D91" s="24"/>
      <c r="E91" s="24"/>
      <c r="F91" s="24"/>
      <c r="G91" s="24"/>
      <c r="H91" s="24"/>
      <c r="I91" s="24"/>
      <c r="J91" s="24"/>
      <c r="K91" s="24"/>
      <c r="L91" s="24"/>
      <c r="M91" s="24"/>
      <c r="N91" s="24"/>
      <c r="O91" s="82"/>
      <c r="P91" s="82"/>
      <c r="Q91" s="24"/>
      <c r="R91" s="24"/>
      <c r="S91" s="24"/>
      <c r="T91" s="24"/>
      <c r="U91" s="26">
        <f t="shared" si="16"/>
        <v>0</v>
      </c>
      <c r="V91" s="26">
        <f t="shared" si="17"/>
        <v>0</v>
      </c>
      <c r="W91" s="26">
        <f t="shared" si="18"/>
        <v>0</v>
      </c>
      <c r="X91" s="26">
        <f t="shared" si="19"/>
        <v>0</v>
      </c>
      <c r="Y91" s="26">
        <f t="shared" si="20"/>
        <v>0</v>
      </c>
      <c r="Z91" s="26">
        <f t="shared" si="21"/>
        <v>0</v>
      </c>
      <c r="AA91" s="26">
        <f t="shared" si="22"/>
        <v>0</v>
      </c>
      <c r="AB91" s="26">
        <f t="shared" si="23"/>
        <v>0</v>
      </c>
      <c r="AC91" s="26" t="e">
        <f t="shared" si="8"/>
        <v>#DIV/0!</v>
      </c>
      <c r="AD91" s="26" t="e">
        <f t="shared" si="9"/>
        <v>#DIV/0!</v>
      </c>
      <c r="AE91" s="26" t="e">
        <f t="shared" si="10"/>
        <v>#DIV/0!</v>
      </c>
      <c r="AF91" s="26" t="e">
        <f t="shared" si="11"/>
        <v>#DIV/0!</v>
      </c>
      <c r="AG91" s="26" t="e">
        <f t="shared" si="12"/>
        <v>#DIV/0!</v>
      </c>
      <c r="AH91" s="26" t="e">
        <f t="shared" si="13"/>
        <v>#DIV/0!</v>
      </c>
      <c r="AI91" s="26" t="e">
        <f t="shared" si="14"/>
        <v>#DIV/0!</v>
      </c>
    </row>
    <row r="92" spans="1:35" ht="20.100000000000001" hidden="1" customHeight="1">
      <c r="A92" s="24">
        <v>0</v>
      </c>
      <c r="B92" s="26">
        <f>'INTERNAL TEST-1  '!B92</f>
        <v>0</v>
      </c>
      <c r="C92" s="89">
        <f>'INTERNAL TEST-1  '!C92</f>
        <v>0</v>
      </c>
      <c r="D92" s="24"/>
      <c r="E92" s="24"/>
      <c r="F92" s="24"/>
      <c r="G92" s="24"/>
      <c r="H92" s="24"/>
      <c r="I92" s="24"/>
      <c r="J92" s="24"/>
      <c r="K92" s="24"/>
      <c r="L92" s="24"/>
      <c r="M92" s="24"/>
      <c r="N92" s="24"/>
      <c r="O92" s="82"/>
      <c r="P92" s="82"/>
      <c r="Q92" s="24"/>
      <c r="R92" s="24"/>
      <c r="S92" s="24"/>
      <c r="T92" s="24"/>
      <c r="U92" s="26">
        <f t="shared" si="16"/>
        <v>0</v>
      </c>
      <c r="V92" s="26">
        <f t="shared" si="17"/>
        <v>0</v>
      </c>
      <c r="W92" s="26">
        <f t="shared" si="18"/>
        <v>0</v>
      </c>
      <c r="X92" s="26">
        <f t="shared" si="19"/>
        <v>0</v>
      </c>
      <c r="Y92" s="26">
        <f t="shared" si="20"/>
        <v>0</v>
      </c>
      <c r="Z92" s="26">
        <f t="shared" si="21"/>
        <v>0</v>
      </c>
      <c r="AA92" s="26">
        <f t="shared" si="22"/>
        <v>0</v>
      </c>
      <c r="AB92" s="26">
        <f t="shared" si="23"/>
        <v>0</v>
      </c>
      <c r="AC92" s="26" t="e">
        <f t="shared" si="8"/>
        <v>#DIV/0!</v>
      </c>
      <c r="AD92" s="26" t="e">
        <f t="shared" si="9"/>
        <v>#DIV/0!</v>
      </c>
      <c r="AE92" s="26" t="e">
        <f t="shared" si="10"/>
        <v>#DIV/0!</v>
      </c>
      <c r="AF92" s="26" t="e">
        <f t="shared" si="11"/>
        <v>#DIV/0!</v>
      </c>
      <c r="AG92" s="26" t="e">
        <f t="shared" si="12"/>
        <v>#DIV/0!</v>
      </c>
      <c r="AH92" s="26" t="e">
        <f t="shared" si="13"/>
        <v>#DIV/0!</v>
      </c>
      <c r="AI92" s="26" t="e">
        <f t="shared" si="14"/>
        <v>#DIV/0!</v>
      </c>
    </row>
    <row r="93" spans="1:35" ht="20.100000000000001" hidden="1" customHeight="1">
      <c r="A93" s="24">
        <v>0</v>
      </c>
      <c r="B93" s="26">
        <f>'INTERNAL TEST-1  '!B93</f>
        <v>0</v>
      </c>
      <c r="C93" s="89">
        <f>'INTERNAL TEST-1  '!C93</f>
        <v>0</v>
      </c>
      <c r="D93" s="24"/>
      <c r="E93" s="24"/>
      <c r="F93" s="24"/>
      <c r="G93" s="24"/>
      <c r="H93" s="24"/>
      <c r="I93" s="24"/>
      <c r="J93" s="24"/>
      <c r="K93" s="24"/>
      <c r="L93" s="24"/>
      <c r="M93" s="24"/>
      <c r="N93" s="24"/>
      <c r="O93" s="82"/>
      <c r="P93" s="82"/>
      <c r="Q93" s="24"/>
      <c r="R93" s="24"/>
      <c r="S93" s="24"/>
      <c r="T93" s="24"/>
      <c r="U93" s="26">
        <f t="shared" si="16"/>
        <v>0</v>
      </c>
      <c r="V93" s="26">
        <f t="shared" si="17"/>
        <v>0</v>
      </c>
      <c r="W93" s="26">
        <f t="shared" si="18"/>
        <v>0</v>
      </c>
      <c r="X93" s="26">
        <f t="shared" si="19"/>
        <v>0</v>
      </c>
      <c r="Y93" s="26">
        <f t="shared" si="20"/>
        <v>0</v>
      </c>
      <c r="Z93" s="26">
        <f t="shared" si="21"/>
        <v>0</v>
      </c>
      <c r="AA93" s="26">
        <f t="shared" si="22"/>
        <v>0</v>
      </c>
      <c r="AB93" s="26">
        <f t="shared" si="23"/>
        <v>0</v>
      </c>
      <c r="AC93" s="26" t="e">
        <f t="shared" si="8"/>
        <v>#DIV/0!</v>
      </c>
      <c r="AD93" s="26" t="e">
        <f t="shared" si="9"/>
        <v>#DIV/0!</v>
      </c>
      <c r="AE93" s="26" t="e">
        <f t="shared" si="10"/>
        <v>#DIV/0!</v>
      </c>
      <c r="AF93" s="26" t="e">
        <f t="shared" si="11"/>
        <v>#DIV/0!</v>
      </c>
      <c r="AG93" s="26" t="e">
        <f t="shared" si="12"/>
        <v>#DIV/0!</v>
      </c>
      <c r="AH93" s="26" t="e">
        <f t="shared" si="13"/>
        <v>#DIV/0!</v>
      </c>
      <c r="AI93" s="26" t="e">
        <f t="shared" si="14"/>
        <v>#DIV/0!</v>
      </c>
    </row>
    <row r="94" spans="1:35" ht="20.100000000000001" hidden="1" customHeight="1">
      <c r="A94" s="24">
        <v>0</v>
      </c>
      <c r="B94" s="26">
        <f>'INTERNAL TEST-1  '!B94</f>
        <v>0</v>
      </c>
      <c r="C94" s="89">
        <f>'INTERNAL TEST-1  '!C94</f>
        <v>0</v>
      </c>
      <c r="D94" s="24"/>
      <c r="E94" s="24"/>
      <c r="F94" s="24"/>
      <c r="G94" s="24"/>
      <c r="H94" s="24"/>
      <c r="I94" s="24"/>
      <c r="J94" s="24"/>
      <c r="K94" s="24"/>
      <c r="L94" s="24"/>
      <c r="M94" s="24"/>
      <c r="N94" s="24"/>
      <c r="O94" s="82"/>
      <c r="P94" s="82"/>
      <c r="Q94" s="24"/>
      <c r="R94" s="24"/>
      <c r="S94" s="24"/>
      <c r="T94" s="24"/>
      <c r="U94" s="26">
        <f t="shared" si="16"/>
        <v>0</v>
      </c>
      <c r="V94" s="26">
        <f t="shared" si="17"/>
        <v>0</v>
      </c>
      <c r="W94" s="26">
        <f t="shared" si="18"/>
        <v>0</v>
      </c>
      <c r="X94" s="26">
        <f t="shared" si="19"/>
        <v>0</v>
      </c>
      <c r="Y94" s="26">
        <f t="shared" si="20"/>
        <v>0</v>
      </c>
      <c r="Z94" s="26">
        <f t="shared" si="21"/>
        <v>0</v>
      </c>
      <c r="AA94" s="26">
        <f t="shared" si="22"/>
        <v>0</v>
      </c>
      <c r="AB94" s="26">
        <f t="shared" si="23"/>
        <v>0</v>
      </c>
      <c r="AC94" s="26" t="e">
        <f t="shared" si="8"/>
        <v>#DIV/0!</v>
      </c>
      <c r="AD94" s="26" t="e">
        <f t="shared" si="9"/>
        <v>#DIV/0!</v>
      </c>
      <c r="AE94" s="26" t="e">
        <f t="shared" si="10"/>
        <v>#DIV/0!</v>
      </c>
      <c r="AF94" s="26" t="e">
        <f t="shared" si="11"/>
        <v>#DIV/0!</v>
      </c>
      <c r="AG94" s="26" t="e">
        <f t="shared" si="12"/>
        <v>#DIV/0!</v>
      </c>
      <c r="AH94" s="26" t="e">
        <f t="shared" si="13"/>
        <v>#DIV/0!</v>
      </c>
      <c r="AI94" s="26" t="e">
        <f t="shared" si="14"/>
        <v>#DIV/0!</v>
      </c>
    </row>
    <row r="95" spans="1:35" ht="20.100000000000001" hidden="1" customHeight="1">
      <c r="A95" s="24">
        <v>0</v>
      </c>
      <c r="B95" s="26">
        <f>'INTERNAL TEST-1  '!B95</f>
        <v>0</v>
      </c>
      <c r="C95" s="89">
        <f>'INTERNAL TEST-1  '!C95</f>
        <v>0</v>
      </c>
      <c r="D95" s="24"/>
      <c r="E95" s="24"/>
      <c r="F95" s="24"/>
      <c r="G95" s="24"/>
      <c r="H95" s="24"/>
      <c r="I95" s="24"/>
      <c r="J95" s="24"/>
      <c r="K95" s="24"/>
      <c r="L95" s="24"/>
      <c r="M95" s="24"/>
      <c r="N95" s="24"/>
      <c r="O95" s="82"/>
      <c r="P95" s="82"/>
      <c r="Q95" s="24"/>
      <c r="R95" s="24"/>
      <c r="S95" s="24"/>
      <c r="T95" s="24"/>
      <c r="U95" s="26">
        <f t="shared" si="16"/>
        <v>0</v>
      </c>
      <c r="V95" s="26">
        <f t="shared" si="17"/>
        <v>0</v>
      </c>
      <c r="W95" s="26">
        <f t="shared" si="18"/>
        <v>0</v>
      </c>
      <c r="X95" s="26">
        <f t="shared" si="19"/>
        <v>0</v>
      </c>
      <c r="Y95" s="26">
        <f t="shared" si="20"/>
        <v>0</v>
      </c>
      <c r="Z95" s="26">
        <f t="shared" si="21"/>
        <v>0</v>
      </c>
      <c r="AA95" s="26">
        <f t="shared" si="22"/>
        <v>0</v>
      </c>
      <c r="AB95" s="26">
        <f t="shared" si="23"/>
        <v>0</v>
      </c>
      <c r="AC95" s="26" t="e">
        <f t="shared" si="8"/>
        <v>#DIV/0!</v>
      </c>
      <c r="AD95" s="26" t="e">
        <f t="shared" si="9"/>
        <v>#DIV/0!</v>
      </c>
      <c r="AE95" s="26" t="e">
        <f t="shared" si="10"/>
        <v>#DIV/0!</v>
      </c>
      <c r="AF95" s="26" t="e">
        <f t="shared" si="11"/>
        <v>#DIV/0!</v>
      </c>
      <c r="AG95" s="26" t="e">
        <f t="shared" si="12"/>
        <v>#DIV/0!</v>
      </c>
      <c r="AH95" s="26" t="e">
        <f t="shared" si="13"/>
        <v>#DIV/0!</v>
      </c>
      <c r="AI95" s="26" t="e">
        <f t="shared" si="14"/>
        <v>#DIV/0!</v>
      </c>
    </row>
    <row r="96" spans="1:35" ht="20.100000000000001" hidden="1" customHeight="1">
      <c r="A96" s="24">
        <v>0</v>
      </c>
      <c r="B96" s="26">
        <f>'INTERNAL TEST-1  '!B96</f>
        <v>0</v>
      </c>
      <c r="C96" s="89">
        <f>'INTERNAL TEST-1  '!C96</f>
        <v>0</v>
      </c>
      <c r="D96" s="24"/>
      <c r="E96" s="24"/>
      <c r="F96" s="24"/>
      <c r="G96" s="24"/>
      <c r="H96" s="24"/>
      <c r="I96" s="24"/>
      <c r="J96" s="24"/>
      <c r="K96" s="24"/>
      <c r="L96" s="24"/>
      <c r="M96" s="24"/>
      <c r="N96" s="24"/>
      <c r="O96" s="82"/>
      <c r="P96" s="82"/>
      <c r="Q96" s="24"/>
      <c r="R96" s="24"/>
      <c r="S96" s="24"/>
      <c r="T96" s="24"/>
      <c r="U96" s="26">
        <f t="shared" si="16"/>
        <v>0</v>
      </c>
      <c r="V96" s="26">
        <f t="shared" si="17"/>
        <v>0</v>
      </c>
      <c r="W96" s="26">
        <f t="shared" si="18"/>
        <v>0</v>
      </c>
      <c r="X96" s="26">
        <f t="shared" si="19"/>
        <v>0</v>
      </c>
      <c r="Y96" s="26">
        <f t="shared" si="20"/>
        <v>0</v>
      </c>
      <c r="Z96" s="26">
        <f t="shared" si="21"/>
        <v>0</v>
      </c>
      <c r="AA96" s="26">
        <f t="shared" si="22"/>
        <v>0</v>
      </c>
      <c r="AB96" s="26">
        <f t="shared" si="23"/>
        <v>0</v>
      </c>
      <c r="AC96" s="26" t="e">
        <f t="shared" si="8"/>
        <v>#DIV/0!</v>
      </c>
      <c r="AD96" s="26" t="e">
        <f t="shared" si="9"/>
        <v>#DIV/0!</v>
      </c>
      <c r="AE96" s="26" t="e">
        <f t="shared" si="10"/>
        <v>#DIV/0!</v>
      </c>
      <c r="AF96" s="26" t="e">
        <f t="shared" si="11"/>
        <v>#DIV/0!</v>
      </c>
      <c r="AG96" s="26" t="e">
        <f t="shared" si="12"/>
        <v>#DIV/0!</v>
      </c>
      <c r="AH96" s="26" t="e">
        <f t="shared" si="13"/>
        <v>#DIV/0!</v>
      </c>
      <c r="AI96" s="26" t="e">
        <f t="shared" si="14"/>
        <v>#DIV/0!</v>
      </c>
    </row>
    <row r="97" spans="1:35" ht="20.100000000000001" hidden="1" customHeight="1">
      <c r="A97" s="24">
        <v>0</v>
      </c>
      <c r="B97" s="26">
        <f>'INTERNAL TEST-1  '!B97</f>
        <v>0</v>
      </c>
      <c r="C97" s="89">
        <f>'INTERNAL TEST-1  '!C97</f>
        <v>0</v>
      </c>
      <c r="D97" s="24"/>
      <c r="E97" s="24"/>
      <c r="F97" s="24"/>
      <c r="G97" s="24"/>
      <c r="H97" s="24"/>
      <c r="I97" s="24"/>
      <c r="J97" s="24"/>
      <c r="K97" s="24"/>
      <c r="L97" s="24"/>
      <c r="M97" s="24"/>
      <c r="N97" s="24"/>
      <c r="O97" s="82"/>
      <c r="P97" s="82"/>
      <c r="Q97" s="24"/>
      <c r="R97" s="24"/>
      <c r="S97" s="24"/>
      <c r="T97" s="24"/>
      <c r="U97" s="26">
        <f t="shared" si="16"/>
        <v>0</v>
      </c>
      <c r="V97" s="26">
        <f t="shared" si="17"/>
        <v>0</v>
      </c>
      <c r="W97" s="26">
        <f t="shared" si="18"/>
        <v>0</v>
      </c>
      <c r="X97" s="26">
        <f t="shared" si="19"/>
        <v>0</v>
      </c>
      <c r="Y97" s="26">
        <f t="shared" si="20"/>
        <v>0</v>
      </c>
      <c r="Z97" s="26">
        <f t="shared" si="21"/>
        <v>0</v>
      </c>
      <c r="AA97" s="26">
        <f t="shared" si="22"/>
        <v>0</v>
      </c>
      <c r="AB97" s="26">
        <f t="shared" si="23"/>
        <v>0</v>
      </c>
      <c r="AC97" s="26" t="e">
        <f t="shared" si="8"/>
        <v>#DIV/0!</v>
      </c>
      <c r="AD97" s="26" t="e">
        <f t="shared" si="9"/>
        <v>#DIV/0!</v>
      </c>
      <c r="AE97" s="26" t="e">
        <f t="shared" si="10"/>
        <v>#DIV/0!</v>
      </c>
      <c r="AF97" s="26" t="e">
        <f t="shared" si="11"/>
        <v>#DIV/0!</v>
      </c>
      <c r="AG97" s="26" t="e">
        <f t="shared" si="12"/>
        <v>#DIV/0!</v>
      </c>
      <c r="AH97" s="26" t="e">
        <f t="shared" si="13"/>
        <v>#DIV/0!</v>
      </c>
      <c r="AI97" s="26" t="e">
        <f t="shared" si="14"/>
        <v>#DIV/0!</v>
      </c>
    </row>
    <row r="98" spans="1:35" ht="20.100000000000001" hidden="1" customHeight="1">
      <c r="A98" s="24">
        <v>0</v>
      </c>
      <c r="B98" s="26">
        <f>'INTERNAL TEST-1  '!B98</f>
        <v>0</v>
      </c>
      <c r="C98" s="89">
        <f>'INTERNAL TEST-1  '!C98</f>
        <v>0</v>
      </c>
      <c r="D98" s="24"/>
      <c r="E98" s="24"/>
      <c r="F98" s="24"/>
      <c r="G98" s="24"/>
      <c r="H98" s="24"/>
      <c r="I98" s="24"/>
      <c r="J98" s="24"/>
      <c r="K98" s="24"/>
      <c r="L98" s="24"/>
      <c r="M98" s="24"/>
      <c r="N98" s="24"/>
      <c r="O98" s="82"/>
      <c r="P98" s="82"/>
      <c r="Q98" s="24"/>
      <c r="R98" s="24"/>
      <c r="S98" s="24"/>
      <c r="T98" s="24"/>
      <c r="U98" s="26">
        <f t="shared" si="16"/>
        <v>0</v>
      </c>
      <c r="V98" s="26">
        <f t="shared" si="17"/>
        <v>0</v>
      </c>
      <c r="W98" s="26">
        <f t="shared" si="18"/>
        <v>0</v>
      </c>
      <c r="X98" s="26">
        <f t="shared" si="19"/>
        <v>0</v>
      </c>
      <c r="Y98" s="26">
        <f t="shared" si="20"/>
        <v>0</v>
      </c>
      <c r="Z98" s="26">
        <f t="shared" si="21"/>
        <v>0</v>
      </c>
      <c r="AA98" s="26">
        <f t="shared" si="22"/>
        <v>0</v>
      </c>
      <c r="AB98" s="26">
        <f t="shared" si="23"/>
        <v>0</v>
      </c>
      <c r="AC98" s="26" t="e">
        <f t="shared" si="8"/>
        <v>#DIV/0!</v>
      </c>
      <c r="AD98" s="26" t="e">
        <f t="shared" si="9"/>
        <v>#DIV/0!</v>
      </c>
      <c r="AE98" s="26" t="e">
        <f t="shared" si="10"/>
        <v>#DIV/0!</v>
      </c>
      <c r="AF98" s="26" t="e">
        <f t="shared" si="11"/>
        <v>#DIV/0!</v>
      </c>
      <c r="AG98" s="26" t="e">
        <f t="shared" si="12"/>
        <v>#DIV/0!</v>
      </c>
      <c r="AH98" s="26" t="e">
        <f t="shared" si="13"/>
        <v>#DIV/0!</v>
      </c>
      <c r="AI98" s="26" t="e">
        <f t="shared" si="14"/>
        <v>#DIV/0!</v>
      </c>
    </row>
    <row r="99" spans="1:35" ht="20.100000000000001" hidden="1" customHeight="1">
      <c r="A99" s="24">
        <v>0</v>
      </c>
      <c r="B99" s="26">
        <f>'INTERNAL TEST-1  '!B99</f>
        <v>0</v>
      </c>
      <c r="C99" s="89">
        <f>'INTERNAL TEST-1  '!C99</f>
        <v>0</v>
      </c>
      <c r="D99" s="24"/>
      <c r="E99" s="24"/>
      <c r="F99" s="24"/>
      <c r="G99" s="24"/>
      <c r="H99" s="24"/>
      <c r="I99" s="24"/>
      <c r="J99" s="24"/>
      <c r="K99" s="24"/>
      <c r="L99" s="24"/>
      <c r="M99" s="24"/>
      <c r="N99" s="24"/>
      <c r="O99" s="82"/>
      <c r="P99" s="82"/>
      <c r="Q99" s="24"/>
      <c r="R99" s="24"/>
      <c r="S99" s="24"/>
      <c r="T99" s="24"/>
      <c r="U99" s="26">
        <f t="shared" si="16"/>
        <v>0</v>
      </c>
      <c r="V99" s="26">
        <f t="shared" si="17"/>
        <v>0</v>
      </c>
      <c r="W99" s="26">
        <f t="shared" si="18"/>
        <v>0</v>
      </c>
      <c r="X99" s="26">
        <f t="shared" si="19"/>
        <v>0</v>
      </c>
      <c r="Y99" s="26">
        <f t="shared" si="20"/>
        <v>0</v>
      </c>
      <c r="Z99" s="26">
        <f t="shared" si="21"/>
        <v>0</v>
      </c>
      <c r="AA99" s="26">
        <f t="shared" si="22"/>
        <v>0</v>
      </c>
      <c r="AB99" s="26">
        <f t="shared" si="23"/>
        <v>0</v>
      </c>
      <c r="AC99" s="26" t="e">
        <f t="shared" si="8"/>
        <v>#DIV/0!</v>
      </c>
      <c r="AD99" s="26" t="e">
        <f t="shared" si="9"/>
        <v>#DIV/0!</v>
      </c>
      <c r="AE99" s="26" t="e">
        <f t="shared" si="10"/>
        <v>#DIV/0!</v>
      </c>
      <c r="AF99" s="26" t="e">
        <f t="shared" si="11"/>
        <v>#DIV/0!</v>
      </c>
      <c r="AG99" s="26" t="e">
        <f t="shared" si="12"/>
        <v>#DIV/0!</v>
      </c>
      <c r="AH99" s="26" t="e">
        <f t="shared" si="13"/>
        <v>#DIV/0!</v>
      </c>
      <c r="AI99" s="26" t="e">
        <f t="shared" si="14"/>
        <v>#DIV/0!</v>
      </c>
    </row>
    <row r="100" spans="1:35" ht="20.100000000000001" hidden="1" customHeight="1">
      <c r="A100" s="24">
        <v>0</v>
      </c>
      <c r="B100" s="26">
        <f>'INTERNAL TEST-1  '!B100</f>
        <v>0</v>
      </c>
      <c r="C100" s="89">
        <f>'INTERNAL TEST-1  '!C100</f>
        <v>0</v>
      </c>
      <c r="D100" s="24"/>
      <c r="E100" s="24"/>
      <c r="F100" s="24"/>
      <c r="G100" s="24"/>
      <c r="H100" s="24"/>
      <c r="I100" s="24"/>
      <c r="J100" s="24"/>
      <c r="K100" s="24"/>
      <c r="L100" s="24"/>
      <c r="M100" s="24"/>
      <c r="N100" s="24"/>
      <c r="O100" s="82"/>
      <c r="P100" s="82"/>
      <c r="Q100" s="24"/>
      <c r="R100" s="24"/>
      <c r="S100" s="24"/>
      <c r="T100" s="24"/>
      <c r="U100" s="26">
        <f t="shared" si="16"/>
        <v>0</v>
      </c>
      <c r="V100" s="26">
        <f t="shared" si="17"/>
        <v>0</v>
      </c>
      <c r="W100" s="26">
        <f t="shared" si="18"/>
        <v>0</v>
      </c>
      <c r="X100" s="26">
        <f t="shared" si="19"/>
        <v>0</v>
      </c>
      <c r="Y100" s="26">
        <f t="shared" si="20"/>
        <v>0</v>
      </c>
      <c r="Z100" s="26">
        <f t="shared" si="21"/>
        <v>0</v>
      </c>
      <c r="AA100" s="26">
        <f t="shared" si="22"/>
        <v>0</v>
      </c>
      <c r="AB100" s="26">
        <f t="shared" si="23"/>
        <v>0</v>
      </c>
      <c r="AC100" s="26" t="e">
        <f t="shared" si="8"/>
        <v>#DIV/0!</v>
      </c>
      <c r="AD100" s="26" t="e">
        <f t="shared" si="9"/>
        <v>#DIV/0!</v>
      </c>
      <c r="AE100" s="26" t="e">
        <f t="shared" si="10"/>
        <v>#DIV/0!</v>
      </c>
      <c r="AF100" s="26" t="e">
        <f t="shared" si="11"/>
        <v>#DIV/0!</v>
      </c>
      <c r="AG100" s="26" t="e">
        <f t="shared" si="12"/>
        <v>#DIV/0!</v>
      </c>
      <c r="AH100" s="26" t="e">
        <f t="shared" si="13"/>
        <v>#DIV/0!</v>
      </c>
      <c r="AI100" s="26" t="e">
        <f t="shared" si="14"/>
        <v>#DIV/0!</v>
      </c>
    </row>
    <row r="101" spans="1:35" ht="20.100000000000001" hidden="1" customHeight="1">
      <c r="A101" s="24">
        <v>0</v>
      </c>
      <c r="B101" s="26">
        <f>'INTERNAL TEST-1  '!B101</f>
        <v>0</v>
      </c>
      <c r="C101" s="89">
        <f>'INTERNAL TEST-1  '!C101</f>
        <v>0</v>
      </c>
      <c r="D101" s="24"/>
      <c r="E101" s="24"/>
      <c r="F101" s="24"/>
      <c r="G101" s="24"/>
      <c r="H101" s="24"/>
      <c r="I101" s="24"/>
      <c r="J101" s="24"/>
      <c r="K101" s="24"/>
      <c r="L101" s="24"/>
      <c r="M101" s="24"/>
      <c r="N101" s="24"/>
      <c r="O101" s="82"/>
      <c r="P101" s="82"/>
      <c r="Q101" s="24"/>
      <c r="R101" s="24"/>
      <c r="S101" s="24"/>
      <c r="T101" s="24"/>
      <c r="U101" s="26">
        <f t="shared" si="16"/>
        <v>0</v>
      </c>
      <c r="V101" s="26">
        <f t="shared" si="17"/>
        <v>0</v>
      </c>
      <c r="W101" s="26">
        <f t="shared" si="18"/>
        <v>0</v>
      </c>
      <c r="X101" s="26">
        <f t="shared" si="19"/>
        <v>0</v>
      </c>
      <c r="Y101" s="26">
        <f t="shared" si="20"/>
        <v>0</v>
      </c>
      <c r="Z101" s="26">
        <f t="shared" si="21"/>
        <v>0</v>
      </c>
      <c r="AA101" s="26">
        <f t="shared" si="22"/>
        <v>0</v>
      </c>
      <c r="AB101" s="26">
        <f t="shared" si="23"/>
        <v>0</v>
      </c>
      <c r="AC101" s="26" t="e">
        <f t="shared" si="8"/>
        <v>#DIV/0!</v>
      </c>
      <c r="AD101" s="26" t="e">
        <f t="shared" si="9"/>
        <v>#DIV/0!</v>
      </c>
      <c r="AE101" s="26" t="e">
        <f t="shared" si="10"/>
        <v>#DIV/0!</v>
      </c>
      <c r="AF101" s="26" t="e">
        <f t="shared" si="11"/>
        <v>#DIV/0!</v>
      </c>
      <c r="AG101" s="26" t="e">
        <f t="shared" si="12"/>
        <v>#DIV/0!</v>
      </c>
      <c r="AH101" s="26" t="e">
        <f t="shared" si="13"/>
        <v>#DIV/0!</v>
      </c>
      <c r="AI101" s="26" t="e">
        <f t="shared" si="14"/>
        <v>#DIV/0!</v>
      </c>
    </row>
    <row r="102" spans="1:35" ht="20.100000000000001" hidden="1" customHeight="1">
      <c r="A102" s="24">
        <v>0</v>
      </c>
      <c r="B102" s="26">
        <f>'INTERNAL TEST-1  '!B102</f>
        <v>0</v>
      </c>
      <c r="C102" s="89">
        <f>'INTERNAL TEST-1  '!C102</f>
        <v>0</v>
      </c>
      <c r="D102" s="24"/>
      <c r="E102" s="24"/>
      <c r="F102" s="24"/>
      <c r="G102" s="24"/>
      <c r="H102" s="24"/>
      <c r="I102" s="24"/>
      <c r="J102" s="24"/>
      <c r="K102" s="24"/>
      <c r="L102" s="24"/>
      <c r="M102" s="24"/>
      <c r="N102" s="24"/>
      <c r="O102" s="82"/>
      <c r="P102" s="82"/>
      <c r="Q102" s="24"/>
      <c r="R102" s="24"/>
      <c r="S102" s="24"/>
      <c r="T102" s="24"/>
      <c r="U102" s="26">
        <f t="shared" si="16"/>
        <v>0</v>
      </c>
      <c r="V102" s="26">
        <f t="shared" si="17"/>
        <v>0</v>
      </c>
      <c r="W102" s="26">
        <f t="shared" si="18"/>
        <v>0</v>
      </c>
      <c r="X102" s="26">
        <f t="shared" si="19"/>
        <v>0</v>
      </c>
      <c r="Y102" s="26">
        <f t="shared" si="20"/>
        <v>0</v>
      </c>
      <c r="Z102" s="26">
        <f t="shared" si="21"/>
        <v>0</v>
      </c>
      <c r="AA102" s="26">
        <f t="shared" si="22"/>
        <v>0</v>
      </c>
      <c r="AB102" s="26">
        <f t="shared" si="23"/>
        <v>0</v>
      </c>
      <c r="AC102" s="26" t="e">
        <f t="shared" si="8"/>
        <v>#DIV/0!</v>
      </c>
      <c r="AD102" s="26" t="e">
        <f t="shared" si="9"/>
        <v>#DIV/0!</v>
      </c>
      <c r="AE102" s="26" t="e">
        <f t="shared" si="10"/>
        <v>#DIV/0!</v>
      </c>
      <c r="AF102" s="26" t="e">
        <f t="shared" si="11"/>
        <v>#DIV/0!</v>
      </c>
      <c r="AG102" s="26" t="e">
        <f t="shared" si="12"/>
        <v>#DIV/0!</v>
      </c>
      <c r="AH102" s="26" t="e">
        <f t="shared" si="13"/>
        <v>#DIV/0!</v>
      </c>
      <c r="AI102" s="26" t="e">
        <f t="shared" si="14"/>
        <v>#DIV/0!</v>
      </c>
    </row>
    <row r="103" spans="1:35" ht="20.100000000000001" hidden="1" customHeight="1">
      <c r="A103" s="24">
        <v>0</v>
      </c>
      <c r="B103" s="26">
        <f>'INTERNAL TEST-1  '!B103</f>
        <v>0</v>
      </c>
      <c r="C103" s="89">
        <f>'INTERNAL TEST-1  '!C103</f>
        <v>0</v>
      </c>
      <c r="D103" s="24"/>
      <c r="E103" s="24"/>
      <c r="F103" s="24"/>
      <c r="G103" s="24"/>
      <c r="H103" s="24"/>
      <c r="I103" s="24"/>
      <c r="J103" s="24"/>
      <c r="K103" s="24"/>
      <c r="L103" s="24"/>
      <c r="M103" s="24"/>
      <c r="N103" s="24"/>
      <c r="O103" s="82"/>
      <c r="P103" s="82"/>
      <c r="Q103" s="24"/>
      <c r="R103" s="24"/>
      <c r="S103" s="24"/>
      <c r="T103" s="24"/>
      <c r="U103" s="26">
        <f t="shared" si="16"/>
        <v>0</v>
      </c>
      <c r="V103" s="26">
        <f t="shared" si="17"/>
        <v>0</v>
      </c>
      <c r="W103" s="26">
        <f t="shared" si="18"/>
        <v>0</v>
      </c>
      <c r="X103" s="26">
        <f t="shared" si="19"/>
        <v>0</v>
      </c>
      <c r="Y103" s="26">
        <f t="shared" si="20"/>
        <v>0</v>
      </c>
      <c r="Z103" s="26">
        <f t="shared" si="21"/>
        <v>0</v>
      </c>
      <c r="AA103" s="26">
        <f t="shared" si="22"/>
        <v>0</v>
      </c>
      <c r="AB103" s="26">
        <f t="shared" si="23"/>
        <v>0</v>
      </c>
      <c r="AC103" s="26" t="e">
        <f t="shared" si="8"/>
        <v>#DIV/0!</v>
      </c>
      <c r="AD103" s="26" t="e">
        <f t="shared" si="9"/>
        <v>#DIV/0!</v>
      </c>
      <c r="AE103" s="26" t="e">
        <f t="shared" si="10"/>
        <v>#DIV/0!</v>
      </c>
      <c r="AF103" s="26" t="e">
        <f t="shared" si="11"/>
        <v>#DIV/0!</v>
      </c>
      <c r="AG103" s="26" t="e">
        <f t="shared" si="12"/>
        <v>#DIV/0!</v>
      </c>
      <c r="AH103" s="26" t="e">
        <f t="shared" si="13"/>
        <v>#DIV/0!</v>
      </c>
      <c r="AI103" s="26" t="e">
        <f t="shared" si="14"/>
        <v>#DIV/0!</v>
      </c>
    </row>
    <row r="104" spans="1:35" ht="20.100000000000001" hidden="1" customHeight="1">
      <c r="A104" s="24">
        <v>0</v>
      </c>
      <c r="B104" s="26">
        <f>'INTERNAL TEST-1  '!B104</f>
        <v>0</v>
      </c>
      <c r="C104" s="89">
        <f>'INTERNAL TEST-1  '!C104</f>
        <v>0</v>
      </c>
      <c r="D104" s="24"/>
      <c r="E104" s="24"/>
      <c r="F104" s="24"/>
      <c r="G104" s="24"/>
      <c r="H104" s="24"/>
      <c r="I104" s="24"/>
      <c r="J104" s="24"/>
      <c r="K104" s="24"/>
      <c r="L104" s="24"/>
      <c r="M104" s="24"/>
      <c r="N104" s="24"/>
      <c r="O104" s="82"/>
      <c r="P104" s="82"/>
      <c r="Q104" s="24"/>
      <c r="R104" s="24"/>
      <c r="S104" s="24"/>
      <c r="T104" s="24"/>
      <c r="U104" s="26">
        <f t="shared" si="16"/>
        <v>0</v>
      </c>
      <c r="V104" s="26">
        <f t="shared" si="17"/>
        <v>0</v>
      </c>
      <c r="W104" s="26">
        <f t="shared" si="18"/>
        <v>0</v>
      </c>
      <c r="X104" s="26">
        <f t="shared" si="19"/>
        <v>0</v>
      </c>
      <c r="Y104" s="26">
        <f t="shared" si="20"/>
        <v>0</v>
      </c>
      <c r="Z104" s="26">
        <f t="shared" si="21"/>
        <v>0</v>
      </c>
      <c r="AA104" s="26">
        <f t="shared" si="22"/>
        <v>0</v>
      </c>
      <c r="AB104" s="26">
        <f t="shared" si="23"/>
        <v>0</v>
      </c>
      <c r="AC104" s="26" t="e">
        <f t="shared" si="8"/>
        <v>#DIV/0!</v>
      </c>
      <c r="AD104" s="26" t="e">
        <f t="shared" si="9"/>
        <v>#DIV/0!</v>
      </c>
      <c r="AE104" s="26" t="e">
        <f t="shared" si="10"/>
        <v>#DIV/0!</v>
      </c>
      <c r="AF104" s="26" t="e">
        <f t="shared" si="11"/>
        <v>#DIV/0!</v>
      </c>
      <c r="AG104" s="26" t="e">
        <f t="shared" si="12"/>
        <v>#DIV/0!</v>
      </c>
      <c r="AH104" s="26" t="e">
        <f t="shared" si="13"/>
        <v>#DIV/0!</v>
      </c>
      <c r="AI104" s="26" t="e">
        <f t="shared" si="14"/>
        <v>#DIV/0!</v>
      </c>
    </row>
    <row r="105" spans="1:35" ht="20.100000000000001" hidden="1" customHeight="1">
      <c r="A105" s="24">
        <v>0</v>
      </c>
      <c r="B105" s="26">
        <f>'INTERNAL TEST-1  '!B105</f>
        <v>0</v>
      </c>
      <c r="C105" s="89">
        <f>'INTERNAL TEST-1  '!C105</f>
        <v>0</v>
      </c>
      <c r="D105" s="24"/>
      <c r="E105" s="24"/>
      <c r="F105" s="24"/>
      <c r="G105" s="24"/>
      <c r="H105" s="24"/>
      <c r="I105" s="24"/>
      <c r="J105" s="24"/>
      <c r="K105" s="24"/>
      <c r="L105" s="24"/>
      <c r="M105" s="24"/>
      <c r="N105" s="24"/>
      <c r="O105" s="82"/>
      <c r="P105" s="82"/>
      <c r="Q105" s="24"/>
      <c r="R105" s="24"/>
      <c r="S105" s="24"/>
      <c r="T105" s="24"/>
      <c r="U105" s="26">
        <f t="shared" si="16"/>
        <v>0</v>
      </c>
      <c r="V105" s="26">
        <f t="shared" si="17"/>
        <v>0</v>
      </c>
      <c r="W105" s="26">
        <f t="shared" si="18"/>
        <v>0</v>
      </c>
      <c r="X105" s="26">
        <f t="shared" si="19"/>
        <v>0</v>
      </c>
      <c r="Y105" s="26">
        <f t="shared" si="20"/>
        <v>0</v>
      </c>
      <c r="Z105" s="26">
        <f t="shared" si="21"/>
        <v>0</v>
      </c>
      <c r="AA105" s="26">
        <f t="shared" si="22"/>
        <v>0</v>
      </c>
      <c r="AB105" s="26">
        <f t="shared" si="23"/>
        <v>0</v>
      </c>
      <c r="AC105" s="26" t="e">
        <f t="shared" si="8"/>
        <v>#DIV/0!</v>
      </c>
      <c r="AD105" s="26" t="e">
        <f t="shared" si="9"/>
        <v>#DIV/0!</v>
      </c>
      <c r="AE105" s="26" t="e">
        <f t="shared" si="10"/>
        <v>#DIV/0!</v>
      </c>
      <c r="AF105" s="26" t="e">
        <f t="shared" si="11"/>
        <v>#DIV/0!</v>
      </c>
      <c r="AG105" s="26" t="e">
        <f t="shared" si="12"/>
        <v>#DIV/0!</v>
      </c>
      <c r="AH105" s="26" t="e">
        <f t="shared" si="13"/>
        <v>#DIV/0!</v>
      </c>
      <c r="AI105" s="26" t="e">
        <f t="shared" si="14"/>
        <v>#DIV/0!</v>
      </c>
    </row>
    <row r="106" spans="1:35" ht="20.100000000000001" hidden="1" customHeight="1">
      <c r="A106" s="24">
        <v>0</v>
      </c>
      <c r="B106" s="26">
        <f>'INTERNAL TEST-1  '!B106</f>
        <v>0</v>
      </c>
      <c r="C106" s="89">
        <f>'INTERNAL TEST-1  '!C106</f>
        <v>0</v>
      </c>
      <c r="D106" s="24"/>
      <c r="E106" s="24"/>
      <c r="F106" s="24"/>
      <c r="G106" s="24"/>
      <c r="H106" s="24"/>
      <c r="I106" s="24"/>
      <c r="J106" s="24"/>
      <c r="K106" s="24"/>
      <c r="L106" s="24"/>
      <c r="M106" s="24"/>
      <c r="N106" s="24"/>
      <c r="O106" s="82"/>
      <c r="P106" s="82"/>
      <c r="Q106" s="24"/>
      <c r="R106" s="24"/>
      <c r="S106" s="24"/>
      <c r="T106" s="24"/>
      <c r="U106" s="26">
        <f t="shared" si="16"/>
        <v>0</v>
      </c>
      <c r="V106" s="26">
        <f t="shared" si="17"/>
        <v>0</v>
      </c>
      <c r="W106" s="26">
        <f t="shared" si="18"/>
        <v>0</v>
      </c>
      <c r="X106" s="26">
        <f t="shared" si="19"/>
        <v>0</v>
      </c>
      <c r="Y106" s="26">
        <f t="shared" si="20"/>
        <v>0</v>
      </c>
      <c r="Z106" s="26">
        <f t="shared" si="21"/>
        <v>0</v>
      </c>
      <c r="AA106" s="26">
        <f t="shared" si="22"/>
        <v>0</v>
      </c>
      <c r="AB106" s="26">
        <f t="shared" si="23"/>
        <v>0</v>
      </c>
      <c r="AC106" s="26" t="e">
        <f t="shared" si="8"/>
        <v>#DIV/0!</v>
      </c>
      <c r="AD106" s="26" t="e">
        <f t="shared" si="9"/>
        <v>#DIV/0!</v>
      </c>
      <c r="AE106" s="26" t="e">
        <f t="shared" si="10"/>
        <v>#DIV/0!</v>
      </c>
      <c r="AF106" s="26" t="e">
        <f t="shared" si="11"/>
        <v>#DIV/0!</v>
      </c>
      <c r="AG106" s="26" t="e">
        <f t="shared" si="12"/>
        <v>#DIV/0!</v>
      </c>
      <c r="AH106" s="26" t="e">
        <f t="shared" si="13"/>
        <v>#DIV/0!</v>
      </c>
      <c r="AI106" s="26" t="e">
        <f t="shared" si="14"/>
        <v>#DIV/0!</v>
      </c>
    </row>
    <row r="107" spans="1:35" ht="20.100000000000001" hidden="1" customHeight="1">
      <c r="A107" s="24">
        <v>0</v>
      </c>
      <c r="B107" s="26">
        <f>'INTERNAL TEST-1  '!B107</f>
        <v>0</v>
      </c>
      <c r="C107" s="89">
        <f>'INTERNAL TEST-1  '!C107</f>
        <v>0</v>
      </c>
      <c r="D107" s="24"/>
      <c r="E107" s="24"/>
      <c r="F107" s="24"/>
      <c r="G107" s="24"/>
      <c r="H107" s="24"/>
      <c r="I107" s="24"/>
      <c r="J107" s="24"/>
      <c r="K107" s="24"/>
      <c r="L107" s="24"/>
      <c r="M107" s="24"/>
      <c r="N107" s="24"/>
      <c r="O107" s="82"/>
      <c r="P107" s="82"/>
      <c r="Q107" s="24"/>
      <c r="R107" s="24"/>
      <c r="S107" s="24"/>
      <c r="T107" s="24"/>
      <c r="U107" s="26">
        <f t="shared" si="16"/>
        <v>0</v>
      </c>
      <c r="V107" s="26">
        <f t="shared" si="17"/>
        <v>0</v>
      </c>
      <c r="W107" s="26">
        <f t="shared" si="18"/>
        <v>0</v>
      </c>
      <c r="X107" s="26">
        <f t="shared" si="19"/>
        <v>0</v>
      </c>
      <c r="Y107" s="26">
        <f t="shared" si="20"/>
        <v>0</v>
      </c>
      <c r="Z107" s="26">
        <f t="shared" si="21"/>
        <v>0</v>
      </c>
      <c r="AA107" s="26">
        <f t="shared" si="22"/>
        <v>0</v>
      </c>
      <c r="AB107" s="26">
        <f t="shared" si="23"/>
        <v>0</v>
      </c>
      <c r="AC107" s="26" t="e">
        <f t="shared" si="8"/>
        <v>#DIV/0!</v>
      </c>
      <c r="AD107" s="26" t="e">
        <f t="shared" si="9"/>
        <v>#DIV/0!</v>
      </c>
      <c r="AE107" s="26" t="e">
        <f t="shared" si="10"/>
        <v>#DIV/0!</v>
      </c>
      <c r="AF107" s="26" t="e">
        <f t="shared" si="11"/>
        <v>#DIV/0!</v>
      </c>
      <c r="AG107" s="26" t="e">
        <f t="shared" si="12"/>
        <v>#DIV/0!</v>
      </c>
      <c r="AH107" s="26" t="e">
        <f t="shared" si="13"/>
        <v>#DIV/0!</v>
      </c>
      <c r="AI107" s="26" t="e">
        <f t="shared" si="14"/>
        <v>#DIV/0!</v>
      </c>
    </row>
    <row r="108" spans="1:35" ht="20.100000000000001" hidden="1" customHeight="1">
      <c r="A108" s="24">
        <v>0</v>
      </c>
      <c r="B108" s="26">
        <f>'INTERNAL TEST-1  '!B108</f>
        <v>0</v>
      </c>
      <c r="C108" s="89">
        <f>'INTERNAL TEST-1  '!C108</f>
        <v>0</v>
      </c>
      <c r="D108" s="24"/>
      <c r="E108" s="24"/>
      <c r="F108" s="24"/>
      <c r="G108" s="24"/>
      <c r="H108" s="24"/>
      <c r="I108" s="24"/>
      <c r="J108" s="24"/>
      <c r="K108" s="24"/>
      <c r="L108" s="24"/>
      <c r="M108" s="24"/>
      <c r="N108" s="24"/>
      <c r="O108" s="82"/>
      <c r="P108" s="82"/>
      <c r="Q108" s="24"/>
      <c r="R108" s="24"/>
      <c r="S108" s="24"/>
      <c r="T108" s="24"/>
      <c r="U108" s="26">
        <f t="shared" si="16"/>
        <v>0</v>
      </c>
      <c r="V108" s="26">
        <f t="shared" si="17"/>
        <v>0</v>
      </c>
      <c r="W108" s="26">
        <f t="shared" si="18"/>
        <v>0</v>
      </c>
      <c r="X108" s="26">
        <f t="shared" si="19"/>
        <v>0</v>
      </c>
      <c r="Y108" s="26">
        <f t="shared" si="20"/>
        <v>0</v>
      </c>
      <c r="Z108" s="26">
        <f t="shared" si="21"/>
        <v>0</v>
      </c>
      <c r="AA108" s="26">
        <f t="shared" si="22"/>
        <v>0</v>
      </c>
      <c r="AB108" s="26">
        <f t="shared" si="23"/>
        <v>0</v>
      </c>
      <c r="AC108" s="26" t="e">
        <f t="shared" si="8"/>
        <v>#DIV/0!</v>
      </c>
      <c r="AD108" s="26" t="e">
        <f t="shared" si="9"/>
        <v>#DIV/0!</v>
      </c>
      <c r="AE108" s="26" t="e">
        <f t="shared" si="10"/>
        <v>#DIV/0!</v>
      </c>
      <c r="AF108" s="26" t="e">
        <f t="shared" si="11"/>
        <v>#DIV/0!</v>
      </c>
      <c r="AG108" s="26" t="e">
        <f t="shared" si="12"/>
        <v>#DIV/0!</v>
      </c>
      <c r="AH108" s="26" t="e">
        <f t="shared" si="13"/>
        <v>#DIV/0!</v>
      </c>
      <c r="AI108" s="26" t="e">
        <f t="shared" si="14"/>
        <v>#DIV/0!</v>
      </c>
    </row>
    <row r="109" spans="1:35" ht="20.100000000000001" hidden="1" customHeight="1">
      <c r="A109" s="24">
        <v>0</v>
      </c>
      <c r="B109" s="26">
        <f>'INTERNAL TEST-1  '!B109</f>
        <v>0</v>
      </c>
      <c r="C109" s="89">
        <f>'INTERNAL TEST-1  '!C109</f>
        <v>0</v>
      </c>
      <c r="D109" s="24"/>
      <c r="E109" s="24"/>
      <c r="F109" s="24"/>
      <c r="G109" s="24"/>
      <c r="H109" s="24"/>
      <c r="I109" s="24"/>
      <c r="J109" s="24"/>
      <c r="K109" s="24"/>
      <c r="L109" s="24"/>
      <c r="M109" s="24"/>
      <c r="N109" s="24"/>
      <c r="O109" s="82"/>
      <c r="P109" s="82"/>
      <c r="Q109" s="24"/>
      <c r="R109" s="24"/>
      <c r="S109" s="24"/>
      <c r="T109" s="24"/>
      <c r="U109" s="26">
        <f t="shared" si="16"/>
        <v>0</v>
      </c>
      <c r="V109" s="26">
        <f t="shared" si="17"/>
        <v>0</v>
      </c>
      <c r="W109" s="26">
        <f t="shared" si="18"/>
        <v>0</v>
      </c>
      <c r="X109" s="26">
        <f t="shared" si="19"/>
        <v>0</v>
      </c>
      <c r="Y109" s="26">
        <f t="shared" si="20"/>
        <v>0</v>
      </c>
      <c r="Z109" s="26">
        <f t="shared" si="21"/>
        <v>0</v>
      </c>
      <c r="AA109" s="26">
        <f t="shared" si="22"/>
        <v>0</v>
      </c>
      <c r="AB109" s="26">
        <f t="shared" si="23"/>
        <v>0</v>
      </c>
      <c r="AC109" s="26" t="e">
        <f t="shared" si="8"/>
        <v>#DIV/0!</v>
      </c>
      <c r="AD109" s="26" t="e">
        <f t="shared" si="9"/>
        <v>#DIV/0!</v>
      </c>
      <c r="AE109" s="26" t="e">
        <f t="shared" si="10"/>
        <v>#DIV/0!</v>
      </c>
      <c r="AF109" s="26" t="e">
        <f t="shared" si="11"/>
        <v>#DIV/0!</v>
      </c>
      <c r="AG109" s="26" t="e">
        <f t="shared" si="12"/>
        <v>#DIV/0!</v>
      </c>
      <c r="AH109" s="26" t="e">
        <f t="shared" si="13"/>
        <v>#DIV/0!</v>
      </c>
      <c r="AI109" s="26" t="e">
        <f t="shared" si="14"/>
        <v>#DIV/0!</v>
      </c>
    </row>
    <row r="110" spans="1:35" ht="20.100000000000001" hidden="1" customHeight="1">
      <c r="A110" s="24">
        <v>0</v>
      </c>
      <c r="B110" s="26">
        <f>'INTERNAL TEST-1  '!B110</f>
        <v>0</v>
      </c>
      <c r="C110" s="89">
        <f>'INTERNAL TEST-1  '!C110</f>
        <v>0</v>
      </c>
      <c r="D110" s="24"/>
      <c r="E110" s="24"/>
      <c r="F110" s="24"/>
      <c r="G110" s="24"/>
      <c r="H110" s="24"/>
      <c r="I110" s="24"/>
      <c r="J110" s="24"/>
      <c r="K110" s="24"/>
      <c r="L110" s="24"/>
      <c r="M110" s="24"/>
      <c r="N110" s="24"/>
      <c r="O110" s="82"/>
      <c r="P110" s="82"/>
      <c r="Q110" s="24"/>
      <c r="R110" s="24"/>
      <c r="S110" s="24"/>
      <c r="T110" s="24"/>
      <c r="U110" s="26">
        <f t="shared" si="16"/>
        <v>0</v>
      </c>
      <c r="V110" s="26">
        <f t="shared" si="17"/>
        <v>0</v>
      </c>
      <c r="W110" s="26">
        <f t="shared" si="18"/>
        <v>0</v>
      </c>
      <c r="X110" s="26">
        <f t="shared" si="19"/>
        <v>0</v>
      </c>
      <c r="Y110" s="26">
        <f t="shared" si="20"/>
        <v>0</v>
      </c>
      <c r="Z110" s="26">
        <f t="shared" si="21"/>
        <v>0</v>
      </c>
      <c r="AA110" s="26">
        <f t="shared" si="22"/>
        <v>0</v>
      </c>
      <c r="AB110" s="26">
        <f t="shared" si="23"/>
        <v>0</v>
      </c>
      <c r="AC110" s="26" t="e">
        <f t="shared" si="8"/>
        <v>#DIV/0!</v>
      </c>
      <c r="AD110" s="26" t="e">
        <f t="shared" si="9"/>
        <v>#DIV/0!</v>
      </c>
      <c r="AE110" s="26" t="e">
        <f t="shared" si="10"/>
        <v>#DIV/0!</v>
      </c>
      <c r="AF110" s="26" t="e">
        <f t="shared" si="11"/>
        <v>#DIV/0!</v>
      </c>
      <c r="AG110" s="26" t="e">
        <f t="shared" si="12"/>
        <v>#DIV/0!</v>
      </c>
      <c r="AH110" s="26" t="e">
        <f t="shared" si="13"/>
        <v>#DIV/0!</v>
      </c>
      <c r="AI110" s="26" t="e">
        <f t="shared" si="14"/>
        <v>#DIV/0!</v>
      </c>
    </row>
    <row r="111" spans="1:35" ht="20.100000000000001" hidden="1" customHeight="1">
      <c r="A111" s="24">
        <v>0</v>
      </c>
      <c r="B111" s="26">
        <f>'INTERNAL TEST-1  '!B111</f>
        <v>0</v>
      </c>
      <c r="C111" s="89">
        <f>'INTERNAL TEST-1  '!C111</f>
        <v>0</v>
      </c>
      <c r="D111" s="24"/>
      <c r="E111" s="24"/>
      <c r="F111" s="24"/>
      <c r="G111" s="24"/>
      <c r="H111" s="24"/>
      <c r="I111" s="24"/>
      <c r="J111" s="24"/>
      <c r="K111" s="24"/>
      <c r="L111" s="24"/>
      <c r="M111" s="24"/>
      <c r="N111" s="24"/>
      <c r="O111" s="82"/>
      <c r="P111" s="82"/>
      <c r="Q111" s="24"/>
      <c r="R111" s="24"/>
      <c r="S111" s="24"/>
      <c r="T111" s="24"/>
      <c r="U111" s="26">
        <f t="shared" si="16"/>
        <v>0</v>
      </c>
      <c r="V111" s="26">
        <f t="shared" si="17"/>
        <v>0</v>
      </c>
      <c r="W111" s="26">
        <f t="shared" si="18"/>
        <v>0</v>
      </c>
      <c r="X111" s="26">
        <f t="shared" si="19"/>
        <v>0</v>
      </c>
      <c r="Y111" s="26">
        <f t="shared" si="20"/>
        <v>0</v>
      </c>
      <c r="Z111" s="26">
        <f t="shared" si="21"/>
        <v>0</v>
      </c>
      <c r="AA111" s="26">
        <f t="shared" si="22"/>
        <v>0</v>
      </c>
      <c r="AB111" s="26">
        <f t="shared" si="23"/>
        <v>0</v>
      </c>
      <c r="AC111" s="26" t="e">
        <f t="shared" si="8"/>
        <v>#DIV/0!</v>
      </c>
      <c r="AD111" s="26" t="e">
        <f t="shared" si="9"/>
        <v>#DIV/0!</v>
      </c>
      <c r="AE111" s="26" t="e">
        <f t="shared" si="10"/>
        <v>#DIV/0!</v>
      </c>
      <c r="AF111" s="26" t="e">
        <f t="shared" si="11"/>
        <v>#DIV/0!</v>
      </c>
      <c r="AG111" s="26" t="e">
        <f t="shared" si="12"/>
        <v>#DIV/0!</v>
      </c>
      <c r="AH111" s="26" t="e">
        <f t="shared" si="13"/>
        <v>#DIV/0!</v>
      </c>
      <c r="AI111" s="26" t="e">
        <f t="shared" si="14"/>
        <v>#DIV/0!</v>
      </c>
    </row>
    <row r="112" spans="1:35" ht="20.100000000000001" hidden="1" customHeight="1">
      <c r="A112" s="24">
        <v>0</v>
      </c>
      <c r="B112" s="26">
        <f>'INTERNAL TEST-1  '!B112</f>
        <v>0</v>
      </c>
      <c r="C112" s="89">
        <f>'INTERNAL TEST-1  '!C112</f>
        <v>0</v>
      </c>
      <c r="D112" s="24"/>
      <c r="E112" s="24"/>
      <c r="F112" s="24"/>
      <c r="G112" s="24"/>
      <c r="H112" s="24"/>
      <c r="I112" s="24"/>
      <c r="J112" s="24"/>
      <c r="K112" s="24"/>
      <c r="L112" s="24"/>
      <c r="M112" s="24"/>
      <c r="N112" s="24"/>
      <c r="O112" s="82"/>
      <c r="P112" s="82"/>
      <c r="Q112" s="24"/>
      <c r="R112" s="24"/>
      <c r="S112" s="24"/>
      <c r="T112" s="24"/>
      <c r="U112" s="26">
        <f t="shared" si="16"/>
        <v>0</v>
      </c>
      <c r="V112" s="26">
        <f t="shared" si="17"/>
        <v>0</v>
      </c>
      <c r="W112" s="26">
        <f t="shared" si="18"/>
        <v>0</v>
      </c>
      <c r="X112" s="26">
        <f t="shared" si="19"/>
        <v>0</v>
      </c>
      <c r="Y112" s="26">
        <f t="shared" si="20"/>
        <v>0</v>
      </c>
      <c r="Z112" s="26">
        <f t="shared" si="21"/>
        <v>0</v>
      </c>
      <c r="AA112" s="26">
        <f t="shared" si="22"/>
        <v>0</v>
      </c>
      <c r="AB112" s="26">
        <f t="shared" si="23"/>
        <v>0</v>
      </c>
      <c r="AC112" s="26" t="e">
        <f t="shared" si="8"/>
        <v>#DIV/0!</v>
      </c>
      <c r="AD112" s="26" t="e">
        <f t="shared" si="9"/>
        <v>#DIV/0!</v>
      </c>
      <c r="AE112" s="26" t="e">
        <f t="shared" si="10"/>
        <v>#DIV/0!</v>
      </c>
      <c r="AF112" s="26" t="e">
        <f t="shared" si="11"/>
        <v>#DIV/0!</v>
      </c>
      <c r="AG112" s="26" t="e">
        <f t="shared" si="12"/>
        <v>#DIV/0!</v>
      </c>
      <c r="AH112" s="26" t="e">
        <f t="shared" si="13"/>
        <v>#DIV/0!</v>
      </c>
      <c r="AI112" s="26" t="e">
        <f t="shared" si="14"/>
        <v>#DIV/0!</v>
      </c>
    </row>
    <row r="113" spans="1:35" ht="20.100000000000001" hidden="1" customHeight="1">
      <c r="A113" s="24">
        <v>0</v>
      </c>
      <c r="B113" s="26">
        <f>'INTERNAL TEST-1  '!B113</f>
        <v>0</v>
      </c>
      <c r="C113" s="89">
        <f>'INTERNAL TEST-1  '!C113</f>
        <v>0</v>
      </c>
      <c r="D113" s="24"/>
      <c r="E113" s="24"/>
      <c r="F113" s="24"/>
      <c r="G113" s="24"/>
      <c r="H113" s="24"/>
      <c r="I113" s="24"/>
      <c r="J113" s="24"/>
      <c r="K113" s="24"/>
      <c r="L113" s="24"/>
      <c r="M113" s="24"/>
      <c r="N113" s="24"/>
      <c r="O113" s="82"/>
      <c r="P113" s="82"/>
      <c r="Q113" s="24"/>
      <c r="R113" s="24"/>
      <c r="S113" s="24"/>
      <c r="T113" s="24"/>
      <c r="U113" s="26">
        <f t="shared" si="16"/>
        <v>0</v>
      </c>
      <c r="V113" s="26">
        <f t="shared" si="17"/>
        <v>0</v>
      </c>
      <c r="W113" s="26">
        <f t="shared" si="18"/>
        <v>0</v>
      </c>
      <c r="X113" s="26">
        <f t="shared" si="19"/>
        <v>0</v>
      </c>
      <c r="Y113" s="26">
        <f t="shared" si="20"/>
        <v>0</v>
      </c>
      <c r="Z113" s="26">
        <f t="shared" si="21"/>
        <v>0</v>
      </c>
      <c r="AA113" s="26">
        <f t="shared" si="22"/>
        <v>0</v>
      </c>
      <c r="AB113" s="26">
        <f t="shared" si="23"/>
        <v>0</v>
      </c>
      <c r="AC113" s="26" t="e">
        <f t="shared" si="8"/>
        <v>#DIV/0!</v>
      </c>
      <c r="AD113" s="26" t="e">
        <f t="shared" si="9"/>
        <v>#DIV/0!</v>
      </c>
      <c r="AE113" s="26" t="e">
        <f t="shared" si="10"/>
        <v>#DIV/0!</v>
      </c>
      <c r="AF113" s="26" t="e">
        <f t="shared" si="11"/>
        <v>#DIV/0!</v>
      </c>
      <c r="AG113" s="26" t="e">
        <f t="shared" si="12"/>
        <v>#DIV/0!</v>
      </c>
      <c r="AH113" s="26" t="e">
        <f t="shared" si="13"/>
        <v>#DIV/0!</v>
      </c>
      <c r="AI113" s="26" t="e">
        <f t="shared" si="14"/>
        <v>#DIV/0!</v>
      </c>
    </row>
    <row r="114" spans="1:35" ht="20.100000000000001" hidden="1" customHeight="1">
      <c r="A114" s="24">
        <v>0</v>
      </c>
      <c r="B114" s="26">
        <f>'INTERNAL TEST-1  '!B114</f>
        <v>0</v>
      </c>
      <c r="C114" s="89">
        <f>'INTERNAL TEST-1  '!C114</f>
        <v>0</v>
      </c>
      <c r="D114" s="24"/>
      <c r="E114" s="24"/>
      <c r="F114" s="24"/>
      <c r="G114" s="24"/>
      <c r="H114" s="24"/>
      <c r="I114" s="24"/>
      <c r="J114" s="24"/>
      <c r="K114" s="24"/>
      <c r="L114" s="24"/>
      <c r="M114" s="24"/>
      <c r="N114" s="24"/>
      <c r="O114" s="82"/>
      <c r="P114" s="82"/>
      <c r="Q114" s="24"/>
      <c r="R114" s="24"/>
      <c r="S114" s="24"/>
      <c r="T114" s="24"/>
      <c r="U114" s="26">
        <f t="shared" si="16"/>
        <v>0</v>
      </c>
      <c r="V114" s="26">
        <f t="shared" si="17"/>
        <v>0</v>
      </c>
      <c r="W114" s="26">
        <f t="shared" si="18"/>
        <v>0</v>
      </c>
      <c r="X114" s="26">
        <f t="shared" si="19"/>
        <v>0</v>
      </c>
      <c r="Y114" s="26">
        <f t="shared" si="20"/>
        <v>0</v>
      </c>
      <c r="Z114" s="26">
        <f t="shared" si="21"/>
        <v>0</v>
      </c>
      <c r="AA114" s="26">
        <f t="shared" si="22"/>
        <v>0</v>
      </c>
      <c r="AB114" s="26">
        <f t="shared" si="23"/>
        <v>0</v>
      </c>
      <c r="AC114" s="26" t="e">
        <f t="shared" si="8"/>
        <v>#DIV/0!</v>
      </c>
      <c r="AD114" s="26" t="e">
        <f t="shared" si="9"/>
        <v>#DIV/0!</v>
      </c>
      <c r="AE114" s="26" t="e">
        <f t="shared" si="10"/>
        <v>#DIV/0!</v>
      </c>
      <c r="AF114" s="26" t="e">
        <f t="shared" si="11"/>
        <v>#DIV/0!</v>
      </c>
      <c r="AG114" s="26" t="e">
        <f t="shared" si="12"/>
        <v>#DIV/0!</v>
      </c>
      <c r="AH114" s="26" t="e">
        <f t="shared" si="13"/>
        <v>#DIV/0!</v>
      </c>
      <c r="AI114" s="26" t="e">
        <f t="shared" si="14"/>
        <v>#DIV/0!</v>
      </c>
    </row>
    <row r="115" spans="1:35" ht="20.100000000000001" hidden="1" customHeight="1">
      <c r="A115" s="24">
        <v>0</v>
      </c>
      <c r="B115" s="26">
        <f>'INTERNAL TEST-1  '!B115</f>
        <v>0</v>
      </c>
      <c r="C115" s="89">
        <f>'INTERNAL TEST-1  '!C115</f>
        <v>0</v>
      </c>
      <c r="D115" s="24"/>
      <c r="E115" s="24"/>
      <c r="F115" s="24"/>
      <c r="G115" s="24"/>
      <c r="H115" s="24"/>
      <c r="I115" s="24"/>
      <c r="J115" s="24"/>
      <c r="K115" s="24"/>
      <c r="L115" s="24"/>
      <c r="M115" s="24"/>
      <c r="N115" s="24"/>
      <c r="O115" s="82"/>
      <c r="P115" s="82"/>
      <c r="Q115" s="24"/>
      <c r="R115" s="24"/>
      <c r="S115" s="24"/>
      <c r="T115" s="24"/>
      <c r="U115" s="26">
        <f t="shared" si="16"/>
        <v>0</v>
      </c>
      <c r="V115" s="26">
        <f t="shared" si="17"/>
        <v>0</v>
      </c>
      <c r="W115" s="26">
        <f t="shared" si="18"/>
        <v>0</v>
      </c>
      <c r="X115" s="26">
        <f t="shared" si="19"/>
        <v>0</v>
      </c>
      <c r="Y115" s="26">
        <f t="shared" si="20"/>
        <v>0</v>
      </c>
      <c r="Z115" s="26">
        <f t="shared" si="21"/>
        <v>0</v>
      </c>
      <c r="AA115" s="26">
        <f t="shared" si="22"/>
        <v>0</v>
      </c>
      <c r="AB115" s="26">
        <f t="shared" si="23"/>
        <v>0</v>
      </c>
      <c r="AC115" s="26" t="e">
        <f t="shared" si="8"/>
        <v>#DIV/0!</v>
      </c>
      <c r="AD115" s="26" t="e">
        <f t="shared" si="9"/>
        <v>#DIV/0!</v>
      </c>
      <c r="AE115" s="26" t="e">
        <f t="shared" si="10"/>
        <v>#DIV/0!</v>
      </c>
      <c r="AF115" s="26" t="e">
        <f t="shared" si="11"/>
        <v>#DIV/0!</v>
      </c>
      <c r="AG115" s="26" t="e">
        <f t="shared" si="12"/>
        <v>#DIV/0!</v>
      </c>
      <c r="AH115" s="26" t="e">
        <f t="shared" si="13"/>
        <v>#DIV/0!</v>
      </c>
      <c r="AI115" s="26" t="e">
        <f t="shared" si="14"/>
        <v>#DIV/0!</v>
      </c>
    </row>
    <row r="116" spans="1:35" ht="20.100000000000001" hidden="1" customHeight="1">
      <c r="A116" s="24">
        <v>0</v>
      </c>
      <c r="B116" s="26">
        <f>'INTERNAL TEST-1  '!B116</f>
        <v>0</v>
      </c>
      <c r="C116" s="89">
        <f>'INTERNAL TEST-1  '!C116</f>
        <v>0</v>
      </c>
      <c r="D116" s="24"/>
      <c r="E116" s="24"/>
      <c r="F116" s="24"/>
      <c r="G116" s="24"/>
      <c r="H116" s="24"/>
      <c r="I116" s="24"/>
      <c r="J116" s="24"/>
      <c r="K116" s="24"/>
      <c r="L116" s="24"/>
      <c r="M116" s="24"/>
      <c r="N116" s="24"/>
      <c r="O116" s="82"/>
      <c r="P116" s="82"/>
      <c r="Q116" s="24"/>
      <c r="R116" s="24"/>
      <c r="S116" s="24"/>
      <c r="T116" s="24"/>
      <c r="U116" s="26">
        <f t="shared" si="16"/>
        <v>0</v>
      </c>
      <c r="V116" s="26">
        <f t="shared" si="17"/>
        <v>0</v>
      </c>
      <c r="W116" s="26">
        <f t="shared" si="18"/>
        <v>0</v>
      </c>
      <c r="X116" s="26">
        <f t="shared" si="19"/>
        <v>0</v>
      </c>
      <c r="Y116" s="26">
        <f t="shared" si="20"/>
        <v>0</v>
      </c>
      <c r="Z116" s="26">
        <f t="shared" si="21"/>
        <v>0</v>
      </c>
      <c r="AA116" s="26">
        <f t="shared" si="22"/>
        <v>0</v>
      </c>
      <c r="AB116" s="26">
        <f t="shared" si="23"/>
        <v>0</v>
      </c>
      <c r="AC116" s="26" t="e">
        <f t="shared" si="8"/>
        <v>#DIV/0!</v>
      </c>
      <c r="AD116" s="26" t="e">
        <f t="shared" si="9"/>
        <v>#DIV/0!</v>
      </c>
      <c r="AE116" s="26" t="e">
        <f t="shared" si="10"/>
        <v>#DIV/0!</v>
      </c>
      <c r="AF116" s="26" t="e">
        <f t="shared" si="11"/>
        <v>#DIV/0!</v>
      </c>
      <c r="AG116" s="26" t="e">
        <f t="shared" si="12"/>
        <v>#DIV/0!</v>
      </c>
      <c r="AH116" s="26" t="e">
        <f t="shared" si="13"/>
        <v>#DIV/0!</v>
      </c>
      <c r="AI116" s="26" t="e">
        <f t="shared" si="14"/>
        <v>#DIV/0!</v>
      </c>
    </row>
    <row r="117" spans="1:35" ht="20.100000000000001" hidden="1" customHeight="1">
      <c r="A117" s="24">
        <v>0</v>
      </c>
      <c r="B117" s="26">
        <f>'INTERNAL TEST-1  '!B117</f>
        <v>0</v>
      </c>
      <c r="C117" s="89">
        <f>'INTERNAL TEST-1  '!C117</f>
        <v>0</v>
      </c>
      <c r="D117" s="24"/>
      <c r="E117" s="24"/>
      <c r="F117" s="24"/>
      <c r="G117" s="24"/>
      <c r="H117" s="24"/>
      <c r="I117" s="24"/>
      <c r="J117" s="24"/>
      <c r="K117" s="24"/>
      <c r="L117" s="24"/>
      <c r="M117" s="24"/>
      <c r="N117" s="24"/>
      <c r="O117" s="82"/>
      <c r="P117" s="82"/>
      <c r="Q117" s="24"/>
      <c r="R117" s="24"/>
      <c r="S117" s="24"/>
      <c r="T117" s="24"/>
      <c r="U117" s="26">
        <f t="shared" si="16"/>
        <v>0</v>
      </c>
      <c r="V117" s="26">
        <f t="shared" si="17"/>
        <v>0</v>
      </c>
      <c r="W117" s="26">
        <f t="shared" si="18"/>
        <v>0</v>
      </c>
      <c r="X117" s="26">
        <f t="shared" si="19"/>
        <v>0</v>
      </c>
      <c r="Y117" s="26">
        <f t="shared" si="20"/>
        <v>0</v>
      </c>
      <c r="Z117" s="26">
        <f t="shared" si="21"/>
        <v>0</v>
      </c>
      <c r="AA117" s="26">
        <f t="shared" si="22"/>
        <v>0</v>
      </c>
      <c r="AB117" s="26">
        <f t="shared" si="23"/>
        <v>0</v>
      </c>
      <c r="AC117" s="26" t="e">
        <f t="shared" si="8"/>
        <v>#DIV/0!</v>
      </c>
      <c r="AD117" s="26" t="e">
        <f t="shared" si="9"/>
        <v>#DIV/0!</v>
      </c>
      <c r="AE117" s="26" t="e">
        <f t="shared" si="10"/>
        <v>#DIV/0!</v>
      </c>
      <c r="AF117" s="26" t="e">
        <f t="shared" si="11"/>
        <v>#DIV/0!</v>
      </c>
      <c r="AG117" s="26" t="e">
        <f t="shared" si="12"/>
        <v>#DIV/0!</v>
      </c>
      <c r="AH117" s="26" t="e">
        <f t="shared" si="13"/>
        <v>#DIV/0!</v>
      </c>
      <c r="AI117" s="26" t="e">
        <f t="shared" si="14"/>
        <v>#DIV/0!</v>
      </c>
    </row>
    <row r="118" spans="1:35" ht="20.100000000000001" hidden="1" customHeight="1">
      <c r="A118" s="24">
        <v>0</v>
      </c>
      <c r="B118" s="26">
        <f>'INTERNAL TEST-1  '!B118</f>
        <v>0</v>
      </c>
      <c r="C118" s="89">
        <f>'INTERNAL TEST-1  '!C118</f>
        <v>0</v>
      </c>
      <c r="D118" s="24"/>
      <c r="E118" s="24"/>
      <c r="F118" s="24"/>
      <c r="G118" s="24"/>
      <c r="H118" s="24"/>
      <c r="I118" s="24"/>
      <c r="J118" s="24"/>
      <c r="K118" s="24"/>
      <c r="L118" s="24"/>
      <c r="M118" s="24"/>
      <c r="N118" s="24"/>
      <c r="O118" s="82"/>
      <c r="P118" s="82"/>
      <c r="Q118" s="24"/>
      <c r="R118" s="24"/>
      <c r="S118" s="24"/>
      <c r="T118" s="24"/>
      <c r="U118" s="26">
        <f t="shared" si="16"/>
        <v>0</v>
      </c>
      <c r="V118" s="26">
        <f t="shared" si="17"/>
        <v>0</v>
      </c>
      <c r="W118" s="26">
        <f t="shared" si="18"/>
        <v>0</v>
      </c>
      <c r="X118" s="26">
        <f t="shared" si="19"/>
        <v>0</v>
      </c>
      <c r="Y118" s="26">
        <f t="shared" si="20"/>
        <v>0</v>
      </c>
      <c r="Z118" s="26">
        <f t="shared" si="21"/>
        <v>0</v>
      </c>
      <c r="AA118" s="26">
        <f t="shared" si="22"/>
        <v>0</v>
      </c>
      <c r="AB118" s="26">
        <f t="shared" si="23"/>
        <v>0</v>
      </c>
      <c r="AC118" s="26" t="e">
        <f t="shared" si="8"/>
        <v>#DIV/0!</v>
      </c>
      <c r="AD118" s="26" t="e">
        <f t="shared" si="9"/>
        <v>#DIV/0!</v>
      </c>
      <c r="AE118" s="26" t="e">
        <f t="shared" si="10"/>
        <v>#DIV/0!</v>
      </c>
      <c r="AF118" s="26" t="e">
        <f t="shared" si="11"/>
        <v>#DIV/0!</v>
      </c>
      <c r="AG118" s="26" t="e">
        <f t="shared" si="12"/>
        <v>#DIV/0!</v>
      </c>
      <c r="AH118" s="26" t="e">
        <f t="shared" si="13"/>
        <v>#DIV/0!</v>
      </c>
      <c r="AI118" s="26" t="e">
        <f t="shared" si="14"/>
        <v>#DIV/0!</v>
      </c>
    </row>
    <row r="119" spans="1:35" ht="20.100000000000001" hidden="1" customHeight="1">
      <c r="A119" s="24">
        <v>0</v>
      </c>
      <c r="B119" s="26">
        <f>'INTERNAL TEST-1  '!B119</f>
        <v>0</v>
      </c>
      <c r="C119" s="89">
        <f>'INTERNAL TEST-1  '!C119</f>
        <v>0</v>
      </c>
      <c r="D119" s="24"/>
      <c r="E119" s="24"/>
      <c r="F119" s="24"/>
      <c r="G119" s="24"/>
      <c r="H119" s="24"/>
      <c r="I119" s="24"/>
      <c r="J119" s="24"/>
      <c r="K119" s="24"/>
      <c r="L119" s="24"/>
      <c r="M119" s="24"/>
      <c r="N119" s="24"/>
      <c r="O119" s="82"/>
      <c r="P119" s="82"/>
      <c r="Q119" s="24"/>
      <c r="R119" s="24"/>
      <c r="S119" s="24"/>
      <c r="T119" s="24"/>
      <c r="U119" s="26">
        <f t="shared" si="16"/>
        <v>0</v>
      </c>
      <c r="V119" s="26">
        <f t="shared" si="17"/>
        <v>0</v>
      </c>
      <c r="W119" s="26">
        <f t="shared" si="18"/>
        <v>0</v>
      </c>
      <c r="X119" s="26">
        <f t="shared" si="19"/>
        <v>0</v>
      </c>
      <c r="Y119" s="26">
        <f t="shared" si="20"/>
        <v>0</v>
      </c>
      <c r="Z119" s="26">
        <f t="shared" si="21"/>
        <v>0</v>
      </c>
      <c r="AA119" s="26">
        <f t="shared" si="22"/>
        <v>0</v>
      </c>
      <c r="AB119" s="26">
        <f t="shared" si="23"/>
        <v>0</v>
      </c>
      <c r="AC119" s="26" t="e">
        <f t="shared" si="8"/>
        <v>#DIV/0!</v>
      </c>
      <c r="AD119" s="26" t="e">
        <f t="shared" si="9"/>
        <v>#DIV/0!</v>
      </c>
      <c r="AE119" s="26" t="e">
        <f t="shared" si="10"/>
        <v>#DIV/0!</v>
      </c>
      <c r="AF119" s="26" t="e">
        <f t="shared" si="11"/>
        <v>#DIV/0!</v>
      </c>
      <c r="AG119" s="26" t="e">
        <f t="shared" si="12"/>
        <v>#DIV/0!</v>
      </c>
      <c r="AH119" s="26" t="e">
        <f t="shared" si="13"/>
        <v>#DIV/0!</v>
      </c>
      <c r="AI119" s="26" t="e">
        <f t="shared" si="14"/>
        <v>#DIV/0!</v>
      </c>
    </row>
    <row r="120" spans="1:35" ht="20.100000000000001" hidden="1" customHeight="1">
      <c r="A120" s="24">
        <v>0</v>
      </c>
      <c r="B120" s="26">
        <f>'INTERNAL TEST-1  '!B120</f>
        <v>0</v>
      </c>
      <c r="C120" s="89">
        <f>'INTERNAL TEST-1  '!C120</f>
        <v>0</v>
      </c>
      <c r="D120" s="24"/>
      <c r="E120" s="24"/>
      <c r="F120" s="24"/>
      <c r="G120" s="24"/>
      <c r="H120" s="24"/>
      <c r="I120" s="24"/>
      <c r="J120" s="24"/>
      <c r="K120" s="24"/>
      <c r="L120" s="24"/>
      <c r="M120" s="24"/>
      <c r="N120" s="24"/>
      <c r="O120" s="82"/>
      <c r="P120" s="82"/>
      <c r="Q120" s="24"/>
      <c r="R120" s="24"/>
      <c r="S120" s="24"/>
      <c r="T120" s="24"/>
      <c r="U120" s="26">
        <f t="shared" si="16"/>
        <v>0</v>
      </c>
      <c r="V120" s="26">
        <f t="shared" si="17"/>
        <v>0</v>
      </c>
      <c r="W120" s="26">
        <f t="shared" si="18"/>
        <v>0</v>
      </c>
      <c r="X120" s="26">
        <f t="shared" si="19"/>
        <v>0</v>
      </c>
      <c r="Y120" s="26">
        <f t="shared" si="20"/>
        <v>0</v>
      </c>
      <c r="Z120" s="26">
        <f t="shared" si="21"/>
        <v>0</v>
      </c>
      <c r="AA120" s="26">
        <f t="shared" si="22"/>
        <v>0</v>
      </c>
      <c r="AB120" s="26">
        <f t="shared" si="23"/>
        <v>0</v>
      </c>
      <c r="AC120" s="26" t="e">
        <f t="shared" si="8"/>
        <v>#DIV/0!</v>
      </c>
      <c r="AD120" s="26" t="e">
        <f t="shared" si="9"/>
        <v>#DIV/0!</v>
      </c>
      <c r="AE120" s="26" t="e">
        <f t="shared" si="10"/>
        <v>#DIV/0!</v>
      </c>
      <c r="AF120" s="26" t="e">
        <f t="shared" si="11"/>
        <v>#DIV/0!</v>
      </c>
      <c r="AG120" s="26" t="e">
        <f t="shared" si="12"/>
        <v>#DIV/0!</v>
      </c>
      <c r="AH120" s="26" t="e">
        <f t="shared" si="13"/>
        <v>#DIV/0!</v>
      </c>
      <c r="AI120" s="26" t="e">
        <f t="shared" si="14"/>
        <v>#DIV/0!</v>
      </c>
    </row>
    <row r="121" spans="1:35" ht="20.100000000000001" hidden="1" customHeight="1">
      <c r="A121" s="24">
        <v>0</v>
      </c>
      <c r="B121" s="26">
        <f>'INTERNAL TEST-1  '!B121</f>
        <v>0</v>
      </c>
      <c r="C121" s="89">
        <f>'INTERNAL TEST-1  '!C121</f>
        <v>0</v>
      </c>
      <c r="D121" s="24"/>
      <c r="E121" s="24"/>
      <c r="F121" s="24"/>
      <c r="G121" s="24"/>
      <c r="H121" s="24"/>
      <c r="I121" s="24"/>
      <c r="J121" s="24"/>
      <c r="K121" s="24"/>
      <c r="L121" s="24"/>
      <c r="M121" s="24"/>
      <c r="N121" s="24"/>
      <c r="O121" s="82"/>
      <c r="P121" s="82"/>
      <c r="Q121" s="24"/>
      <c r="R121" s="24"/>
      <c r="S121" s="24"/>
      <c r="T121" s="24"/>
      <c r="U121" s="26">
        <f t="shared" si="16"/>
        <v>0</v>
      </c>
      <c r="V121" s="26">
        <f t="shared" si="17"/>
        <v>0</v>
      </c>
      <c r="W121" s="26">
        <f t="shared" si="18"/>
        <v>0</v>
      </c>
      <c r="X121" s="26">
        <f t="shared" si="19"/>
        <v>0</v>
      </c>
      <c r="Y121" s="26">
        <f t="shared" si="20"/>
        <v>0</v>
      </c>
      <c r="Z121" s="26">
        <f t="shared" si="21"/>
        <v>0</v>
      </c>
      <c r="AA121" s="26">
        <f t="shared" si="22"/>
        <v>0</v>
      </c>
      <c r="AB121" s="26">
        <f t="shared" si="23"/>
        <v>0</v>
      </c>
      <c r="AC121" s="26" t="e">
        <f t="shared" si="8"/>
        <v>#DIV/0!</v>
      </c>
      <c r="AD121" s="26" t="e">
        <f t="shared" si="9"/>
        <v>#DIV/0!</v>
      </c>
      <c r="AE121" s="26" t="e">
        <f t="shared" si="10"/>
        <v>#DIV/0!</v>
      </c>
      <c r="AF121" s="26" t="e">
        <f t="shared" si="11"/>
        <v>#DIV/0!</v>
      </c>
      <c r="AG121" s="26" t="e">
        <f t="shared" si="12"/>
        <v>#DIV/0!</v>
      </c>
      <c r="AH121" s="26" t="e">
        <f t="shared" si="13"/>
        <v>#DIV/0!</v>
      </c>
      <c r="AI121" s="26" t="e">
        <f t="shared" si="14"/>
        <v>#DIV/0!</v>
      </c>
    </row>
    <row r="122" spans="1:35" ht="19.8" hidden="1" customHeight="1">
      <c r="A122" s="24">
        <v>0</v>
      </c>
      <c r="B122" s="26">
        <f>'INTERNAL TEST-1  '!B122</f>
        <v>0</v>
      </c>
      <c r="C122" s="89">
        <f>'INTERNAL TEST-1  '!C122</f>
        <v>0</v>
      </c>
      <c r="D122" s="24"/>
      <c r="E122" s="24"/>
      <c r="F122" s="24"/>
      <c r="G122" s="24"/>
      <c r="H122" s="24"/>
      <c r="I122" s="24"/>
      <c r="J122" s="24"/>
      <c r="K122" s="24"/>
      <c r="L122" s="24"/>
      <c r="M122" s="24"/>
      <c r="N122" s="24"/>
      <c r="O122" s="82"/>
      <c r="P122" s="82"/>
      <c r="Q122" s="24"/>
      <c r="R122" s="24"/>
      <c r="S122" s="24"/>
      <c r="T122" s="24"/>
      <c r="U122" s="26">
        <f t="shared" si="16"/>
        <v>0</v>
      </c>
      <c r="V122" s="26">
        <f t="shared" si="17"/>
        <v>0</v>
      </c>
      <c r="W122" s="26">
        <f t="shared" si="18"/>
        <v>0</v>
      </c>
      <c r="X122" s="26">
        <f t="shared" si="19"/>
        <v>0</v>
      </c>
      <c r="Y122" s="26">
        <f t="shared" si="20"/>
        <v>0</v>
      </c>
      <c r="Z122" s="26">
        <f t="shared" si="21"/>
        <v>0</v>
      </c>
      <c r="AA122" s="26">
        <f t="shared" si="22"/>
        <v>0</v>
      </c>
      <c r="AB122" s="26">
        <f t="shared" si="23"/>
        <v>0</v>
      </c>
      <c r="AC122" s="26" t="e">
        <f t="shared" si="8"/>
        <v>#DIV/0!</v>
      </c>
      <c r="AD122" s="26" t="e">
        <f t="shared" si="9"/>
        <v>#DIV/0!</v>
      </c>
      <c r="AE122" s="26" t="e">
        <f t="shared" si="10"/>
        <v>#DIV/0!</v>
      </c>
      <c r="AF122" s="26" t="e">
        <f t="shared" si="11"/>
        <v>#DIV/0!</v>
      </c>
      <c r="AG122" s="26" t="e">
        <f t="shared" si="12"/>
        <v>#DIV/0!</v>
      </c>
      <c r="AH122" s="26" t="e">
        <f t="shared" si="13"/>
        <v>#DIV/0!</v>
      </c>
      <c r="AI122" s="26" t="e">
        <f t="shared" si="14"/>
        <v>#DIV/0!</v>
      </c>
    </row>
    <row r="123" spans="1:35" ht="20.100000000000001" hidden="1" customHeight="1">
      <c r="A123" s="24">
        <v>0</v>
      </c>
      <c r="B123" s="26">
        <f>'INTERNAL TEST-1  '!B123</f>
        <v>0</v>
      </c>
      <c r="C123" s="89">
        <f>'INTERNAL TEST-1  '!C123</f>
        <v>0</v>
      </c>
      <c r="D123" s="24"/>
      <c r="E123" s="24"/>
      <c r="F123" s="24"/>
      <c r="G123" s="24"/>
      <c r="H123" s="24"/>
      <c r="I123" s="24"/>
      <c r="J123" s="24"/>
      <c r="K123" s="24"/>
      <c r="L123" s="24"/>
      <c r="M123" s="24"/>
      <c r="N123" s="24"/>
      <c r="O123" s="82"/>
      <c r="P123" s="82"/>
      <c r="Q123" s="24"/>
      <c r="R123" s="24"/>
      <c r="S123" s="24"/>
      <c r="T123" s="24"/>
      <c r="U123" s="26">
        <f t="shared" si="16"/>
        <v>0</v>
      </c>
      <c r="V123" s="26">
        <f t="shared" si="17"/>
        <v>0</v>
      </c>
      <c r="W123" s="26">
        <f t="shared" si="18"/>
        <v>0</v>
      </c>
      <c r="X123" s="26">
        <f t="shared" si="19"/>
        <v>0</v>
      </c>
      <c r="Y123" s="26">
        <f t="shared" si="20"/>
        <v>0</v>
      </c>
      <c r="Z123" s="26">
        <f t="shared" si="21"/>
        <v>0</v>
      </c>
      <c r="AA123" s="26">
        <f t="shared" si="22"/>
        <v>0</v>
      </c>
      <c r="AB123" s="26">
        <f t="shared" si="23"/>
        <v>0</v>
      </c>
      <c r="AC123" s="26" t="e">
        <f t="shared" si="8"/>
        <v>#DIV/0!</v>
      </c>
      <c r="AD123" s="26" t="e">
        <f t="shared" si="9"/>
        <v>#DIV/0!</v>
      </c>
      <c r="AE123" s="26" t="e">
        <f t="shared" si="10"/>
        <v>#DIV/0!</v>
      </c>
      <c r="AF123" s="26" t="e">
        <f t="shared" si="11"/>
        <v>#DIV/0!</v>
      </c>
      <c r="AG123" s="26" t="e">
        <f t="shared" si="12"/>
        <v>#DIV/0!</v>
      </c>
      <c r="AH123" s="26" t="e">
        <f t="shared" si="13"/>
        <v>#DIV/0!</v>
      </c>
      <c r="AI123" s="26" t="e">
        <f t="shared" si="14"/>
        <v>#DIV/0!</v>
      </c>
    </row>
    <row r="124" spans="1:35" ht="20.100000000000001" hidden="1" customHeight="1">
      <c r="A124" s="24">
        <v>0</v>
      </c>
      <c r="B124" s="26">
        <f>'INTERNAL TEST-1  '!B124</f>
        <v>0</v>
      </c>
      <c r="C124" s="89">
        <f>'INTERNAL TEST-1  '!C124</f>
        <v>0</v>
      </c>
      <c r="D124" s="24"/>
      <c r="E124" s="24"/>
      <c r="F124" s="24"/>
      <c r="G124" s="24"/>
      <c r="H124" s="24"/>
      <c r="I124" s="24"/>
      <c r="J124" s="24"/>
      <c r="K124" s="24"/>
      <c r="L124" s="24"/>
      <c r="M124" s="24"/>
      <c r="N124" s="24"/>
      <c r="O124" s="82"/>
      <c r="P124" s="82"/>
      <c r="Q124" s="24"/>
      <c r="R124" s="24"/>
      <c r="S124" s="24"/>
      <c r="T124" s="24"/>
      <c r="U124" s="26">
        <f t="shared" si="16"/>
        <v>0</v>
      </c>
      <c r="V124" s="26">
        <f t="shared" si="17"/>
        <v>0</v>
      </c>
      <c r="W124" s="26">
        <f t="shared" si="18"/>
        <v>0</v>
      </c>
      <c r="X124" s="26">
        <f t="shared" si="19"/>
        <v>0</v>
      </c>
      <c r="Y124" s="26">
        <f t="shared" si="20"/>
        <v>0</v>
      </c>
      <c r="Z124" s="26">
        <f t="shared" si="21"/>
        <v>0</v>
      </c>
      <c r="AA124" s="26">
        <f t="shared" si="22"/>
        <v>0</v>
      </c>
      <c r="AB124" s="26">
        <f t="shared" si="23"/>
        <v>0</v>
      </c>
      <c r="AC124" s="26" t="e">
        <f t="shared" si="8"/>
        <v>#DIV/0!</v>
      </c>
      <c r="AD124" s="26" t="e">
        <f t="shared" si="9"/>
        <v>#DIV/0!</v>
      </c>
      <c r="AE124" s="26" t="e">
        <f t="shared" si="10"/>
        <v>#DIV/0!</v>
      </c>
      <c r="AF124" s="26" t="e">
        <f t="shared" si="11"/>
        <v>#DIV/0!</v>
      </c>
      <c r="AG124" s="26" t="e">
        <f t="shared" si="12"/>
        <v>#DIV/0!</v>
      </c>
      <c r="AH124" s="26" t="e">
        <f t="shared" si="13"/>
        <v>#DIV/0!</v>
      </c>
      <c r="AI124" s="26" t="e">
        <f t="shared" si="14"/>
        <v>#DIV/0!</v>
      </c>
    </row>
    <row r="125" spans="1:35" ht="19.8" hidden="1" customHeight="1">
      <c r="A125" s="24">
        <v>0</v>
      </c>
      <c r="B125" s="26">
        <f>'INTERNAL TEST-1  '!B125</f>
        <v>0</v>
      </c>
      <c r="C125" s="89">
        <f>'INTERNAL TEST-1  '!C125</f>
        <v>0</v>
      </c>
      <c r="D125" s="24"/>
      <c r="E125" s="24"/>
      <c r="F125" s="24"/>
      <c r="G125" s="24"/>
      <c r="H125" s="24"/>
      <c r="I125" s="24"/>
      <c r="J125" s="24"/>
      <c r="K125" s="24"/>
      <c r="L125" s="24"/>
      <c r="M125" s="24"/>
      <c r="N125" s="24"/>
      <c r="O125" s="82"/>
      <c r="P125" s="82"/>
      <c r="Q125" s="24"/>
      <c r="R125" s="24"/>
      <c r="S125" s="24"/>
      <c r="T125" s="24"/>
      <c r="U125" s="26">
        <f t="shared" si="16"/>
        <v>0</v>
      </c>
      <c r="V125" s="26">
        <f t="shared" si="17"/>
        <v>0</v>
      </c>
      <c r="W125" s="26">
        <f t="shared" si="18"/>
        <v>0</v>
      </c>
      <c r="X125" s="26">
        <f t="shared" si="19"/>
        <v>0</v>
      </c>
      <c r="Y125" s="26">
        <f t="shared" si="20"/>
        <v>0</v>
      </c>
      <c r="Z125" s="26">
        <f t="shared" si="21"/>
        <v>0</v>
      </c>
      <c r="AA125" s="26">
        <f t="shared" si="22"/>
        <v>0</v>
      </c>
      <c r="AB125" s="26">
        <f t="shared" si="23"/>
        <v>0</v>
      </c>
      <c r="AC125" s="26" t="e">
        <f t="shared" si="8"/>
        <v>#DIV/0!</v>
      </c>
      <c r="AD125" s="26" t="e">
        <f t="shared" si="9"/>
        <v>#DIV/0!</v>
      </c>
      <c r="AE125" s="26" t="e">
        <f t="shared" si="10"/>
        <v>#DIV/0!</v>
      </c>
      <c r="AF125" s="26" t="e">
        <f t="shared" si="11"/>
        <v>#DIV/0!</v>
      </c>
      <c r="AG125" s="26" t="e">
        <f t="shared" si="12"/>
        <v>#DIV/0!</v>
      </c>
      <c r="AH125" s="26" t="e">
        <f t="shared" si="13"/>
        <v>#DIV/0!</v>
      </c>
      <c r="AI125" s="26" t="e">
        <f t="shared" si="14"/>
        <v>#DIV/0!</v>
      </c>
    </row>
    <row r="126" spans="1:35" ht="19.2" hidden="1" customHeight="1">
      <c r="A126" s="24">
        <v>0</v>
      </c>
      <c r="B126" s="26">
        <f>'INTERNAL TEST-1  '!B126</f>
        <v>0</v>
      </c>
      <c r="C126" s="89">
        <f>'INTERNAL TEST-1  '!C126</f>
        <v>0</v>
      </c>
      <c r="D126" s="24"/>
      <c r="E126" s="24"/>
      <c r="F126" s="24"/>
      <c r="G126" s="24"/>
      <c r="H126" s="24"/>
      <c r="I126" s="24"/>
      <c r="J126" s="24"/>
      <c r="K126" s="24"/>
      <c r="L126" s="24"/>
      <c r="M126" s="24"/>
      <c r="N126" s="24"/>
      <c r="O126" s="82"/>
      <c r="P126" s="82"/>
      <c r="Q126" s="24"/>
      <c r="R126" s="24"/>
      <c r="S126" s="24"/>
      <c r="T126" s="24"/>
      <c r="U126" s="26">
        <f t="shared" si="16"/>
        <v>0</v>
      </c>
      <c r="V126" s="26">
        <f t="shared" si="17"/>
        <v>0</v>
      </c>
      <c r="W126" s="26">
        <f t="shared" si="18"/>
        <v>0</v>
      </c>
      <c r="X126" s="26">
        <f t="shared" si="19"/>
        <v>0</v>
      </c>
      <c r="Y126" s="26">
        <f t="shared" si="20"/>
        <v>0</v>
      </c>
      <c r="Z126" s="26">
        <f t="shared" si="21"/>
        <v>0</v>
      </c>
      <c r="AA126" s="26">
        <f t="shared" si="22"/>
        <v>0</v>
      </c>
      <c r="AB126" s="26">
        <f t="shared" si="23"/>
        <v>0</v>
      </c>
      <c r="AC126" s="26" t="e">
        <f t="shared" si="8"/>
        <v>#DIV/0!</v>
      </c>
      <c r="AD126" s="26" t="e">
        <f t="shared" si="9"/>
        <v>#DIV/0!</v>
      </c>
      <c r="AE126" s="26" t="e">
        <f t="shared" si="10"/>
        <v>#DIV/0!</v>
      </c>
      <c r="AF126" s="26" t="e">
        <f t="shared" si="11"/>
        <v>#DIV/0!</v>
      </c>
      <c r="AG126" s="26" t="e">
        <f t="shared" si="12"/>
        <v>#DIV/0!</v>
      </c>
      <c r="AH126" s="26" t="e">
        <f t="shared" si="13"/>
        <v>#DIV/0!</v>
      </c>
      <c r="AI126" s="26" t="e">
        <f t="shared" si="14"/>
        <v>#DIV/0!</v>
      </c>
    </row>
    <row r="127" spans="1:35" ht="19.2" hidden="1" customHeight="1">
      <c r="A127" s="24">
        <v>0</v>
      </c>
      <c r="B127" s="26">
        <f>'INTERNAL TEST-1  '!B127</f>
        <v>0</v>
      </c>
      <c r="C127" s="89">
        <f>'INTERNAL TEST-1  '!C127</f>
        <v>0</v>
      </c>
      <c r="D127" s="24"/>
      <c r="E127" s="24"/>
      <c r="F127" s="24"/>
      <c r="G127" s="24"/>
      <c r="H127" s="24"/>
      <c r="I127" s="24"/>
      <c r="J127" s="24"/>
      <c r="K127" s="24"/>
      <c r="L127" s="24"/>
      <c r="M127" s="24"/>
      <c r="N127" s="24"/>
      <c r="O127" s="24"/>
      <c r="P127" s="24"/>
      <c r="Q127" s="24"/>
      <c r="R127" s="24"/>
      <c r="S127" s="24"/>
      <c r="T127" s="24"/>
      <c r="U127" s="26">
        <f t="shared" si="16"/>
        <v>0</v>
      </c>
      <c r="V127" s="26">
        <f t="shared" si="17"/>
        <v>0</v>
      </c>
      <c r="W127" s="26">
        <f t="shared" si="18"/>
        <v>0</v>
      </c>
      <c r="X127" s="26">
        <f t="shared" si="19"/>
        <v>0</v>
      </c>
      <c r="Y127" s="26">
        <f t="shared" si="20"/>
        <v>0</v>
      </c>
      <c r="Z127" s="26">
        <f t="shared" si="21"/>
        <v>0</v>
      </c>
      <c r="AA127" s="26">
        <f t="shared" si="22"/>
        <v>0</v>
      </c>
      <c r="AB127" s="26">
        <f t="shared" si="23"/>
        <v>0</v>
      </c>
      <c r="AC127" s="26" t="e">
        <f t="shared" si="8"/>
        <v>#DIV/0!</v>
      </c>
      <c r="AD127" s="26" t="e">
        <f t="shared" si="9"/>
        <v>#DIV/0!</v>
      </c>
      <c r="AE127" s="26" t="e">
        <f t="shared" si="10"/>
        <v>#DIV/0!</v>
      </c>
      <c r="AF127" s="26" t="e">
        <f t="shared" si="11"/>
        <v>#DIV/0!</v>
      </c>
      <c r="AG127" s="26" t="e">
        <f t="shared" si="12"/>
        <v>#DIV/0!</v>
      </c>
      <c r="AH127" s="26" t="e">
        <f t="shared" si="13"/>
        <v>#DIV/0!</v>
      </c>
      <c r="AI127" s="26" t="e">
        <f t="shared" si="14"/>
        <v>#DIV/0!</v>
      </c>
    </row>
    <row r="128" spans="1:35" ht="19.2" hidden="1" customHeight="1">
      <c r="A128" s="24">
        <v>0</v>
      </c>
      <c r="B128" s="26">
        <f>'INTERNAL TEST-1  '!B128</f>
        <v>0</v>
      </c>
      <c r="C128" s="89">
        <f>'INTERNAL TEST-1  '!C128</f>
        <v>0</v>
      </c>
      <c r="D128" s="24"/>
      <c r="E128" s="24"/>
      <c r="F128" s="24"/>
      <c r="G128" s="24"/>
      <c r="H128" s="24"/>
      <c r="I128" s="24"/>
      <c r="J128" s="24"/>
      <c r="K128" s="24"/>
      <c r="L128" s="24"/>
      <c r="M128" s="24"/>
      <c r="N128" s="24"/>
      <c r="O128" s="24"/>
      <c r="P128" s="24"/>
      <c r="Q128" s="24"/>
      <c r="R128" s="24"/>
      <c r="S128" s="24"/>
      <c r="T128" s="24"/>
      <c r="U128" s="26">
        <f t="shared" si="16"/>
        <v>0</v>
      </c>
      <c r="V128" s="26">
        <f t="shared" si="17"/>
        <v>0</v>
      </c>
      <c r="W128" s="26">
        <f t="shared" si="18"/>
        <v>0</v>
      </c>
      <c r="X128" s="26">
        <f t="shared" si="19"/>
        <v>0</v>
      </c>
      <c r="Y128" s="26">
        <f t="shared" si="20"/>
        <v>0</v>
      </c>
      <c r="Z128" s="26">
        <f t="shared" si="21"/>
        <v>0</v>
      </c>
      <c r="AA128" s="26">
        <f t="shared" si="22"/>
        <v>0</v>
      </c>
      <c r="AB128" s="26">
        <f t="shared" si="23"/>
        <v>0</v>
      </c>
      <c r="AC128" s="26" t="e">
        <f t="shared" si="8"/>
        <v>#DIV/0!</v>
      </c>
      <c r="AD128" s="26" t="e">
        <f t="shared" si="9"/>
        <v>#DIV/0!</v>
      </c>
      <c r="AE128" s="26" t="e">
        <f t="shared" si="10"/>
        <v>#DIV/0!</v>
      </c>
      <c r="AF128" s="26" t="e">
        <f t="shared" si="11"/>
        <v>#DIV/0!</v>
      </c>
      <c r="AG128" s="26" t="e">
        <f t="shared" si="12"/>
        <v>#DIV/0!</v>
      </c>
      <c r="AH128" s="26" t="e">
        <f t="shared" si="13"/>
        <v>#DIV/0!</v>
      </c>
      <c r="AI128" s="26" t="e">
        <f t="shared" si="14"/>
        <v>#DIV/0!</v>
      </c>
    </row>
    <row r="129" spans="1:35" ht="19.2" hidden="1" customHeight="1">
      <c r="A129" s="24">
        <v>0</v>
      </c>
      <c r="B129" s="26">
        <f>'INTERNAL TEST-1  '!B129</f>
        <v>0</v>
      </c>
      <c r="C129" s="89">
        <f>'INTERNAL TEST-1  '!C129</f>
        <v>0</v>
      </c>
      <c r="D129" s="24"/>
      <c r="E129" s="24"/>
      <c r="F129" s="24"/>
      <c r="G129" s="24"/>
      <c r="H129" s="24"/>
      <c r="I129" s="24"/>
      <c r="J129" s="24"/>
      <c r="K129" s="24"/>
      <c r="L129" s="24"/>
      <c r="M129" s="24"/>
      <c r="N129" s="24"/>
      <c r="O129" s="24"/>
      <c r="P129" s="24"/>
      <c r="Q129" s="24"/>
      <c r="R129" s="24"/>
      <c r="S129" s="24"/>
      <c r="T129" s="24"/>
      <c r="U129" s="26">
        <f t="shared" si="16"/>
        <v>0</v>
      </c>
      <c r="V129" s="26">
        <f t="shared" si="17"/>
        <v>0</v>
      </c>
      <c r="W129" s="26">
        <f t="shared" si="18"/>
        <v>0</v>
      </c>
      <c r="X129" s="26">
        <f t="shared" si="19"/>
        <v>0</v>
      </c>
      <c r="Y129" s="26">
        <f t="shared" si="20"/>
        <v>0</v>
      </c>
      <c r="Z129" s="26">
        <f t="shared" si="21"/>
        <v>0</v>
      </c>
      <c r="AA129" s="26">
        <f t="shared" si="22"/>
        <v>0</v>
      </c>
      <c r="AB129" s="26">
        <f t="shared" si="23"/>
        <v>0</v>
      </c>
      <c r="AC129" s="26" t="e">
        <f t="shared" si="8"/>
        <v>#DIV/0!</v>
      </c>
      <c r="AD129" s="26" t="e">
        <f t="shared" si="9"/>
        <v>#DIV/0!</v>
      </c>
      <c r="AE129" s="26" t="e">
        <f t="shared" si="10"/>
        <v>#DIV/0!</v>
      </c>
      <c r="AF129" s="26" t="e">
        <f t="shared" si="11"/>
        <v>#DIV/0!</v>
      </c>
      <c r="AG129" s="26" t="e">
        <f t="shared" si="12"/>
        <v>#DIV/0!</v>
      </c>
      <c r="AH129" s="26" t="e">
        <f t="shared" si="13"/>
        <v>#DIV/0!</v>
      </c>
      <c r="AI129" s="26" t="e">
        <f t="shared" si="14"/>
        <v>#DIV/0!</v>
      </c>
    </row>
    <row r="130" spans="1:35" ht="19.2" hidden="1" customHeight="1">
      <c r="A130" s="24">
        <v>0</v>
      </c>
      <c r="B130" s="26">
        <f>'INTERNAL TEST-1  '!B130</f>
        <v>0</v>
      </c>
      <c r="C130" s="89">
        <f>'INTERNAL TEST-1  '!C130</f>
        <v>0</v>
      </c>
      <c r="D130" s="24"/>
      <c r="E130" s="24"/>
      <c r="F130" s="24"/>
      <c r="G130" s="24"/>
      <c r="H130" s="24"/>
      <c r="I130" s="24"/>
      <c r="J130" s="24"/>
      <c r="K130" s="24"/>
      <c r="L130" s="24"/>
      <c r="M130" s="24"/>
      <c r="N130" s="24"/>
      <c r="O130" s="24"/>
      <c r="P130" s="24"/>
      <c r="Q130" s="24"/>
      <c r="R130" s="24"/>
      <c r="S130" s="24"/>
      <c r="T130" s="24"/>
      <c r="U130" s="26">
        <f t="shared" si="16"/>
        <v>0</v>
      </c>
      <c r="V130" s="26">
        <f t="shared" si="17"/>
        <v>0</v>
      </c>
      <c r="W130" s="26">
        <f t="shared" si="18"/>
        <v>0</v>
      </c>
      <c r="X130" s="26">
        <f t="shared" si="19"/>
        <v>0</v>
      </c>
      <c r="Y130" s="26">
        <f t="shared" si="20"/>
        <v>0</v>
      </c>
      <c r="Z130" s="26">
        <f t="shared" si="21"/>
        <v>0</v>
      </c>
      <c r="AA130" s="26">
        <f t="shared" si="22"/>
        <v>0</v>
      </c>
      <c r="AB130" s="26">
        <f t="shared" si="23"/>
        <v>0</v>
      </c>
      <c r="AC130" s="26" t="e">
        <f t="shared" si="8"/>
        <v>#DIV/0!</v>
      </c>
      <c r="AD130" s="26" t="e">
        <f t="shared" si="9"/>
        <v>#DIV/0!</v>
      </c>
      <c r="AE130" s="26" t="e">
        <f t="shared" si="10"/>
        <v>#DIV/0!</v>
      </c>
      <c r="AF130" s="26" t="e">
        <f t="shared" si="11"/>
        <v>#DIV/0!</v>
      </c>
      <c r="AG130" s="26" t="e">
        <f t="shared" si="12"/>
        <v>#DIV/0!</v>
      </c>
      <c r="AH130" s="26" t="e">
        <f t="shared" si="13"/>
        <v>#DIV/0!</v>
      </c>
      <c r="AI130" s="26" t="e">
        <f t="shared" si="14"/>
        <v>#DIV/0!</v>
      </c>
    </row>
    <row r="131" spans="1:35" ht="19.2" hidden="1" customHeight="1">
      <c r="A131" s="24">
        <v>0</v>
      </c>
      <c r="B131" s="26">
        <f>'INTERNAL TEST-1  '!B131</f>
        <v>0</v>
      </c>
      <c r="C131" s="89">
        <f>'INTERNAL TEST-1  '!C131</f>
        <v>0</v>
      </c>
      <c r="D131" s="24"/>
      <c r="E131" s="24"/>
      <c r="F131" s="24"/>
      <c r="G131" s="24"/>
      <c r="H131" s="24"/>
      <c r="I131" s="24"/>
      <c r="J131" s="24"/>
      <c r="K131" s="24"/>
      <c r="L131" s="24"/>
      <c r="M131" s="24"/>
      <c r="N131" s="24"/>
      <c r="O131" s="24"/>
      <c r="P131" s="24"/>
      <c r="Q131" s="24"/>
      <c r="R131" s="24"/>
      <c r="S131" s="24"/>
      <c r="T131" s="24"/>
      <c r="U131" s="26">
        <f t="shared" si="16"/>
        <v>0</v>
      </c>
      <c r="V131" s="26">
        <f t="shared" si="17"/>
        <v>0</v>
      </c>
      <c r="W131" s="26">
        <f t="shared" si="18"/>
        <v>0</v>
      </c>
      <c r="X131" s="26">
        <f t="shared" si="19"/>
        <v>0</v>
      </c>
      <c r="Y131" s="26">
        <f t="shared" si="20"/>
        <v>0</v>
      </c>
      <c r="Z131" s="26">
        <f t="shared" si="21"/>
        <v>0</v>
      </c>
      <c r="AA131" s="26">
        <f t="shared" si="22"/>
        <v>0</v>
      </c>
      <c r="AB131" s="26">
        <f t="shared" si="23"/>
        <v>0</v>
      </c>
      <c r="AC131" s="26" t="e">
        <f t="shared" si="8"/>
        <v>#DIV/0!</v>
      </c>
      <c r="AD131" s="26" t="e">
        <f t="shared" si="9"/>
        <v>#DIV/0!</v>
      </c>
      <c r="AE131" s="26" t="e">
        <f t="shared" si="10"/>
        <v>#DIV/0!</v>
      </c>
      <c r="AF131" s="26" t="e">
        <f t="shared" si="11"/>
        <v>#DIV/0!</v>
      </c>
      <c r="AG131" s="26" t="e">
        <f t="shared" si="12"/>
        <v>#DIV/0!</v>
      </c>
      <c r="AH131" s="26" t="e">
        <f t="shared" si="13"/>
        <v>#DIV/0!</v>
      </c>
      <c r="AI131" s="26" t="e">
        <f t="shared" si="14"/>
        <v>#DIV/0!</v>
      </c>
    </row>
    <row r="132" spans="1:35" ht="19.2" hidden="1" customHeight="1">
      <c r="A132" s="24">
        <v>0</v>
      </c>
      <c r="B132" s="26">
        <f>'INTERNAL TEST-1  '!B132</f>
        <v>0</v>
      </c>
      <c r="C132" s="89">
        <f>'INTERNAL TEST-1  '!C132</f>
        <v>0</v>
      </c>
      <c r="D132" s="24"/>
      <c r="E132" s="24"/>
      <c r="F132" s="24"/>
      <c r="G132" s="24"/>
      <c r="H132" s="24"/>
      <c r="I132" s="24"/>
      <c r="J132" s="24"/>
      <c r="K132" s="24"/>
      <c r="L132" s="24"/>
      <c r="M132" s="24"/>
      <c r="N132" s="24"/>
      <c r="O132" s="24"/>
      <c r="P132" s="24"/>
      <c r="Q132" s="24"/>
      <c r="R132" s="24"/>
      <c r="S132" s="24"/>
      <c r="T132" s="24"/>
      <c r="U132" s="26">
        <f t="shared" si="16"/>
        <v>0</v>
      </c>
      <c r="V132" s="26">
        <f t="shared" si="17"/>
        <v>0</v>
      </c>
      <c r="W132" s="26">
        <f t="shared" si="18"/>
        <v>0</v>
      </c>
      <c r="X132" s="26">
        <f t="shared" si="19"/>
        <v>0</v>
      </c>
      <c r="Y132" s="26">
        <f t="shared" si="20"/>
        <v>0</v>
      </c>
      <c r="Z132" s="26">
        <f t="shared" si="21"/>
        <v>0</v>
      </c>
      <c r="AA132" s="26">
        <f t="shared" si="22"/>
        <v>0</v>
      </c>
      <c r="AB132" s="26">
        <f t="shared" si="23"/>
        <v>0</v>
      </c>
      <c r="AC132" s="26" t="e">
        <f t="shared" si="8"/>
        <v>#DIV/0!</v>
      </c>
      <c r="AD132" s="26" t="e">
        <f t="shared" si="9"/>
        <v>#DIV/0!</v>
      </c>
      <c r="AE132" s="26" t="e">
        <f t="shared" si="10"/>
        <v>#DIV/0!</v>
      </c>
      <c r="AF132" s="26" t="e">
        <f t="shared" si="11"/>
        <v>#DIV/0!</v>
      </c>
      <c r="AG132" s="26" t="e">
        <f t="shared" si="12"/>
        <v>#DIV/0!</v>
      </c>
      <c r="AH132" s="26" t="e">
        <f t="shared" si="13"/>
        <v>#DIV/0!</v>
      </c>
      <c r="AI132" s="26" t="e">
        <f t="shared" si="14"/>
        <v>#DIV/0!</v>
      </c>
    </row>
    <row r="133" spans="1:35" ht="19.2" hidden="1" customHeight="1">
      <c r="A133" s="24">
        <v>0</v>
      </c>
      <c r="B133" s="26">
        <f>'INTERNAL TEST-1  '!B133</f>
        <v>0</v>
      </c>
      <c r="C133" s="89">
        <f>'INTERNAL TEST-1  '!C133</f>
        <v>0</v>
      </c>
      <c r="D133" s="24"/>
      <c r="E133" s="24"/>
      <c r="F133" s="24"/>
      <c r="G133" s="24"/>
      <c r="H133" s="24"/>
      <c r="I133" s="24"/>
      <c r="J133" s="24"/>
      <c r="K133" s="24"/>
      <c r="L133" s="24"/>
      <c r="M133" s="24"/>
      <c r="N133" s="24"/>
      <c r="O133" s="24"/>
      <c r="P133" s="24"/>
      <c r="Q133" s="24"/>
      <c r="R133" s="24"/>
      <c r="S133" s="24"/>
      <c r="T133" s="24"/>
      <c r="U133" s="26">
        <f t="shared" si="16"/>
        <v>0</v>
      </c>
      <c r="V133" s="26">
        <f t="shared" si="17"/>
        <v>0</v>
      </c>
      <c r="W133" s="26">
        <f t="shared" si="18"/>
        <v>0</v>
      </c>
      <c r="X133" s="26">
        <f t="shared" si="19"/>
        <v>0</v>
      </c>
      <c r="Y133" s="26">
        <f t="shared" si="20"/>
        <v>0</v>
      </c>
      <c r="Z133" s="26">
        <f t="shared" si="21"/>
        <v>0</v>
      </c>
      <c r="AA133" s="26">
        <f t="shared" si="22"/>
        <v>0</v>
      </c>
      <c r="AB133" s="26">
        <f t="shared" si="23"/>
        <v>0</v>
      </c>
      <c r="AC133" s="26" t="e">
        <f t="shared" si="8"/>
        <v>#DIV/0!</v>
      </c>
      <c r="AD133" s="26" t="e">
        <f t="shared" si="9"/>
        <v>#DIV/0!</v>
      </c>
      <c r="AE133" s="26" t="e">
        <f t="shared" si="10"/>
        <v>#DIV/0!</v>
      </c>
      <c r="AF133" s="26" t="e">
        <f t="shared" si="11"/>
        <v>#DIV/0!</v>
      </c>
      <c r="AG133" s="26" t="e">
        <f t="shared" si="12"/>
        <v>#DIV/0!</v>
      </c>
      <c r="AH133" s="26" t="e">
        <f t="shared" si="13"/>
        <v>#DIV/0!</v>
      </c>
      <c r="AI133" s="26" t="e">
        <f t="shared" si="14"/>
        <v>#DIV/0!</v>
      </c>
    </row>
    <row r="134" spans="1:35" ht="19.2" hidden="1" customHeight="1">
      <c r="A134" s="24">
        <v>0</v>
      </c>
      <c r="B134" s="26">
        <f>'INTERNAL TEST-1  '!B134</f>
        <v>0</v>
      </c>
      <c r="C134" s="89">
        <f>'INTERNAL TEST-1  '!C134</f>
        <v>0</v>
      </c>
      <c r="D134" s="24"/>
      <c r="E134" s="24"/>
      <c r="F134" s="24"/>
      <c r="G134" s="24"/>
      <c r="H134" s="24"/>
      <c r="I134" s="24"/>
      <c r="J134" s="24"/>
      <c r="K134" s="24"/>
      <c r="L134" s="24"/>
      <c r="M134" s="24"/>
      <c r="N134" s="24"/>
      <c r="O134" s="24"/>
      <c r="P134" s="24"/>
      <c r="Q134" s="24"/>
      <c r="R134" s="24"/>
      <c r="S134" s="24"/>
      <c r="T134" s="24"/>
      <c r="U134" s="26">
        <f t="shared" si="16"/>
        <v>0</v>
      </c>
      <c r="V134" s="26">
        <f t="shared" si="17"/>
        <v>0</v>
      </c>
      <c r="W134" s="26">
        <f t="shared" si="18"/>
        <v>0</v>
      </c>
      <c r="X134" s="26">
        <f t="shared" si="19"/>
        <v>0</v>
      </c>
      <c r="Y134" s="26">
        <f t="shared" si="20"/>
        <v>0</v>
      </c>
      <c r="Z134" s="26">
        <f t="shared" si="21"/>
        <v>0</v>
      </c>
      <c r="AA134" s="26">
        <f t="shared" si="22"/>
        <v>0</v>
      </c>
      <c r="AB134" s="26">
        <f t="shared" si="23"/>
        <v>0</v>
      </c>
      <c r="AC134" s="26" t="e">
        <f t="shared" si="8"/>
        <v>#DIV/0!</v>
      </c>
      <c r="AD134" s="26" t="e">
        <f t="shared" si="9"/>
        <v>#DIV/0!</v>
      </c>
      <c r="AE134" s="26" t="e">
        <f t="shared" si="10"/>
        <v>#DIV/0!</v>
      </c>
      <c r="AF134" s="26" t="e">
        <f t="shared" si="11"/>
        <v>#DIV/0!</v>
      </c>
      <c r="AG134" s="26" t="e">
        <f t="shared" si="12"/>
        <v>#DIV/0!</v>
      </c>
      <c r="AH134" s="26" t="e">
        <f t="shared" si="13"/>
        <v>#DIV/0!</v>
      </c>
      <c r="AI134" s="26" t="e">
        <f t="shared" si="14"/>
        <v>#DIV/0!</v>
      </c>
    </row>
    <row r="135" spans="1:35" ht="19.2" hidden="1" customHeight="1">
      <c r="A135" s="24">
        <v>0</v>
      </c>
      <c r="B135" s="26">
        <f>'INTERNAL TEST-1  '!B135</f>
        <v>0</v>
      </c>
      <c r="C135" s="89">
        <f>'INTERNAL TEST-1  '!C135</f>
        <v>0</v>
      </c>
      <c r="D135" s="24"/>
      <c r="E135" s="24"/>
      <c r="F135" s="24"/>
      <c r="G135" s="24"/>
      <c r="H135" s="24"/>
      <c r="I135" s="24"/>
      <c r="J135" s="24"/>
      <c r="K135" s="24"/>
      <c r="L135" s="24"/>
      <c r="M135" s="24"/>
      <c r="N135" s="24"/>
      <c r="O135" s="24"/>
      <c r="P135" s="24"/>
      <c r="Q135" s="24"/>
      <c r="R135" s="24"/>
      <c r="S135" s="24"/>
      <c r="T135" s="24"/>
      <c r="U135" s="26">
        <f t="shared" si="16"/>
        <v>0</v>
      </c>
      <c r="V135" s="26">
        <f t="shared" si="17"/>
        <v>0</v>
      </c>
      <c r="W135" s="26">
        <f t="shared" si="18"/>
        <v>0</v>
      </c>
      <c r="X135" s="26">
        <f t="shared" si="19"/>
        <v>0</v>
      </c>
      <c r="Y135" s="26">
        <f t="shared" si="20"/>
        <v>0</v>
      </c>
      <c r="Z135" s="26">
        <f t="shared" si="21"/>
        <v>0</v>
      </c>
      <c r="AA135" s="26">
        <f t="shared" si="22"/>
        <v>0</v>
      </c>
      <c r="AB135" s="26">
        <f t="shared" si="23"/>
        <v>0</v>
      </c>
      <c r="AC135" s="26" t="e">
        <f t="shared" si="8"/>
        <v>#DIV/0!</v>
      </c>
      <c r="AD135" s="26" t="e">
        <f t="shared" si="9"/>
        <v>#DIV/0!</v>
      </c>
      <c r="AE135" s="26" t="e">
        <f t="shared" si="10"/>
        <v>#DIV/0!</v>
      </c>
      <c r="AF135" s="26" t="e">
        <f t="shared" si="11"/>
        <v>#DIV/0!</v>
      </c>
      <c r="AG135" s="26" t="e">
        <f t="shared" si="12"/>
        <v>#DIV/0!</v>
      </c>
      <c r="AH135" s="26" t="e">
        <f t="shared" si="13"/>
        <v>#DIV/0!</v>
      </c>
      <c r="AI135" s="26" t="e">
        <f t="shared" si="14"/>
        <v>#DIV/0!</v>
      </c>
    </row>
    <row r="136" spans="1:35" ht="19.2" hidden="1" customHeight="1">
      <c r="A136" s="24">
        <v>0</v>
      </c>
      <c r="B136" s="26">
        <f>'INTERNAL TEST-1  '!B136</f>
        <v>0</v>
      </c>
      <c r="C136" s="89">
        <f>'INTERNAL TEST-1  '!C136</f>
        <v>0</v>
      </c>
      <c r="D136" s="24"/>
      <c r="E136" s="24"/>
      <c r="F136" s="24"/>
      <c r="G136" s="24"/>
      <c r="H136" s="24"/>
      <c r="I136" s="24"/>
      <c r="J136" s="24"/>
      <c r="K136" s="24"/>
      <c r="L136" s="24"/>
      <c r="M136" s="24"/>
      <c r="N136" s="24"/>
      <c r="O136" s="24"/>
      <c r="P136" s="24"/>
      <c r="Q136" s="24"/>
      <c r="R136" s="24"/>
      <c r="S136" s="24"/>
      <c r="T136" s="24"/>
      <c r="U136" s="26">
        <f t="shared" si="16"/>
        <v>0</v>
      </c>
      <c r="V136" s="26">
        <f t="shared" si="17"/>
        <v>0</v>
      </c>
      <c r="W136" s="26">
        <f t="shared" si="18"/>
        <v>0</v>
      </c>
      <c r="X136" s="26">
        <f t="shared" si="19"/>
        <v>0</v>
      </c>
      <c r="Y136" s="26">
        <f t="shared" si="20"/>
        <v>0</v>
      </c>
      <c r="Z136" s="26">
        <f t="shared" si="21"/>
        <v>0</v>
      </c>
      <c r="AA136" s="26">
        <f t="shared" si="22"/>
        <v>0</v>
      </c>
      <c r="AB136" s="26">
        <f t="shared" si="23"/>
        <v>0</v>
      </c>
      <c r="AC136" s="26" t="e">
        <f t="shared" si="8"/>
        <v>#DIV/0!</v>
      </c>
      <c r="AD136" s="26" t="e">
        <f t="shared" si="9"/>
        <v>#DIV/0!</v>
      </c>
      <c r="AE136" s="26" t="e">
        <f t="shared" si="10"/>
        <v>#DIV/0!</v>
      </c>
      <c r="AF136" s="26" t="e">
        <f t="shared" si="11"/>
        <v>#DIV/0!</v>
      </c>
      <c r="AG136" s="26" t="e">
        <f t="shared" si="12"/>
        <v>#DIV/0!</v>
      </c>
      <c r="AH136" s="26" t="e">
        <f t="shared" si="13"/>
        <v>#DIV/0!</v>
      </c>
      <c r="AI136" s="26" t="e">
        <f t="shared" si="14"/>
        <v>#DIV/0!</v>
      </c>
    </row>
    <row r="137" spans="1:35" ht="19.2" hidden="1" customHeight="1">
      <c r="A137" s="24">
        <v>0</v>
      </c>
      <c r="B137" s="26">
        <f>'INTERNAL TEST-1  '!B137</f>
        <v>0</v>
      </c>
      <c r="C137" s="89">
        <f>'INTERNAL TEST-1  '!C137</f>
        <v>0</v>
      </c>
      <c r="D137" s="24"/>
      <c r="E137" s="24"/>
      <c r="F137" s="24"/>
      <c r="G137" s="24"/>
      <c r="H137" s="24"/>
      <c r="I137" s="24"/>
      <c r="J137" s="24"/>
      <c r="K137" s="24"/>
      <c r="L137" s="24"/>
      <c r="M137" s="24"/>
      <c r="N137" s="24"/>
      <c r="O137" s="24"/>
      <c r="P137" s="24"/>
      <c r="Q137" s="24"/>
      <c r="R137" s="24"/>
      <c r="S137" s="24"/>
      <c r="T137" s="24"/>
      <c r="U137" s="26">
        <f t="shared" si="16"/>
        <v>0</v>
      </c>
      <c r="V137" s="26">
        <f t="shared" si="17"/>
        <v>0</v>
      </c>
      <c r="W137" s="26">
        <f t="shared" si="18"/>
        <v>0</v>
      </c>
      <c r="X137" s="26">
        <f t="shared" si="19"/>
        <v>0</v>
      </c>
      <c r="Y137" s="26">
        <f t="shared" si="20"/>
        <v>0</v>
      </c>
      <c r="Z137" s="26">
        <f t="shared" si="21"/>
        <v>0</v>
      </c>
      <c r="AA137" s="26">
        <f t="shared" si="22"/>
        <v>0</v>
      </c>
      <c r="AB137" s="26">
        <f t="shared" si="23"/>
        <v>0</v>
      </c>
      <c r="AC137" s="26" t="e">
        <f t="shared" si="8"/>
        <v>#DIV/0!</v>
      </c>
      <c r="AD137" s="26" t="e">
        <f t="shared" si="9"/>
        <v>#DIV/0!</v>
      </c>
      <c r="AE137" s="26" t="e">
        <f t="shared" si="10"/>
        <v>#DIV/0!</v>
      </c>
      <c r="AF137" s="26" t="e">
        <f t="shared" si="11"/>
        <v>#DIV/0!</v>
      </c>
      <c r="AG137" s="26" t="e">
        <f t="shared" si="12"/>
        <v>#DIV/0!</v>
      </c>
      <c r="AH137" s="26" t="e">
        <f t="shared" si="13"/>
        <v>#DIV/0!</v>
      </c>
      <c r="AI137" s="26" t="e">
        <f t="shared" si="14"/>
        <v>#DIV/0!</v>
      </c>
    </row>
    <row r="138" spans="1:35" ht="19.2" hidden="1" customHeight="1">
      <c r="A138" s="24">
        <v>0</v>
      </c>
      <c r="B138" s="26">
        <f>'INTERNAL TEST-1  '!B138</f>
        <v>0</v>
      </c>
      <c r="C138" s="89">
        <f>'INTERNAL TEST-1  '!C138</f>
        <v>0</v>
      </c>
      <c r="D138" s="24"/>
      <c r="E138" s="24"/>
      <c r="F138" s="24"/>
      <c r="G138" s="24"/>
      <c r="H138" s="24"/>
      <c r="I138" s="24"/>
      <c r="J138" s="24"/>
      <c r="K138" s="24"/>
      <c r="L138" s="24"/>
      <c r="M138" s="24"/>
      <c r="N138" s="24"/>
      <c r="O138" s="24"/>
      <c r="P138" s="24"/>
      <c r="Q138" s="24"/>
      <c r="R138" s="24"/>
      <c r="S138" s="24"/>
      <c r="T138" s="24"/>
      <c r="U138" s="26">
        <f t="shared" si="16"/>
        <v>0</v>
      </c>
      <c r="V138" s="26">
        <f t="shared" si="17"/>
        <v>0</v>
      </c>
      <c r="W138" s="26">
        <f t="shared" si="18"/>
        <v>0</v>
      </c>
      <c r="X138" s="26">
        <f t="shared" si="19"/>
        <v>0</v>
      </c>
      <c r="Y138" s="26">
        <f t="shared" si="20"/>
        <v>0</v>
      </c>
      <c r="Z138" s="26">
        <f t="shared" si="21"/>
        <v>0</v>
      </c>
      <c r="AA138" s="26">
        <f t="shared" si="22"/>
        <v>0</v>
      </c>
      <c r="AB138" s="26">
        <f t="shared" si="23"/>
        <v>0</v>
      </c>
      <c r="AC138" s="26" t="e">
        <f t="shared" si="8"/>
        <v>#DIV/0!</v>
      </c>
      <c r="AD138" s="26" t="e">
        <f t="shared" si="9"/>
        <v>#DIV/0!</v>
      </c>
      <c r="AE138" s="26" t="e">
        <f t="shared" si="10"/>
        <v>#DIV/0!</v>
      </c>
      <c r="AF138" s="26" t="e">
        <f t="shared" si="11"/>
        <v>#DIV/0!</v>
      </c>
      <c r="AG138" s="26" t="e">
        <f t="shared" si="12"/>
        <v>#DIV/0!</v>
      </c>
      <c r="AH138" s="26" t="e">
        <f t="shared" si="13"/>
        <v>#DIV/0!</v>
      </c>
      <c r="AI138" s="26" t="e">
        <f t="shared" si="14"/>
        <v>#DIV/0!</v>
      </c>
    </row>
    <row r="139" spans="1:35" ht="19.2" hidden="1" customHeight="1">
      <c r="A139" s="24">
        <v>0</v>
      </c>
      <c r="B139" s="26">
        <f>'INTERNAL TEST-1  '!B139</f>
        <v>0</v>
      </c>
      <c r="C139" s="89">
        <f>'INTERNAL TEST-1  '!C139</f>
        <v>0</v>
      </c>
      <c r="D139" s="24"/>
      <c r="E139" s="24"/>
      <c r="F139" s="24"/>
      <c r="G139" s="24"/>
      <c r="H139" s="24"/>
      <c r="I139" s="24"/>
      <c r="J139" s="24"/>
      <c r="K139" s="24"/>
      <c r="L139" s="24"/>
      <c r="M139" s="24"/>
      <c r="N139" s="24"/>
      <c r="O139" s="24"/>
      <c r="P139" s="24"/>
      <c r="Q139" s="24"/>
      <c r="R139" s="24"/>
      <c r="S139" s="24"/>
      <c r="T139" s="24"/>
      <c r="U139" s="26">
        <f>SUM(D139:T139)</f>
        <v>0</v>
      </c>
      <c r="V139" s="26">
        <f t="shared" si="17"/>
        <v>0</v>
      </c>
      <c r="W139" s="26">
        <f t="shared" si="18"/>
        <v>0</v>
      </c>
      <c r="X139" s="26">
        <f t="shared" si="19"/>
        <v>0</v>
      </c>
      <c r="Y139" s="26">
        <f t="shared" si="20"/>
        <v>0</v>
      </c>
      <c r="Z139" s="26">
        <f t="shared" si="21"/>
        <v>0</v>
      </c>
      <c r="AA139" s="26">
        <f t="shared" si="22"/>
        <v>0</v>
      </c>
      <c r="AB139" s="26">
        <f t="shared" si="23"/>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6" t="e">
        <f>ROUND(X139/(IF($D$12="CO3",$D$13,0)+IF($E$12="CO3",$E$13,0)+IF($F$12="CO3",$F$13,0)+IF($G$12="CO3",$G$13,0)+IF($H$12="CO3",$H$13,0)+IF($I$12="CO3",$I$13,0)+IF($J$12="CO3",$J$13,0)+IF($K$12="CO3",$K$13,0)+IF($L$12="CO3",$L$13,0)+IF($M$12="CO3",$M$13,0)+IF($N$12="CO3",$N$13,0)+IF($O$12="CO3",$O$13,0)+IF($P$12="CO3",$P$13,0)+IF($Q$12="CO3",$Q$13,0)+IF($R$12="CO3",$R$13,0)+IF($S$12="CO3",$S$13,0)+IF($T$12="CO3",$T$13,0))*100,2)</f>
        <v>#DIV/0!</v>
      </c>
      <c r="AF139" s="26" t="e">
        <f>ROUND(Y139/(IF($D$12="CO4",$D$13,0)+IF($E$12="CO4",$E$13,0)+IF($F$12="CO4",$F$13,0)+IF($G$12="CO4",$G$13,0)+IF($H$12="CO4",$H$13,0)+IF($I$12="CO4",$I$13,0)+IF($J$12="CO4",$J$13,0)+IF($K$12="CO4",$K$13,0)+IF($L$12="CO4",$L$13,0)+IF($M$12="CO4",$M$13,0)+IF($N$12="CO4",$N$13,0)+IF($O$12="CO4",$O$13,0)+IF($P$12="CO4",$P$13,0)+IF($Q$12="CO4",$Q$13,0)+IF($R$12="CO4",$R$13,0)+IF($S$12="CO4",$S$13,0)+IF($T$12="CO4",$T$13,0))*100,2)</f>
        <v>#DIV/0!</v>
      </c>
      <c r="AG139" s="26" t="e">
        <f>ROUND(Z139/(IF($D$12="CO5",$D$13,0)+IF($E$12="CO5",$E$13,0)+IF($F$12="CO5",$F$13,0)+IF($G$12="CO5",$G$13,0)+IF($H$12="CO5",$H$13,0)+IF($I$12="CO5",$I$13,0)+IF($J$12="CO5",$J$13,0)+IF($K$12="CO5",$K$13,0)+IF($L$12="CO5",$L$13,0)+IF($M$12="CO5",$M$13,0)+IF($N$12="CO5",$N$13,0)+IF($O$12="CO5",$O$13,0)+IF($P$12="CO5",$P$13,0)+IF($Q$12="CO5",$Q$13,0)+IF($R$12="CO5",$R$13,0)+IF($S$12="CO5",$S$13,0)+IF($T$12="CO5",$T$13,0))*100,2)</f>
        <v>#DIV/0!</v>
      </c>
      <c r="AH139" s="26" t="e">
        <f>ROUND(AA139/(IF($D$12="CO6",$D$13,0)+IF($E$12="CO6",$E$13,0)+IF($F$12="CO6",$F$13,0)+IF($G$12="CO6",$G$13,0)+IF($H$12="CO6",$H$13,0)+IF($I$12="CO6",$I$13,0)+IF($J$12="CO6",$J$13,0)+IF($K$12="CO6",$K$13,0)+IF($L$12="CO6",$L$13,0)+IF($M$12="CO6",$M$13,0)+IF($N$12="CO6",$N$13,0)+IF($O$12="CO6",$O$13,0)+IF($P$12="CO6",$P$13,0)+IF($Q$12="CO6",$Q$13,0)+IF($R$12="CO6",$R$13,0)+IF($S$12="CO6",$S$13,0)+IF($T$12="CO6",$T$13,0))*100,2)</f>
        <v>#DIV/0!</v>
      </c>
      <c r="AI139" s="26" t="e">
        <f>ROUND(AB139/(IF($D$12="CO7",$D$13,0)+IF($E$12="CO7",$E$13,0)+IF($F$12="CO7",$F$13,0)+IF($G$12="CO7",$G$13,0)+IF($H$12="CO7",$H$13,0)+IF($I$12="CO7",$I$13,0)+IF($J$12="CO7",$J$13,0)+IF($K$12="CO7",$K$13,0)+IF($L$12="CO7",$L$13,0)+IF($M$12="CO7",$M$13,0)+IF($N$12="CO7",$N$13,0)+IF($O$12="CO7",$O$13,0)+IF($P$12="CO7",$P$13,0)+IF($Q$12="CO7",$Q$13,0)+IF($R$12="CO7",$R$13,0)+IF($S$12="CO7",$S$13,0)+IF($T$12="CO7",$T$13,0))*100,2)</f>
        <v>#DIV/0!</v>
      </c>
    </row>
    <row r="140" spans="1:35" ht="19.2" customHeigh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7" t="e">
        <f>ROUND(SUM(AE14:AE139)/INPUT!$B$8,2)</f>
        <v>#DIV/0!</v>
      </c>
      <c r="AF140" s="27" t="e">
        <f>ROUND(SUM(AF14:AF139)/INPUT!$B$8,2)</f>
        <v>#DIV/0!</v>
      </c>
      <c r="AG140" s="27" t="e">
        <f>ROUND(SUM(AG14:AG139)/INPUT!$B$8,2)</f>
        <v>#DIV/0!</v>
      </c>
      <c r="AH140" s="27" t="e">
        <f>ROUND(SUM(AH14:AH139)/INPUT!$B$8,2)</f>
        <v>#DIV/0!</v>
      </c>
      <c r="AI140" s="27"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7">
        <f>INPUT!E14</f>
        <v>50</v>
      </c>
      <c r="AF141" s="27">
        <f>INPUT!E15</f>
        <v>50</v>
      </c>
      <c r="AG141" s="27">
        <f>INPUT!E16</f>
        <v>50</v>
      </c>
      <c r="AH141" s="27">
        <f>INPUT!E17</f>
        <v>50</v>
      </c>
      <c r="AI141" s="27"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24">COUNTIF(AC14:AC139,"&gt;="&amp;AC141)</f>
        <v>0</v>
      </c>
      <c r="AD142" s="14">
        <f t="shared" si="24"/>
        <v>0</v>
      </c>
      <c r="AE142" s="14">
        <f t="shared" si="24"/>
        <v>0</v>
      </c>
      <c r="AF142" s="14">
        <f t="shared" si="24"/>
        <v>0</v>
      </c>
      <c r="AG142" s="14">
        <f t="shared" si="24"/>
        <v>0</v>
      </c>
      <c r="AH142" s="14">
        <f t="shared" si="24"/>
        <v>0</v>
      </c>
      <c r="AI142" s="14">
        <f t="shared" si="24"/>
        <v>0</v>
      </c>
    </row>
    <row r="143" spans="1:35" ht="21.9" customHeigh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8" t="e">
        <f>ROUND((AE142/INPUT!$B$8)*100,2)</f>
        <v>#DIV/0!</v>
      </c>
      <c r="AF143" s="28" t="e">
        <f>ROUND((AF142/INPUT!$B$8)*100,2)</f>
        <v>#DIV/0!</v>
      </c>
      <c r="AG143" s="28" t="e">
        <f>ROUND((AG142/INPUT!$B$8)*100,2)</f>
        <v>#DIV/0!</v>
      </c>
      <c r="AH143" s="28" t="e">
        <f>ROUND((AH142/INPUT!$B$8)*100,2)</f>
        <v>#DIV/0!</v>
      </c>
      <c r="AI143" s="28"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sheetProtection algorithmName="SHA-512" hashValue="GRU0zPNYCmTP/U9RE7UIy8FcKkBhOl8R2ngEkYj4EF5RUe8r6kwDcbh3TA31IOodTfi0HyqRIknaOYTT55T/aA==" saltValue="RrFWQ/ytJMTs6hBD/OXy2A==" spinCount="100000" sheet="1" objects="1" scenarios="1"/>
  <mergeCells count="35">
    <mergeCell ref="A144:AB144"/>
    <mergeCell ref="AI10:AI13"/>
    <mergeCell ref="A140:AB140"/>
    <mergeCell ref="A141:AB141"/>
    <mergeCell ref="A142:AB142"/>
    <mergeCell ref="A143:AB143"/>
    <mergeCell ref="AB10:AB13"/>
    <mergeCell ref="AE10:AE13"/>
    <mergeCell ref="AF10:AF13"/>
    <mergeCell ref="AG10:AG13"/>
    <mergeCell ref="AH10:AH13"/>
    <mergeCell ref="AC10:AC13"/>
    <mergeCell ref="AD10:AD13"/>
    <mergeCell ref="A7:B7"/>
    <mergeCell ref="C7:H7"/>
    <mergeCell ref="L7:P7"/>
    <mergeCell ref="R7:AD7"/>
    <mergeCell ref="A10:A13"/>
    <mergeCell ref="B10:B13"/>
    <mergeCell ref="C10:C13"/>
    <mergeCell ref="V10:V13"/>
    <mergeCell ref="W10:W13"/>
    <mergeCell ref="X10:X13"/>
    <mergeCell ref="U11:U13"/>
    <mergeCell ref="Y10:Y13"/>
    <mergeCell ref="Z10:Z13"/>
    <mergeCell ref="AA10:AA13"/>
    <mergeCell ref="A1:AI1"/>
    <mergeCell ref="A2:AI2"/>
    <mergeCell ref="A3:AI3"/>
    <mergeCell ref="A4:AI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144"/>
  <sheetViews>
    <sheetView workbookViewId="0">
      <selection activeCell="U14" sqref="U14"/>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28" width="9.109375" style="2" hidden="1" customWidth="1"/>
    <col min="29"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56">
        <f>INPUT!B2</f>
        <v>0</v>
      </c>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1:35" ht="21">
      <c r="A3" s="148" t="s">
        <v>119</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hidden="1">
      <c r="A4" s="148"/>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hidden="1">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row>
    <row r="6" spans="1:35" ht="21">
      <c r="A6" s="151" t="s">
        <v>56</v>
      </c>
      <c r="B6" s="151"/>
      <c r="C6" s="88">
        <f>INPUT!B3</f>
        <v>0</v>
      </c>
      <c r="D6" s="149" t="s">
        <v>57</v>
      </c>
      <c r="E6" s="149"/>
      <c r="F6" s="149"/>
      <c r="G6" s="6"/>
      <c r="H6" s="88">
        <f>INPUT!B4</f>
        <v>0</v>
      </c>
      <c r="I6" s="6"/>
      <c r="J6" s="6"/>
      <c r="K6" s="6"/>
      <c r="L6" s="151" t="s">
        <v>70</v>
      </c>
      <c r="M6" s="151"/>
      <c r="N6" s="151"/>
      <c r="O6" s="151"/>
      <c r="P6" s="151"/>
      <c r="Q6" s="5"/>
      <c r="R6" s="157">
        <f>INPUT!B5</f>
        <v>0</v>
      </c>
      <c r="S6" s="157"/>
      <c r="T6" s="157"/>
      <c r="U6" s="157"/>
      <c r="V6" s="5"/>
      <c r="W6" s="5"/>
      <c r="X6" s="5"/>
      <c r="Y6" s="5"/>
      <c r="Z6" s="5"/>
      <c r="AA6" s="5"/>
      <c r="AB6" s="5"/>
      <c r="AC6" s="5"/>
      <c r="AD6" s="5"/>
      <c r="AE6" s="5"/>
      <c r="AF6" s="5"/>
      <c r="AG6" s="5"/>
      <c r="AH6" s="5"/>
      <c r="AI6" s="5"/>
    </row>
    <row r="7" spans="1:35" ht="21">
      <c r="A7" s="151" t="s">
        <v>61</v>
      </c>
      <c r="B7" s="151"/>
      <c r="C7" s="157">
        <f>INPUT!B7</f>
        <v>0</v>
      </c>
      <c r="D7" s="157"/>
      <c r="E7" s="157"/>
      <c r="F7" s="157"/>
      <c r="G7" s="157"/>
      <c r="H7" s="157"/>
      <c r="I7" s="6"/>
      <c r="J7" s="6"/>
      <c r="K7" s="6"/>
      <c r="L7" s="151" t="s">
        <v>69</v>
      </c>
      <c r="M7" s="151"/>
      <c r="N7" s="151"/>
      <c r="O7" s="151"/>
      <c r="P7" s="151"/>
      <c r="Q7" s="5"/>
      <c r="R7" s="157">
        <f>INPUT!B6</f>
        <v>0</v>
      </c>
      <c r="S7" s="157"/>
      <c r="T7" s="157"/>
      <c r="U7" s="157"/>
      <c r="V7" s="157"/>
      <c r="W7" s="157"/>
      <c r="X7" s="157"/>
      <c r="Y7" s="157"/>
      <c r="Z7" s="157"/>
      <c r="AA7" s="157"/>
      <c r="AB7" s="157"/>
      <c r="AC7" s="157"/>
      <c r="AD7" s="157"/>
      <c r="AE7" s="5"/>
      <c r="AF7" s="5"/>
      <c r="AG7" s="5"/>
      <c r="AH7" s="5"/>
      <c r="AI7" s="5"/>
    </row>
    <row r="8" spans="1:35" ht="21">
      <c r="A8" s="57"/>
      <c r="B8" s="57"/>
      <c r="C8" s="57"/>
      <c r="D8" s="57"/>
      <c r="E8" s="57"/>
      <c r="F8" s="57"/>
      <c r="G8" s="57"/>
      <c r="H8" s="57"/>
      <c r="I8" s="6"/>
      <c r="J8" s="6"/>
      <c r="K8" s="6"/>
      <c r="L8" s="57"/>
      <c r="M8" s="57"/>
      <c r="N8" s="57"/>
      <c r="O8" s="57"/>
      <c r="P8" s="57"/>
      <c r="Q8" s="5"/>
      <c r="R8" s="57"/>
      <c r="S8" s="57"/>
      <c r="T8" s="57"/>
      <c r="U8" s="57"/>
      <c r="V8" s="57"/>
      <c r="W8" s="57"/>
      <c r="X8" s="57"/>
      <c r="Y8" s="57"/>
      <c r="Z8" s="57"/>
      <c r="AA8" s="57"/>
      <c r="AB8" s="57"/>
      <c r="AC8" s="57"/>
      <c r="AD8" s="57"/>
      <c r="AE8" s="5"/>
      <c r="AF8" s="5"/>
      <c r="AG8" s="5"/>
      <c r="AH8" s="5"/>
      <c r="AI8" s="5"/>
    </row>
    <row r="9" spans="1:35" ht="26.4" hidden="1" customHeight="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27" t="str">
        <f>CONCATENATE("A",INPUT!Q3)</f>
        <v>A</v>
      </c>
      <c r="E10" s="27" t="str">
        <f>CONCATENATE("A",INPUT!Q4)</f>
        <v>A</v>
      </c>
      <c r="F10" s="27" t="str">
        <f>CONCATENATE("A",INPUT!Q5)</f>
        <v>A</v>
      </c>
      <c r="G10" s="27" t="str">
        <f>CONCATENATE("A",INPUT!Q6)</f>
        <v>A</v>
      </c>
      <c r="H10" s="27" t="str">
        <f>CONCATENATE("A",INPUT!Q7)</f>
        <v>A</v>
      </c>
      <c r="I10" s="27" t="str">
        <f>CONCATENATE("A",INPUT!Q8)</f>
        <v>A</v>
      </c>
      <c r="J10" s="27" t="str">
        <f>CONCATENATE("A",INPUT!Q9)</f>
        <v>A</v>
      </c>
      <c r="K10" s="27" t="str">
        <f>CONCATENATE("A",INPUT!Q10)</f>
        <v>A</v>
      </c>
      <c r="L10" s="27" t="str">
        <f>CONCATENATE("A",INPUT!Q11)</f>
        <v>A</v>
      </c>
      <c r="M10" s="27" t="str">
        <f>CONCATENATE("A",INPUT!Q12)</f>
        <v>A</v>
      </c>
      <c r="N10" s="27" t="str">
        <f>CONCATENATE("A",INPUT!Q13)</f>
        <v>A</v>
      </c>
      <c r="O10" s="27" t="str">
        <f>CONCATENATE("A",INPUT!Q14)</f>
        <v>A</v>
      </c>
      <c r="P10" s="27" t="str">
        <f>CONCATENATE("A",INPUT!Q15)</f>
        <v>A</v>
      </c>
      <c r="Q10" s="27" t="str">
        <f>CONCATENATE("A",INPUT!Q16)</f>
        <v>A</v>
      </c>
      <c r="R10" s="27" t="str">
        <f>CONCATENATE("A",INPUT!Q17)</f>
        <v>A</v>
      </c>
      <c r="S10" s="27" t="str">
        <f>CONCATENATE("A",INPUT!Q18)</f>
        <v>A</v>
      </c>
      <c r="T10" s="27" t="str">
        <f>CONCATENATE("A",INPUT!Q19)</f>
        <v>A</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t="str">
        <f>CONCATENATE("Qn ",INPUT!R3)</f>
        <v xml:space="preserve">Qn </v>
      </c>
      <c r="E11" s="27" t="str">
        <f>CONCATENATE("Qn ",INPUT!R4)</f>
        <v xml:space="preserve">Qn </v>
      </c>
      <c r="F11" s="27" t="str">
        <f>CONCATENATE("Qn ",INPUT!R5)</f>
        <v xml:space="preserve">Qn </v>
      </c>
      <c r="G11" s="27" t="str">
        <f>CONCATENATE("Qn ",INPUT!R6)</f>
        <v xml:space="preserve">Qn </v>
      </c>
      <c r="H11" s="27" t="str">
        <f>CONCATENATE("Qn ",INPUT!R7)</f>
        <v xml:space="preserve">Qn </v>
      </c>
      <c r="I11" s="27" t="str">
        <f>CONCATENATE("Qn ",INPUT!R8)</f>
        <v xml:space="preserve">Qn </v>
      </c>
      <c r="J11" s="27" t="str">
        <f>CONCATENATE("Qn ",INPUT!R9)</f>
        <v xml:space="preserve">Qn </v>
      </c>
      <c r="K11" s="27" t="str">
        <f>CONCATENATE("Qn ",INPUT!TR10)</f>
        <v xml:space="preserve">Qn </v>
      </c>
      <c r="L11" s="27" t="str">
        <f>CONCATENATE("Qn ",INPUT!R11)</f>
        <v xml:space="preserve">Qn </v>
      </c>
      <c r="M11" s="27" t="str">
        <f>CONCATENATE("Qn ",INPUT!R12)</f>
        <v xml:space="preserve">Qn </v>
      </c>
      <c r="N11" s="27" t="str">
        <f>CONCATENATE("Qn ",INPUT!R13)</f>
        <v xml:space="preserve">Qn </v>
      </c>
      <c r="O11" s="27" t="str">
        <f>CONCATENATE("Qn ",INPUT!R14)</f>
        <v xml:space="preserve">Qn </v>
      </c>
      <c r="P11" s="27" t="str">
        <f>CONCATENATE("Qn ",INPUT!R15)</f>
        <v xml:space="preserve">Qn </v>
      </c>
      <c r="Q11" s="27" t="str">
        <f>CONCATENATE("Qn ",INPUT!R16)</f>
        <v xml:space="preserve">Qn </v>
      </c>
      <c r="R11" s="27" t="str">
        <f>CONCATENATE("Qn ",INPUT!R17)</f>
        <v xml:space="preserve">Qn </v>
      </c>
      <c r="S11" s="27" t="str">
        <f>CONCATENATE("Qn ",INPUT!R18)</f>
        <v xml:space="preserve">Qn </v>
      </c>
      <c r="T11" s="27" t="str">
        <f>CONCATENATE("Qn ",INPUT!R19)</f>
        <v xml:space="preserve">Qn </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INPUT!S3</f>
        <v>0</v>
      </c>
      <c r="E12" s="27">
        <f>INPUT!S4</f>
        <v>0</v>
      </c>
      <c r="F12" s="27">
        <f>INPUT!S5</f>
        <v>0</v>
      </c>
      <c r="G12" s="27">
        <f>INPUT!S6</f>
        <v>0</v>
      </c>
      <c r="H12" s="27">
        <f>INPUT!S7</f>
        <v>0</v>
      </c>
      <c r="I12" s="27">
        <f>INPUT!S8</f>
        <v>0</v>
      </c>
      <c r="J12" s="27">
        <f>INPUT!S9</f>
        <v>0</v>
      </c>
      <c r="K12" s="27">
        <f>INPUT!S10</f>
        <v>0</v>
      </c>
      <c r="L12" s="27">
        <f>INPUT!S11</f>
        <v>0</v>
      </c>
      <c r="M12" s="27">
        <f>INPUT!S12</f>
        <v>0</v>
      </c>
      <c r="N12" s="27">
        <f>INPUT!S13</f>
        <v>0</v>
      </c>
      <c r="O12" s="27">
        <f>INPUT!S14</f>
        <v>0</v>
      </c>
      <c r="P12" s="27">
        <f>INPUT!S15</f>
        <v>0</v>
      </c>
      <c r="Q12" s="27">
        <f>INPUT!S16</f>
        <v>0</v>
      </c>
      <c r="R12" s="27">
        <f>INPUT!S17</f>
        <v>0</v>
      </c>
      <c r="S12" s="27">
        <f>INPUT!S18</f>
        <v>0</v>
      </c>
      <c r="T12" s="27">
        <f>INPUT!S19</f>
        <v>0</v>
      </c>
      <c r="U12" s="155"/>
      <c r="V12" s="145"/>
      <c r="W12" s="145"/>
      <c r="X12" s="145"/>
      <c r="Y12" s="145"/>
      <c r="Z12" s="145"/>
      <c r="AA12" s="145"/>
      <c r="AB12" s="145"/>
      <c r="AC12" s="144"/>
      <c r="AD12" s="144"/>
      <c r="AE12" s="144"/>
      <c r="AF12" s="144"/>
      <c r="AG12" s="144"/>
      <c r="AH12" s="144"/>
      <c r="AI12" s="144"/>
    </row>
    <row r="13" spans="1:35" ht="21" customHeight="1">
      <c r="A13" s="153"/>
      <c r="B13" s="154"/>
      <c r="C13" s="153"/>
      <c r="D13" s="27">
        <f>INPUT!T3</f>
        <v>0</v>
      </c>
      <c r="E13" s="27">
        <f>INPUT!T4</f>
        <v>0</v>
      </c>
      <c r="F13" s="27">
        <f>INPUT!T5</f>
        <v>0</v>
      </c>
      <c r="G13" s="27">
        <f>INPUT!T6</f>
        <v>0</v>
      </c>
      <c r="H13" s="27">
        <f>INPUT!T7</f>
        <v>0</v>
      </c>
      <c r="I13" s="27">
        <f>INPUT!T8</f>
        <v>0</v>
      </c>
      <c r="J13" s="27">
        <f>INPUT!T9</f>
        <v>0</v>
      </c>
      <c r="K13" s="27">
        <f>INPUT!T10</f>
        <v>0</v>
      </c>
      <c r="L13" s="27">
        <f>INPUT!T11</f>
        <v>0</v>
      </c>
      <c r="M13" s="27">
        <f>INPUT!T12</f>
        <v>0</v>
      </c>
      <c r="N13" s="27">
        <f>INPUT!T13</f>
        <v>0</v>
      </c>
      <c r="O13" s="27">
        <f>INPUT!T14</f>
        <v>0</v>
      </c>
      <c r="P13" s="27">
        <f>INPUT!T15</f>
        <v>0</v>
      </c>
      <c r="Q13" s="27">
        <f>INPUT!T16</f>
        <v>0</v>
      </c>
      <c r="R13" s="27">
        <f>INPUT!T17</f>
        <v>0</v>
      </c>
      <c r="S13" s="27">
        <f>INPUT!T18</f>
        <v>0</v>
      </c>
      <c r="T13" s="27">
        <f>INPUT!T19</f>
        <v>0</v>
      </c>
      <c r="U13" s="155"/>
      <c r="V13" s="145"/>
      <c r="W13" s="145"/>
      <c r="X13" s="145"/>
      <c r="Y13" s="145"/>
      <c r="Z13" s="145"/>
      <c r="AA13" s="145"/>
      <c r="AB13" s="145"/>
      <c r="AC13" s="144"/>
      <c r="AD13" s="144"/>
      <c r="AE13" s="144"/>
      <c r="AF13" s="144"/>
      <c r="AG13" s="144"/>
      <c r="AH13" s="144"/>
      <c r="AI13" s="144"/>
    </row>
    <row r="14" spans="1:35" ht="20.100000000000001" customHeight="1">
      <c r="A14" s="24">
        <v>0</v>
      </c>
      <c r="B14" s="26">
        <f>'INTERNAL TEST-1  '!B14</f>
        <v>0</v>
      </c>
      <c r="C14" s="89">
        <f>'INTERNAL TEST-1  '!C14</f>
        <v>0</v>
      </c>
      <c r="D14" s="24"/>
      <c r="E14" s="24"/>
      <c r="F14" s="24"/>
      <c r="G14" s="24"/>
      <c r="H14" s="24"/>
      <c r="I14" s="24"/>
      <c r="J14" s="24"/>
      <c r="K14" s="24"/>
      <c r="L14" s="24"/>
      <c r="M14" s="24"/>
      <c r="N14" s="24"/>
      <c r="O14" s="24"/>
      <c r="P14" s="24"/>
      <c r="Q14" s="24"/>
      <c r="R14" s="24"/>
      <c r="S14" s="24"/>
      <c r="T14" s="24"/>
      <c r="U14" s="26">
        <f t="shared" ref="U14:U45" si="0">SUM(D14:T14)</f>
        <v>0</v>
      </c>
      <c r="V14" s="26">
        <f t="shared" ref="V14:V77" si="1">IF($D$12="CO1",D14,0)+IF($E$12="CO1",E14,0)+IF($F$12="CO1",F14,0)+IF($G$12="CO1",G14,0)+IF($H$12="CO1",H14,0)+IF($I$12="CO1",I14,0)+IF($J$12="CO1",J14,0)+IF($K$12="CO1",K14,0)+IF($L$12="CO1",L14,0)+IF($M$12="CO1",M14,0)+IF($N$12="CO1",N14,0)+IF($O$12="CO1",O14,0)+IF($P$12="CO1",P14,0)+IF($Q$12="CO1",Q14,0)+IF($R$12="CO1",R14,0)+IF($S$12="CO1",S14,0)+IF($T$12="CO1",T14,0)</f>
        <v>0</v>
      </c>
      <c r="W14" s="26">
        <f t="shared" ref="W14:W77" si="2">IF($D$12="CO2",D14,0)+IF($E$12="CO2",E14,0)+IF($F$12="CO2",F14,0)+IF($G$12="CO2",G14,0)+IF($H$12="CO2",H14,0)+IF($I$12="CO2",I14,0)+IF($J$12="CO2",J14,0)+IF($K$12="CO2",K14,0)+IF($L$12="CO2",L14,0)+IF($M$12="CO2",M14,0)+IF($N$12="CO2",N14,0)+IF($O$12="CO2",O14,0)+IF($P$12="CO2",P14,0)+IF($Q$12="CO2",Q14,0)+IF($R$12="CO2",R14,0)+IF($S$12="CO2",S14,0)+IF($T$12="CO2",T14,0)</f>
        <v>0</v>
      </c>
      <c r="X14" s="26">
        <f t="shared" ref="X14:X77" si="3">IF($D$12="CO3",D14,0)+IF($E$12="CO3",E14,0)+IF($F$12="CO3",F14,0)+IF($G$12="CO3",G14,0)+IF($H$12="CO3",H14,0)+IF($I$12="CO3",I14,0)+IF($J$12="CO3",J14,0)+IF($K$12="CO3",K14,0)+IF($L$12="CO3",L14,0)+IF($M$12="CO3",M14,0)+IF($N$12="CO3",N14,0)+IF($O$12="CO3",O14,0)+IF($P$12="CO3",P14,0)+IF($Q$12="CO3",Q14,0)+IF($R$12="CO3",R14,0)+IF($S$12="CO3",S14,0)+IF($T$12="CO3",T14,0)</f>
        <v>0</v>
      </c>
      <c r="Y14" s="26">
        <f t="shared" ref="Y14:Y77" si="4">IF($D$12="CO4",D14,0)+IF($E$12="CO4",E14,0)+IF($F$12="CO4",F14,0)+IF($G$12="CO4",G14,0)+IF($H$12="CO4",H14,0)+IF($I$12="CO4",I14,0)+IF($J$12="CO4",J14,0)+IF($K$12="CO4",K14,0)+IF($L$12="CO4",L14,0)+IF($M$12="CO4",M14,0)+IF($N$12="CO4",N14,0)+IF($O$12="CO4",O14,0)+IF($P$12="CO4",P14,0)+IF($Q$12="CO4",Q14,0)+IF($R$12="CO4",R14,0)+IF($S$12="CO4",S14,0)+IF($T$12="CO4",T14,0)</f>
        <v>0</v>
      </c>
      <c r="Z14" s="26">
        <f t="shared" ref="Z14:Z77" si="5">IF($D$12="CO5",D14,0)+IF($E$12="CO5",E14,0)+IF($F$12="CO5",F14,0)+IF($G$12="CO5",G14,0)+IF($H$12="CO5",H14,0)+IF($I$12="CO5",I14,0)+IF($J$12="CO5",J14,0)+IF($K$12="CO5",K14,0)+IF($L$12="CO5",L14,0)+IF($M$12="CO5",M14,0)+IF($N$12="CO5",N14,0)+IF($O$12="CO5",O14,0)+IF($P$12="CO5",P14,0)+IF($Q$12="CO5",Q14,0)+IF($R$12="CO5",R14,0)+IF($S$12="CO5",S14,0)+IF($T$12="CO5",T14,0)</f>
        <v>0</v>
      </c>
      <c r="AA14" s="26">
        <f t="shared" ref="AA14:AA77" si="6">IF($D$12="CO6",D14,0)+IF($E$12="CO6",E14,0)+IF($F$12="CO6",F14,0)+IF($G$12="CO6",G14,0)+IF($H$12="CO6",H14,0)+IF($I$12="CO6",I14,0)+IF($J$12="CO6",J14,0)+IF($K$12="CO6",K14,0)+IF($L$12="CO6",L14,0)+IF($M$12="CO6",M14,0)+IF($N$12="CO6",N14,0)+IF($O$12="CO6",O14,0)+IF($P$12="CO6",P14,0)+IF($Q$12="CO6",Q14,0)+IF($R$12="CO6",R14,0)+IF($S$12="CO6",S14,0)+IF($T$12="CO6",T14,0)</f>
        <v>0</v>
      </c>
      <c r="AB14" s="26">
        <f t="shared" ref="AB14:AB77" si="7">IF($D$12="CO7",D14,0)+IF($E$12="CO7",E14,0)+IF($F$12="CO7",F14,0)+IF($G$12="CO7",G14,0)+IF($H$12="CO7",H14,0)+IF($I$12="CO7",I14,0)+IF($J$12="CO7",J14,0)+IF($K$12="CO7",K14,0)+IF($L$12="CO7",L14,0)+IF($M$12="CO7",M14,0)+IF($N$12="CO7",N14,0)+IF($O$12="CO7",O14,0)+IF($P$12="CO7",P14,0)+IF($Q$12="CO7",Q14,0)+IF($R$12="CO7",R14,0)+IF($S$12="CO7",S14,0)+IF($T$12="CO7",T14,0)</f>
        <v>0</v>
      </c>
      <c r="AC14" s="26" t="e">
        <f>ROUND(V14/(IF($D$12="CO1",$D$13,0)+IF($E$12="CO1",$E$13,0)+IF($F$12="CO1",$F$13,0)+IF($G$12="CO1",$G$13,0)+IF($H$12="CO1",$H$13,0)+IF($I$12="CO1",$I$13,0)+IF($J$12="CO1",$J$13,0)+IF($K$12="CO1",$K$13,0)+IF($L$12="CO1",$L$13,0)+IF($M$12="CO1",$M$13,0)+IF($N$12="CO1",$N$13,0)+IF($O$12="CO1",$O$13,0)+IF($P$12="CO1",$P$13,0)+IF($Q$12="CO1",$Q$13,0)+IF($R$12="CO1",$R$13,0)+IF($S$12="CO1",$S$13,0)+IF($T$12="CO1",$T$13,0))*100,2)</f>
        <v>#DIV/0!</v>
      </c>
      <c r="AD14" s="26" t="e">
        <f>ROUND(W14/(IF($D$12="CO2",$D$13,0)+IF($E$12="CO2",$E$13,0)+IF($F$12="CO2",$F$13,0)+IF($G$12="CO2",$G$13,0)+IF($H$12="CO2",$H$13,0)+IF($I$12="CO2",$I$13,0)+IF($J$12="CO2",$J$13,0)+IF($K$12="CO2",$K$13,0)+IF($L$12="CO2",$L$13,0)+IF($M$12="CO2",$M$13,0)+IF($N$12="CO2",$N$13,0)+IF($O$12="CO2",$O$13,0)+IF($P$12="CO2",$P$13,0)+IF($Q$12="CO2",$Q$13,0)+IF($R$12="CO2",$R$13,0)+IF($S$12="CO2",$S$13,0)+IF($T$12="CO2",$T$13,0))*100,2)</f>
        <v>#DIV/0!</v>
      </c>
      <c r="AE14" s="26" t="e">
        <f>ROUND(X14/(IF($D$12="CO3",$D$13,0)+IF($E$12="CO3",$E$13,0)+IF($F$12="CO3",$F$13,0)+IF($G$12="CO3",$G$13,0)+IF($H$12="CO3",$H$13,0)+IF($I$12="CO3",$I$13,0)+IF($J$12="CO3",$J$13,0)+IF($K$12="CO3",$K$13,0)+IF($L$12="CO3",$L$13,0)+IF($M$12="CO3",$M$13,0)+IF($N$12="CO3",$N$13,0)+IF($O$12="CO3",$O$13,0)+IF($P$12="CO3",$P$13,0)+IF($Q$12="CO3",$Q$13,0)+IF($R$12="CO3",$R$13,0)+IF($S$12="CO3",$S$13,0)+IF($T$12="CO3",$T$13,0))*100,2)</f>
        <v>#DIV/0!</v>
      </c>
      <c r="AF14" s="26" t="e">
        <f>ROUND(Y14/(IF($D$12="CO4",$D$13,0)+IF($E$12="CO4",$E$13,0)+IF($F$12="CO4",$F$13,0)+IF($G$12="CO4",$G$13,0)+IF($H$12="CO4",$H$13,0)+IF($I$12="CO4",$I$13,0)+IF($J$12="CO4",$J$13,0)+IF($K$12="CO4",$K$13,0)+IF($L$12="CO4",$L$13,0)+IF($M$12="CO4",$M$13,0)+IF($N$12="CO4",$N$13,0)+IF($O$12="CO4",$O$13,0)+IF($P$12="CO4",$P$13,0)+IF($Q$12="CO4",$Q$13,0)+IF($R$12="CO4",$R$13,0)+IF($S$12="CO4",$S$13,0)+IF($T$12="CO4",$T$13,0))*100,2)</f>
        <v>#DIV/0!</v>
      </c>
      <c r="AG14" s="26" t="e">
        <f>ROUND(Z14/(IF($D$12="CO5",$D$13,0)+IF($E$12="CO5",$E$13,0)+IF($F$12="CO5",$F$13,0)+IF($G$12="CO5",$G$13,0)+IF($H$12="CO5",$H$13,0)+IF($I$12="CO5",$I$13,0)+IF($J$12="CO5",$J$13,0)+IF($K$12="CO5",$K$13,0)+IF($L$12="CO5",$L$13,0)+IF($M$12="CO5",$M$13,0)+IF($N$12="CO5",$N$13,0)+IF($O$12="CO5",$O$13,0)+IF($P$12="CO5",$P$13,0)+IF($Q$12="CO5",$Q$13,0)+IF($R$12="CO5",$R$13,0)+IF($S$12="CO5",$S$13,0)+IF($T$12="CO5",$T$13,0))*100,2)</f>
        <v>#DIV/0!</v>
      </c>
      <c r="AH14" s="26" t="e">
        <f>ROUND(AA14/(IF($D$12="CO6",$D$13,0)+IF($E$12="CO6",$E$13,0)+IF($F$12="CO6",$F$13,0)+IF($G$12="CO6",$G$13,0)+IF($H$12="CO6",$H$13,0)+IF($I$12="CO6",$I$13,0)+IF($J$12="CO6",$J$13,0)+IF($K$12="CO6",$K$13,0)+IF($L$12="CO6",$L$13,0)+IF($M$12="CO6",$M$13,0)+IF($N$12="CO6",$N$13,0)+IF($O$12="CO6",$O$13,0)+IF($P$12="CO6",$P$13,0)+IF($Q$12="CO6",$Q$13,0)+IF($R$12="CO6",$R$13,0)+IF($S$12="CO6",$S$13,0)+IF($T$12="CO6",$T$13,0))*100,2)</f>
        <v>#DIV/0!</v>
      </c>
      <c r="AI14" s="26" t="e">
        <f>ROUND(AB14/(IF($D$12="CO7",$D$13,0)+IF($E$12="CO7",$E$13,0)+IF($F$12="CO7",$F$13,0)+IF($G$12="CO7",$G$13,0)+IF($H$12="CO7",$H$13,0)+IF($I$12="CO7",$I$13,0)+IF($J$12="CO7",$J$13,0)+IF($K$12="CO7",$K$13,0)+IF($L$12="CO7",$L$13,0)+IF($M$12="CO7",$M$13,0)+IF($N$12="CO7",$N$13,0)+IF($O$12="CO7",$O$13,0)+IF($P$12="CO7",$P$13,0)+IF($Q$12="CO7",$Q$13,0)+IF($R$12="CO7",$R$13,0)+IF($S$12="CO7",$S$13,0)+IF($T$12="CO7",$T$13,0))*100,2)</f>
        <v>#DIV/0!</v>
      </c>
    </row>
    <row r="15" spans="1:35" ht="20.100000000000001" customHeight="1">
      <c r="A15" s="24">
        <v>0</v>
      </c>
      <c r="B15" s="26">
        <f>'INTERNAL TEST-1  '!B15</f>
        <v>0</v>
      </c>
      <c r="C15" s="89">
        <f>'INTERNAL TEST-1  '!C15</f>
        <v>0</v>
      </c>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26" t="e">
        <f t="shared" ref="AE15:AE138" si="10">ROUND(X15/(IF($D$12="CO3",$D$13,0)+IF($E$12="CO3",$E$13,0)+IF($F$12="CO3",$F$13,0)+IF($G$12="CO3",$G$13,0)+IF($H$12="CO3",$H$13,0)+IF($I$12="CO3",$I$13,0)+IF($J$12="CO3",$J$13,0)+IF($K$12="CO3",$K$13,0)+IF($L$12="CO3",$L$13,0)+IF($M$12="CO3",$M$13,0)+IF($N$12="CO3",$N$13,0)+IF($O$12="CO3",$O$13,0)+IF($P$12="CO3",$P$13,0)+IF($Q$12="CO3",$Q$13,0)+IF($R$12="CO3",$R$13,0)+IF($S$12="CO3",$S$13,0)+IF($T$12="CO3",$T$13,0))*100,2)</f>
        <v>#DIV/0!</v>
      </c>
      <c r="AF15" s="26" t="e">
        <f t="shared" ref="AF15:AF138" si="11">ROUND(Y15/(IF($D$12="CO4",$D$13,0)+IF($E$12="CO4",$E$13,0)+IF($F$12="CO4",$F$13,0)+IF($G$12="CO4",$G$13,0)+IF($H$12="CO4",$H$13,0)+IF($I$12="CO4",$I$13,0)+IF($J$12="CO4",$J$13,0)+IF($K$12="CO4",$K$13,0)+IF($L$12="CO4",$L$13,0)+IF($M$12="CO4",$M$13,0)+IF($N$12="CO4",$N$13,0)+IF($O$12="CO4",$O$13,0)+IF($P$12="CO4",$P$13,0)+IF($Q$12="CO4",$Q$13,0)+IF($R$12="CO4",$R$13,0)+IF($S$12="CO4",$S$13,0)+IF($T$12="CO4",$T$13,0))*100,2)</f>
        <v>#DIV/0!</v>
      </c>
      <c r="AG15" s="26" t="e">
        <f t="shared" ref="AG15:AG138" si="12">ROUND(Z15/(IF($D$12="CO5",$D$13,0)+IF($E$12="CO5",$E$13,0)+IF($F$12="CO5",$F$13,0)+IF($G$12="CO5",$G$13,0)+IF($H$12="CO5",$H$13,0)+IF($I$12="CO5",$I$13,0)+IF($J$12="CO5",$J$13,0)+IF($K$12="CO5",$K$13,0)+IF($L$12="CO5",$L$13,0)+IF($M$12="CO5",$M$13,0)+IF($N$12="CO5",$N$13,0)+IF($O$12="CO5",$O$13,0)+IF($P$12="CO5",$P$13,0)+IF($Q$12="CO5",$Q$13,0)+IF($R$12="CO5",$R$13,0)+IF($S$12="CO5",$S$13,0)+IF($T$12="CO5",$T$13,0))*100,2)</f>
        <v>#DIV/0!</v>
      </c>
      <c r="AH15" s="26" t="e">
        <f t="shared" ref="AH15:AH138" si="13">ROUND(AA15/(IF($D$12="CO6",$D$13,0)+IF($E$12="CO6",$E$13,0)+IF($F$12="CO6",$F$13,0)+IF($G$12="CO6",$G$13,0)+IF($H$12="CO6",$H$13,0)+IF($I$12="CO6",$I$13,0)+IF($J$12="CO6",$J$13,0)+IF($K$12="CO6",$K$13,0)+IF($L$12="CO6",$L$13,0)+IF($M$12="CO6",$M$13,0)+IF($N$12="CO6",$N$13,0)+IF($O$12="CO6",$O$13,0)+IF($P$12="CO6",$P$13,0)+IF($Q$12="CO6",$Q$13,0)+IF($R$12="CO6",$R$13,0)+IF($S$12="CO6",$S$13,0)+IF($T$12="CO6",$T$13,0))*100,2)</f>
        <v>#DIV/0!</v>
      </c>
      <c r="AI15" s="26"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20.100000000000001" customHeight="1">
      <c r="A16" s="24">
        <v>0</v>
      </c>
      <c r="B16" s="26">
        <f>'INTERNAL TEST-1  '!B16</f>
        <v>0</v>
      </c>
      <c r="C16" s="89">
        <f>'INTERNAL TEST-1  '!C16</f>
        <v>0</v>
      </c>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26" t="e">
        <f t="shared" si="10"/>
        <v>#DIV/0!</v>
      </c>
      <c r="AF16" s="26" t="e">
        <f t="shared" si="11"/>
        <v>#DIV/0!</v>
      </c>
      <c r="AG16" s="26" t="e">
        <f t="shared" si="12"/>
        <v>#DIV/0!</v>
      </c>
      <c r="AH16" s="26" t="e">
        <f t="shared" si="13"/>
        <v>#DIV/0!</v>
      </c>
      <c r="AI16" s="26" t="e">
        <f t="shared" si="14"/>
        <v>#DIV/0!</v>
      </c>
    </row>
    <row r="17" spans="1:35" ht="20.100000000000001" customHeight="1">
      <c r="A17" s="24">
        <v>0</v>
      </c>
      <c r="B17" s="26">
        <f>'INTERNAL TEST-1  '!B17</f>
        <v>0</v>
      </c>
      <c r="C17" s="89">
        <f>'INTERNAL TEST-1  '!C17</f>
        <v>0</v>
      </c>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26" t="e">
        <f t="shared" si="10"/>
        <v>#DIV/0!</v>
      </c>
      <c r="AF17" s="26" t="e">
        <f t="shared" si="11"/>
        <v>#DIV/0!</v>
      </c>
      <c r="AG17" s="26" t="e">
        <f t="shared" si="12"/>
        <v>#DIV/0!</v>
      </c>
      <c r="AH17" s="26" t="e">
        <f t="shared" si="13"/>
        <v>#DIV/0!</v>
      </c>
      <c r="AI17" s="26" t="e">
        <f t="shared" si="14"/>
        <v>#DIV/0!</v>
      </c>
    </row>
    <row r="18" spans="1:35" ht="20.100000000000001" customHeight="1">
      <c r="A18" s="24">
        <v>0</v>
      </c>
      <c r="B18" s="26">
        <f>'INTERNAL TEST-1  '!B18</f>
        <v>0</v>
      </c>
      <c r="C18" s="89">
        <f>'INTERNAL TEST-1  '!C18</f>
        <v>0</v>
      </c>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26" t="e">
        <f t="shared" si="10"/>
        <v>#DIV/0!</v>
      </c>
      <c r="AF18" s="26" t="e">
        <f t="shared" si="11"/>
        <v>#DIV/0!</v>
      </c>
      <c r="AG18" s="26" t="e">
        <f t="shared" si="12"/>
        <v>#DIV/0!</v>
      </c>
      <c r="AH18" s="26" t="e">
        <f t="shared" si="13"/>
        <v>#DIV/0!</v>
      </c>
      <c r="AI18" s="26" t="e">
        <f t="shared" si="14"/>
        <v>#DIV/0!</v>
      </c>
    </row>
    <row r="19" spans="1:35" ht="20.100000000000001" customHeight="1">
      <c r="A19" s="24">
        <v>0</v>
      </c>
      <c r="B19" s="26">
        <f>'INTERNAL TEST-1  '!B19</f>
        <v>0</v>
      </c>
      <c r="C19" s="89">
        <f>'INTERNAL TEST-1  '!C19</f>
        <v>0</v>
      </c>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26" t="e">
        <f t="shared" si="10"/>
        <v>#DIV/0!</v>
      </c>
      <c r="AF19" s="26" t="e">
        <f t="shared" si="11"/>
        <v>#DIV/0!</v>
      </c>
      <c r="AG19" s="26" t="e">
        <f t="shared" si="12"/>
        <v>#DIV/0!</v>
      </c>
      <c r="AH19" s="26" t="e">
        <f t="shared" si="13"/>
        <v>#DIV/0!</v>
      </c>
      <c r="AI19" s="26" t="e">
        <f t="shared" si="14"/>
        <v>#DIV/0!</v>
      </c>
    </row>
    <row r="20" spans="1:35" ht="20.100000000000001" customHeight="1">
      <c r="A20" s="24">
        <v>0</v>
      </c>
      <c r="B20" s="26">
        <f>'INTERNAL TEST-1  '!B20</f>
        <v>0</v>
      </c>
      <c r="C20" s="89">
        <f>'INTERNAL TEST-1  '!C20</f>
        <v>0</v>
      </c>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si="8"/>
        <v>#DIV/0!</v>
      </c>
      <c r="AD20" s="26" t="e">
        <f t="shared" si="9"/>
        <v>#DIV/0!</v>
      </c>
      <c r="AE20" s="26" t="e">
        <f t="shared" si="10"/>
        <v>#DIV/0!</v>
      </c>
      <c r="AF20" s="26" t="e">
        <f t="shared" si="11"/>
        <v>#DIV/0!</v>
      </c>
      <c r="AG20" s="26" t="e">
        <f t="shared" si="12"/>
        <v>#DIV/0!</v>
      </c>
      <c r="AH20" s="26" t="e">
        <f t="shared" si="13"/>
        <v>#DIV/0!</v>
      </c>
      <c r="AI20" s="26" t="e">
        <f t="shared" si="14"/>
        <v>#DIV/0!</v>
      </c>
    </row>
    <row r="21" spans="1:35" ht="20.100000000000001" customHeight="1">
      <c r="A21" s="24">
        <v>0</v>
      </c>
      <c r="B21" s="26">
        <f>'INTERNAL TEST-1  '!B21</f>
        <v>0</v>
      </c>
      <c r="C21" s="89">
        <f>'INTERNAL TEST-1  '!C21</f>
        <v>0</v>
      </c>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8"/>
        <v>#DIV/0!</v>
      </c>
      <c r="AD21" s="26" t="e">
        <f t="shared" si="9"/>
        <v>#DIV/0!</v>
      </c>
      <c r="AE21" s="26" t="e">
        <f t="shared" si="10"/>
        <v>#DIV/0!</v>
      </c>
      <c r="AF21" s="26" t="e">
        <f t="shared" si="11"/>
        <v>#DIV/0!</v>
      </c>
      <c r="AG21" s="26" t="e">
        <f t="shared" si="12"/>
        <v>#DIV/0!</v>
      </c>
      <c r="AH21" s="26" t="e">
        <f t="shared" si="13"/>
        <v>#DIV/0!</v>
      </c>
      <c r="AI21" s="26" t="e">
        <f t="shared" si="14"/>
        <v>#DIV/0!</v>
      </c>
    </row>
    <row r="22" spans="1:35" ht="20.100000000000001" customHeight="1">
      <c r="A22" s="24">
        <v>0</v>
      </c>
      <c r="B22" s="26">
        <f>'INTERNAL TEST-1  '!B22</f>
        <v>0</v>
      </c>
      <c r="C22" s="89">
        <f>'INTERNAL TEST-1  '!C22</f>
        <v>0</v>
      </c>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8"/>
        <v>#DIV/0!</v>
      </c>
      <c r="AD22" s="26" t="e">
        <f t="shared" si="9"/>
        <v>#DIV/0!</v>
      </c>
      <c r="AE22" s="26" t="e">
        <f t="shared" si="10"/>
        <v>#DIV/0!</v>
      </c>
      <c r="AF22" s="26" t="e">
        <f t="shared" si="11"/>
        <v>#DIV/0!</v>
      </c>
      <c r="AG22" s="26" t="e">
        <f t="shared" si="12"/>
        <v>#DIV/0!</v>
      </c>
      <c r="AH22" s="26" t="e">
        <f t="shared" si="13"/>
        <v>#DIV/0!</v>
      </c>
      <c r="AI22" s="26" t="e">
        <f t="shared" si="14"/>
        <v>#DIV/0!</v>
      </c>
    </row>
    <row r="23" spans="1:35" ht="20.100000000000001" customHeight="1">
      <c r="A23" s="24">
        <v>0</v>
      </c>
      <c r="B23" s="26">
        <f>'INTERNAL TEST-1  '!B23</f>
        <v>0</v>
      </c>
      <c r="C23" s="89">
        <f>'INTERNAL TEST-1  '!C23</f>
        <v>0</v>
      </c>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8"/>
        <v>#DIV/0!</v>
      </c>
      <c r="AD23" s="26" t="e">
        <f t="shared" si="9"/>
        <v>#DIV/0!</v>
      </c>
      <c r="AE23" s="26" t="e">
        <f t="shared" si="10"/>
        <v>#DIV/0!</v>
      </c>
      <c r="AF23" s="26" t="e">
        <f t="shared" si="11"/>
        <v>#DIV/0!</v>
      </c>
      <c r="AG23" s="26" t="e">
        <f t="shared" si="12"/>
        <v>#DIV/0!</v>
      </c>
      <c r="AH23" s="26" t="e">
        <f t="shared" si="13"/>
        <v>#DIV/0!</v>
      </c>
      <c r="AI23" s="26" t="e">
        <f t="shared" si="14"/>
        <v>#DIV/0!</v>
      </c>
    </row>
    <row r="24" spans="1:35" ht="20.100000000000001" customHeight="1">
      <c r="A24" s="24">
        <v>0</v>
      </c>
      <c r="B24" s="26">
        <f>'INTERNAL TEST-1  '!B24</f>
        <v>0</v>
      </c>
      <c r="C24" s="89">
        <f>'INTERNAL TEST-1  '!C24</f>
        <v>0</v>
      </c>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8"/>
        <v>#DIV/0!</v>
      </c>
      <c r="AD24" s="26" t="e">
        <f t="shared" si="9"/>
        <v>#DIV/0!</v>
      </c>
      <c r="AE24" s="26" t="e">
        <f t="shared" si="10"/>
        <v>#DIV/0!</v>
      </c>
      <c r="AF24" s="26" t="e">
        <f t="shared" si="11"/>
        <v>#DIV/0!</v>
      </c>
      <c r="AG24" s="26" t="e">
        <f t="shared" si="12"/>
        <v>#DIV/0!</v>
      </c>
      <c r="AH24" s="26" t="e">
        <f t="shared" si="13"/>
        <v>#DIV/0!</v>
      </c>
      <c r="AI24" s="26" t="e">
        <f t="shared" si="14"/>
        <v>#DIV/0!</v>
      </c>
    </row>
    <row r="25" spans="1:35" ht="20.100000000000001" customHeight="1">
      <c r="A25" s="24">
        <v>0</v>
      </c>
      <c r="B25" s="26">
        <f>'INTERNAL TEST-1  '!B25</f>
        <v>0</v>
      </c>
      <c r="C25" s="89">
        <f>'INTERNAL TEST-1  '!C25</f>
        <v>0</v>
      </c>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8"/>
        <v>#DIV/0!</v>
      </c>
      <c r="AD25" s="26" t="e">
        <f t="shared" si="9"/>
        <v>#DIV/0!</v>
      </c>
      <c r="AE25" s="26" t="e">
        <f t="shared" si="10"/>
        <v>#DIV/0!</v>
      </c>
      <c r="AF25" s="26" t="e">
        <f t="shared" si="11"/>
        <v>#DIV/0!</v>
      </c>
      <c r="AG25" s="26" t="e">
        <f t="shared" si="12"/>
        <v>#DIV/0!</v>
      </c>
      <c r="AH25" s="26" t="e">
        <f t="shared" si="13"/>
        <v>#DIV/0!</v>
      </c>
      <c r="AI25" s="26" t="e">
        <f t="shared" si="14"/>
        <v>#DIV/0!</v>
      </c>
    </row>
    <row r="26" spans="1:35" ht="20.100000000000001" customHeight="1">
      <c r="A26" s="24">
        <v>0</v>
      </c>
      <c r="B26" s="26">
        <f>'INTERNAL TEST-1  '!B26</f>
        <v>0</v>
      </c>
      <c r="C26" s="89">
        <f>'INTERNAL TEST-1  '!C26</f>
        <v>0</v>
      </c>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8"/>
        <v>#DIV/0!</v>
      </c>
      <c r="AD26" s="26" t="e">
        <f t="shared" si="9"/>
        <v>#DIV/0!</v>
      </c>
      <c r="AE26" s="26" t="e">
        <f t="shared" si="10"/>
        <v>#DIV/0!</v>
      </c>
      <c r="AF26" s="26" t="e">
        <f t="shared" si="11"/>
        <v>#DIV/0!</v>
      </c>
      <c r="AG26" s="26" t="e">
        <f t="shared" si="12"/>
        <v>#DIV/0!</v>
      </c>
      <c r="AH26" s="26" t="e">
        <f t="shared" si="13"/>
        <v>#DIV/0!</v>
      </c>
      <c r="AI26" s="26" t="e">
        <f t="shared" si="14"/>
        <v>#DIV/0!</v>
      </c>
    </row>
    <row r="27" spans="1:35" ht="20.100000000000001" customHeight="1">
      <c r="A27" s="24">
        <v>0</v>
      </c>
      <c r="B27" s="26">
        <f>'INTERNAL TEST-1  '!B27</f>
        <v>0</v>
      </c>
      <c r="C27" s="89">
        <f>'INTERNAL TEST-1  '!C27</f>
        <v>0</v>
      </c>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8"/>
        <v>#DIV/0!</v>
      </c>
      <c r="AD27" s="26" t="e">
        <f t="shared" si="9"/>
        <v>#DIV/0!</v>
      </c>
      <c r="AE27" s="26" t="e">
        <f t="shared" si="10"/>
        <v>#DIV/0!</v>
      </c>
      <c r="AF27" s="26" t="e">
        <f t="shared" si="11"/>
        <v>#DIV/0!</v>
      </c>
      <c r="AG27" s="26" t="e">
        <f t="shared" si="12"/>
        <v>#DIV/0!</v>
      </c>
      <c r="AH27" s="26" t="e">
        <f t="shared" si="13"/>
        <v>#DIV/0!</v>
      </c>
      <c r="AI27" s="26" t="e">
        <f t="shared" si="14"/>
        <v>#DIV/0!</v>
      </c>
    </row>
    <row r="28" spans="1:35" ht="20.100000000000001" customHeight="1">
      <c r="A28" s="24">
        <v>0</v>
      </c>
      <c r="B28" s="26">
        <f>'INTERNAL TEST-1  '!B28</f>
        <v>0</v>
      </c>
      <c r="C28" s="89">
        <f>'INTERNAL TEST-1  '!C28</f>
        <v>0</v>
      </c>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8"/>
        <v>#DIV/0!</v>
      </c>
      <c r="AD28" s="26" t="e">
        <f t="shared" si="9"/>
        <v>#DIV/0!</v>
      </c>
      <c r="AE28" s="26" t="e">
        <f t="shared" si="10"/>
        <v>#DIV/0!</v>
      </c>
      <c r="AF28" s="26" t="e">
        <f t="shared" si="11"/>
        <v>#DIV/0!</v>
      </c>
      <c r="AG28" s="26" t="e">
        <f t="shared" si="12"/>
        <v>#DIV/0!</v>
      </c>
      <c r="AH28" s="26" t="e">
        <f t="shared" si="13"/>
        <v>#DIV/0!</v>
      </c>
      <c r="AI28" s="26" t="e">
        <f t="shared" si="14"/>
        <v>#DIV/0!</v>
      </c>
    </row>
    <row r="29" spans="1:35" ht="20.100000000000001" customHeight="1">
      <c r="A29" s="24">
        <v>0</v>
      </c>
      <c r="B29" s="26">
        <f>'INTERNAL TEST-1  '!B29</f>
        <v>0</v>
      </c>
      <c r="C29" s="89">
        <f>'INTERNAL TEST-1  '!C29</f>
        <v>0</v>
      </c>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8"/>
        <v>#DIV/0!</v>
      </c>
      <c r="AD29" s="26" t="e">
        <f t="shared" si="9"/>
        <v>#DIV/0!</v>
      </c>
      <c r="AE29" s="26" t="e">
        <f t="shared" si="10"/>
        <v>#DIV/0!</v>
      </c>
      <c r="AF29" s="26" t="e">
        <f t="shared" si="11"/>
        <v>#DIV/0!</v>
      </c>
      <c r="AG29" s="26" t="e">
        <f t="shared" si="12"/>
        <v>#DIV/0!</v>
      </c>
      <c r="AH29" s="26" t="e">
        <f t="shared" si="13"/>
        <v>#DIV/0!</v>
      </c>
      <c r="AI29" s="26" t="e">
        <f t="shared" si="14"/>
        <v>#DIV/0!</v>
      </c>
    </row>
    <row r="30" spans="1:35" ht="20.100000000000001" customHeight="1">
      <c r="A30" s="24">
        <v>0</v>
      </c>
      <c r="B30" s="26">
        <f>'INTERNAL TEST-1  '!B30</f>
        <v>0</v>
      </c>
      <c r="C30" s="89">
        <f>'INTERNAL TEST-1  '!C30</f>
        <v>0</v>
      </c>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8"/>
        <v>#DIV/0!</v>
      </c>
      <c r="AD30" s="26" t="e">
        <f t="shared" si="9"/>
        <v>#DIV/0!</v>
      </c>
      <c r="AE30" s="26" t="e">
        <f t="shared" si="10"/>
        <v>#DIV/0!</v>
      </c>
      <c r="AF30" s="26" t="e">
        <f t="shared" si="11"/>
        <v>#DIV/0!</v>
      </c>
      <c r="AG30" s="26" t="e">
        <f t="shared" si="12"/>
        <v>#DIV/0!</v>
      </c>
      <c r="AH30" s="26" t="e">
        <f t="shared" si="13"/>
        <v>#DIV/0!</v>
      </c>
      <c r="AI30" s="26" t="e">
        <f t="shared" si="14"/>
        <v>#DIV/0!</v>
      </c>
    </row>
    <row r="31" spans="1:35" ht="20.100000000000001" customHeight="1">
      <c r="A31" s="24">
        <v>0</v>
      </c>
      <c r="B31" s="26">
        <f>'INTERNAL TEST-1  '!B31</f>
        <v>0</v>
      </c>
      <c r="C31" s="89">
        <f>'INTERNAL TEST-1  '!C31</f>
        <v>0</v>
      </c>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8"/>
        <v>#DIV/0!</v>
      </c>
      <c r="AD31" s="26" t="e">
        <f t="shared" si="9"/>
        <v>#DIV/0!</v>
      </c>
      <c r="AE31" s="26" t="e">
        <f t="shared" si="10"/>
        <v>#DIV/0!</v>
      </c>
      <c r="AF31" s="26" t="e">
        <f t="shared" si="11"/>
        <v>#DIV/0!</v>
      </c>
      <c r="AG31" s="26" t="e">
        <f t="shared" si="12"/>
        <v>#DIV/0!</v>
      </c>
      <c r="AH31" s="26" t="e">
        <f t="shared" si="13"/>
        <v>#DIV/0!</v>
      </c>
      <c r="AI31" s="26" t="e">
        <f t="shared" si="14"/>
        <v>#DIV/0!</v>
      </c>
    </row>
    <row r="32" spans="1:35" ht="20.100000000000001" customHeight="1">
      <c r="A32" s="24">
        <v>0</v>
      </c>
      <c r="B32" s="26">
        <f>'INTERNAL TEST-1  '!B32</f>
        <v>0</v>
      </c>
      <c r="C32" s="89">
        <f>'INTERNAL TEST-1  '!C32</f>
        <v>0</v>
      </c>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8"/>
        <v>#DIV/0!</v>
      </c>
      <c r="AD32" s="26" t="e">
        <f t="shared" si="9"/>
        <v>#DIV/0!</v>
      </c>
      <c r="AE32" s="26" t="e">
        <f t="shared" si="10"/>
        <v>#DIV/0!</v>
      </c>
      <c r="AF32" s="26" t="e">
        <f t="shared" si="11"/>
        <v>#DIV/0!</v>
      </c>
      <c r="AG32" s="26" t="e">
        <f t="shared" si="12"/>
        <v>#DIV/0!</v>
      </c>
      <c r="AH32" s="26" t="e">
        <f t="shared" si="13"/>
        <v>#DIV/0!</v>
      </c>
      <c r="AI32" s="26" t="e">
        <f t="shared" si="14"/>
        <v>#DIV/0!</v>
      </c>
    </row>
    <row r="33" spans="1:35" ht="20.100000000000001" customHeight="1">
      <c r="A33" s="24">
        <v>0</v>
      </c>
      <c r="B33" s="26">
        <f>'INTERNAL TEST-1  '!B33</f>
        <v>0</v>
      </c>
      <c r="C33" s="89">
        <f>'INTERNAL TEST-1  '!C33</f>
        <v>0</v>
      </c>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8"/>
        <v>#DIV/0!</v>
      </c>
      <c r="AD33" s="26" t="e">
        <f t="shared" si="9"/>
        <v>#DIV/0!</v>
      </c>
      <c r="AE33" s="26" t="e">
        <f t="shared" si="10"/>
        <v>#DIV/0!</v>
      </c>
      <c r="AF33" s="26" t="e">
        <f t="shared" si="11"/>
        <v>#DIV/0!</v>
      </c>
      <c r="AG33" s="26" t="e">
        <f t="shared" si="12"/>
        <v>#DIV/0!</v>
      </c>
      <c r="AH33" s="26" t="e">
        <f t="shared" si="13"/>
        <v>#DIV/0!</v>
      </c>
      <c r="AI33" s="26" t="e">
        <f t="shared" si="14"/>
        <v>#DIV/0!</v>
      </c>
    </row>
    <row r="34" spans="1:35" ht="20.100000000000001" customHeight="1">
      <c r="A34" s="24">
        <v>0</v>
      </c>
      <c r="B34" s="26">
        <f>'INTERNAL TEST-1  '!B34</f>
        <v>0</v>
      </c>
      <c r="C34" s="89">
        <f>'INTERNAL TEST-1  '!C34</f>
        <v>0</v>
      </c>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8"/>
        <v>#DIV/0!</v>
      </c>
      <c r="AD34" s="26" t="e">
        <f t="shared" si="9"/>
        <v>#DIV/0!</v>
      </c>
      <c r="AE34" s="26" t="e">
        <f t="shared" si="10"/>
        <v>#DIV/0!</v>
      </c>
      <c r="AF34" s="26" t="e">
        <f t="shared" si="11"/>
        <v>#DIV/0!</v>
      </c>
      <c r="AG34" s="26" t="e">
        <f t="shared" si="12"/>
        <v>#DIV/0!</v>
      </c>
      <c r="AH34" s="26" t="e">
        <f t="shared" si="13"/>
        <v>#DIV/0!</v>
      </c>
      <c r="AI34" s="26" t="e">
        <f t="shared" si="14"/>
        <v>#DIV/0!</v>
      </c>
    </row>
    <row r="35" spans="1:35" ht="20.100000000000001" customHeight="1">
      <c r="A35" s="24">
        <v>0</v>
      </c>
      <c r="B35" s="26">
        <f>'INTERNAL TEST-1  '!B35</f>
        <v>0</v>
      </c>
      <c r="C35" s="89">
        <f>'INTERNAL TEST-1  '!C35</f>
        <v>0</v>
      </c>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8"/>
        <v>#DIV/0!</v>
      </c>
      <c r="AD35" s="26" t="e">
        <f t="shared" si="9"/>
        <v>#DIV/0!</v>
      </c>
      <c r="AE35" s="26" t="e">
        <f t="shared" si="10"/>
        <v>#DIV/0!</v>
      </c>
      <c r="AF35" s="26" t="e">
        <f t="shared" si="11"/>
        <v>#DIV/0!</v>
      </c>
      <c r="AG35" s="26" t="e">
        <f t="shared" si="12"/>
        <v>#DIV/0!</v>
      </c>
      <c r="AH35" s="26" t="e">
        <f t="shared" si="13"/>
        <v>#DIV/0!</v>
      </c>
      <c r="AI35" s="26" t="e">
        <f t="shared" si="14"/>
        <v>#DIV/0!</v>
      </c>
    </row>
    <row r="36" spans="1:35" ht="20.100000000000001" customHeight="1">
      <c r="A36" s="24">
        <v>0</v>
      </c>
      <c r="B36" s="26">
        <f>'INTERNAL TEST-1  '!B36</f>
        <v>0</v>
      </c>
      <c r="C36" s="89">
        <f>'INTERNAL TEST-1  '!C36</f>
        <v>0</v>
      </c>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8"/>
        <v>#DIV/0!</v>
      </c>
      <c r="AD36" s="26" t="e">
        <f t="shared" si="9"/>
        <v>#DIV/0!</v>
      </c>
      <c r="AE36" s="26" t="e">
        <f t="shared" si="10"/>
        <v>#DIV/0!</v>
      </c>
      <c r="AF36" s="26" t="e">
        <f t="shared" si="11"/>
        <v>#DIV/0!</v>
      </c>
      <c r="AG36" s="26" t="e">
        <f t="shared" si="12"/>
        <v>#DIV/0!</v>
      </c>
      <c r="AH36" s="26" t="e">
        <f t="shared" si="13"/>
        <v>#DIV/0!</v>
      </c>
      <c r="AI36" s="26" t="e">
        <f t="shared" si="14"/>
        <v>#DIV/0!</v>
      </c>
    </row>
    <row r="37" spans="1:35" ht="20.100000000000001" customHeight="1">
      <c r="A37" s="24">
        <v>0</v>
      </c>
      <c r="B37" s="26">
        <f>'INTERNAL TEST-1  '!B37</f>
        <v>0</v>
      </c>
      <c r="C37" s="89">
        <f>'INTERNAL TEST-1  '!C37</f>
        <v>0</v>
      </c>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8"/>
        <v>#DIV/0!</v>
      </c>
      <c r="AD37" s="26" t="e">
        <f t="shared" si="9"/>
        <v>#DIV/0!</v>
      </c>
      <c r="AE37" s="26" t="e">
        <f t="shared" si="10"/>
        <v>#DIV/0!</v>
      </c>
      <c r="AF37" s="26" t="e">
        <f t="shared" si="11"/>
        <v>#DIV/0!</v>
      </c>
      <c r="AG37" s="26" t="e">
        <f t="shared" si="12"/>
        <v>#DIV/0!</v>
      </c>
      <c r="AH37" s="26" t="e">
        <f t="shared" si="13"/>
        <v>#DIV/0!</v>
      </c>
      <c r="AI37" s="26" t="e">
        <f t="shared" si="14"/>
        <v>#DIV/0!</v>
      </c>
    </row>
    <row r="38" spans="1:35" ht="20.100000000000001" customHeight="1">
      <c r="A38" s="24">
        <v>0</v>
      </c>
      <c r="B38" s="26">
        <f>'INTERNAL TEST-1  '!B38</f>
        <v>0</v>
      </c>
      <c r="C38" s="89">
        <f>'INTERNAL TEST-1  '!C38</f>
        <v>0</v>
      </c>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8"/>
        <v>#DIV/0!</v>
      </c>
      <c r="AD38" s="26" t="e">
        <f t="shared" si="9"/>
        <v>#DIV/0!</v>
      </c>
      <c r="AE38" s="26" t="e">
        <f t="shared" si="10"/>
        <v>#DIV/0!</v>
      </c>
      <c r="AF38" s="26" t="e">
        <f t="shared" si="11"/>
        <v>#DIV/0!</v>
      </c>
      <c r="AG38" s="26" t="e">
        <f t="shared" si="12"/>
        <v>#DIV/0!</v>
      </c>
      <c r="AH38" s="26" t="e">
        <f t="shared" si="13"/>
        <v>#DIV/0!</v>
      </c>
      <c r="AI38" s="26" t="e">
        <f t="shared" si="14"/>
        <v>#DIV/0!</v>
      </c>
    </row>
    <row r="39" spans="1:35" ht="20.100000000000001" customHeight="1">
      <c r="A39" s="24">
        <v>0</v>
      </c>
      <c r="B39" s="26">
        <f>'INTERNAL TEST-1  '!B39</f>
        <v>0</v>
      </c>
      <c r="C39" s="89">
        <f>'INTERNAL TEST-1  '!C39</f>
        <v>0</v>
      </c>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8"/>
        <v>#DIV/0!</v>
      </c>
      <c r="AD39" s="26" t="e">
        <f t="shared" si="9"/>
        <v>#DIV/0!</v>
      </c>
      <c r="AE39" s="26" t="e">
        <f t="shared" si="10"/>
        <v>#DIV/0!</v>
      </c>
      <c r="AF39" s="26" t="e">
        <f t="shared" si="11"/>
        <v>#DIV/0!</v>
      </c>
      <c r="AG39" s="26" t="e">
        <f t="shared" si="12"/>
        <v>#DIV/0!</v>
      </c>
      <c r="AH39" s="26" t="e">
        <f t="shared" si="13"/>
        <v>#DIV/0!</v>
      </c>
      <c r="AI39" s="26" t="e">
        <f t="shared" si="14"/>
        <v>#DIV/0!</v>
      </c>
    </row>
    <row r="40" spans="1:35" ht="20.100000000000001" customHeight="1">
      <c r="A40" s="24">
        <v>0</v>
      </c>
      <c r="B40" s="26">
        <f>'INTERNAL TEST-1  '!B40</f>
        <v>0</v>
      </c>
      <c r="C40" s="89">
        <f>'INTERNAL TEST-1  '!C40</f>
        <v>0</v>
      </c>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8"/>
        <v>#DIV/0!</v>
      </c>
      <c r="AD40" s="26" t="e">
        <f t="shared" si="9"/>
        <v>#DIV/0!</v>
      </c>
      <c r="AE40" s="26" t="e">
        <f t="shared" si="10"/>
        <v>#DIV/0!</v>
      </c>
      <c r="AF40" s="26" t="e">
        <f t="shared" si="11"/>
        <v>#DIV/0!</v>
      </c>
      <c r="AG40" s="26" t="e">
        <f t="shared" si="12"/>
        <v>#DIV/0!</v>
      </c>
      <c r="AH40" s="26" t="e">
        <f t="shared" si="13"/>
        <v>#DIV/0!</v>
      </c>
      <c r="AI40" s="26" t="e">
        <f t="shared" si="14"/>
        <v>#DIV/0!</v>
      </c>
    </row>
    <row r="41" spans="1:35" ht="20.100000000000001" customHeight="1">
      <c r="A41" s="24">
        <v>0</v>
      </c>
      <c r="B41" s="26">
        <f>'INTERNAL TEST-1  '!B41</f>
        <v>0</v>
      </c>
      <c r="C41" s="89">
        <f>'INTERNAL TEST-1  '!C41</f>
        <v>0</v>
      </c>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8"/>
        <v>#DIV/0!</v>
      </c>
      <c r="AD41" s="26" t="e">
        <f t="shared" si="9"/>
        <v>#DIV/0!</v>
      </c>
      <c r="AE41" s="26" t="e">
        <f t="shared" si="10"/>
        <v>#DIV/0!</v>
      </c>
      <c r="AF41" s="26" t="e">
        <f t="shared" si="11"/>
        <v>#DIV/0!</v>
      </c>
      <c r="AG41" s="26" t="e">
        <f t="shared" si="12"/>
        <v>#DIV/0!</v>
      </c>
      <c r="AH41" s="26" t="e">
        <f t="shared" si="13"/>
        <v>#DIV/0!</v>
      </c>
      <c r="AI41" s="26" t="e">
        <f t="shared" si="14"/>
        <v>#DIV/0!</v>
      </c>
    </row>
    <row r="42" spans="1:35" ht="20.100000000000001" customHeight="1">
      <c r="A42" s="24">
        <v>0</v>
      </c>
      <c r="B42" s="26">
        <f>'INTERNAL TEST-1  '!B42</f>
        <v>0</v>
      </c>
      <c r="C42" s="89">
        <f>'INTERNAL TEST-1  '!C42</f>
        <v>0</v>
      </c>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8"/>
        <v>#DIV/0!</v>
      </c>
      <c r="AD42" s="26" t="e">
        <f t="shared" si="9"/>
        <v>#DIV/0!</v>
      </c>
      <c r="AE42" s="26" t="e">
        <f t="shared" si="10"/>
        <v>#DIV/0!</v>
      </c>
      <c r="AF42" s="26" t="e">
        <f t="shared" si="11"/>
        <v>#DIV/0!</v>
      </c>
      <c r="AG42" s="26" t="e">
        <f t="shared" si="12"/>
        <v>#DIV/0!</v>
      </c>
      <c r="AH42" s="26" t="e">
        <f t="shared" si="13"/>
        <v>#DIV/0!</v>
      </c>
      <c r="AI42" s="26" t="e">
        <f t="shared" si="14"/>
        <v>#DIV/0!</v>
      </c>
    </row>
    <row r="43" spans="1:35" ht="20.100000000000001" customHeight="1">
      <c r="A43" s="24">
        <v>0</v>
      </c>
      <c r="B43" s="26">
        <f>'INTERNAL TEST-1  '!B43</f>
        <v>0</v>
      </c>
      <c r="C43" s="89">
        <f>'INTERNAL TEST-1  '!C43</f>
        <v>0</v>
      </c>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8"/>
        <v>#DIV/0!</v>
      </c>
      <c r="AD43" s="26" t="e">
        <f t="shared" si="9"/>
        <v>#DIV/0!</v>
      </c>
      <c r="AE43" s="26" t="e">
        <f t="shared" si="10"/>
        <v>#DIV/0!</v>
      </c>
      <c r="AF43" s="26" t="e">
        <f t="shared" si="11"/>
        <v>#DIV/0!</v>
      </c>
      <c r="AG43" s="26" t="e">
        <f t="shared" si="12"/>
        <v>#DIV/0!</v>
      </c>
      <c r="AH43" s="26" t="e">
        <f t="shared" si="13"/>
        <v>#DIV/0!</v>
      </c>
      <c r="AI43" s="26" t="e">
        <f t="shared" si="14"/>
        <v>#DIV/0!</v>
      </c>
    </row>
    <row r="44" spans="1:35" ht="20.100000000000001" customHeight="1">
      <c r="A44" s="24">
        <v>0</v>
      </c>
      <c r="B44" s="26">
        <f>'INTERNAL TEST-1  '!B44</f>
        <v>0</v>
      </c>
      <c r="C44" s="89">
        <f>'INTERNAL TEST-1  '!C44</f>
        <v>0</v>
      </c>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8"/>
        <v>#DIV/0!</v>
      </c>
      <c r="AD44" s="26" t="e">
        <f t="shared" si="9"/>
        <v>#DIV/0!</v>
      </c>
      <c r="AE44" s="26" t="e">
        <f t="shared" si="10"/>
        <v>#DIV/0!</v>
      </c>
      <c r="AF44" s="26" t="e">
        <f t="shared" si="11"/>
        <v>#DIV/0!</v>
      </c>
      <c r="AG44" s="26" t="e">
        <f t="shared" si="12"/>
        <v>#DIV/0!</v>
      </c>
      <c r="AH44" s="26" t="e">
        <f t="shared" si="13"/>
        <v>#DIV/0!</v>
      </c>
      <c r="AI44" s="26" t="e">
        <f t="shared" si="14"/>
        <v>#DIV/0!</v>
      </c>
    </row>
    <row r="45" spans="1:35" ht="20.100000000000001" customHeight="1">
      <c r="A45" s="24">
        <v>0</v>
      </c>
      <c r="B45" s="26">
        <f>'INTERNAL TEST-1  '!B45</f>
        <v>0</v>
      </c>
      <c r="C45" s="89">
        <f>'INTERNAL TEST-1  '!C45</f>
        <v>0</v>
      </c>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8"/>
        <v>#DIV/0!</v>
      </c>
      <c r="AD45" s="26" t="e">
        <f t="shared" si="9"/>
        <v>#DIV/0!</v>
      </c>
      <c r="AE45" s="26" t="e">
        <f t="shared" si="10"/>
        <v>#DIV/0!</v>
      </c>
      <c r="AF45" s="26" t="e">
        <f t="shared" si="11"/>
        <v>#DIV/0!</v>
      </c>
      <c r="AG45" s="26" t="e">
        <f t="shared" si="12"/>
        <v>#DIV/0!</v>
      </c>
      <c r="AH45" s="26" t="e">
        <f t="shared" si="13"/>
        <v>#DIV/0!</v>
      </c>
      <c r="AI45" s="26" t="e">
        <f t="shared" si="14"/>
        <v>#DIV/0!</v>
      </c>
    </row>
    <row r="46" spans="1:35" ht="20.100000000000001" customHeight="1">
      <c r="A46" s="24">
        <v>0</v>
      </c>
      <c r="B46" s="26">
        <f>'INTERNAL TEST-1  '!B46</f>
        <v>0</v>
      </c>
      <c r="C46" s="89">
        <f>'INTERNAL TEST-1  '!C46</f>
        <v>0</v>
      </c>
      <c r="D46" s="24"/>
      <c r="E46" s="24"/>
      <c r="F46" s="24"/>
      <c r="G46" s="24"/>
      <c r="H46" s="24"/>
      <c r="I46" s="24"/>
      <c r="J46" s="24"/>
      <c r="K46" s="24"/>
      <c r="L46" s="24"/>
      <c r="M46" s="24"/>
      <c r="N46" s="24"/>
      <c r="O46" s="24"/>
      <c r="P46" s="24"/>
      <c r="Q46" s="24"/>
      <c r="R46" s="24"/>
      <c r="S46" s="24"/>
      <c r="T46" s="24"/>
      <c r="U46" s="26">
        <f t="shared" ref="U46:U68" si="15">SUM(D46:T46)</f>
        <v>0</v>
      </c>
      <c r="V46" s="26">
        <f t="shared" si="1"/>
        <v>0</v>
      </c>
      <c r="W46" s="26">
        <f t="shared" si="2"/>
        <v>0</v>
      </c>
      <c r="X46" s="26">
        <f t="shared" si="3"/>
        <v>0</v>
      </c>
      <c r="Y46" s="26">
        <f t="shared" si="4"/>
        <v>0</v>
      </c>
      <c r="Z46" s="26">
        <f t="shared" si="5"/>
        <v>0</v>
      </c>
      <c r="AA46" s="26">
        <f t="shared" si="6"/>
        <v>0</v>
      </c>
      <c r="AB46" s="26">
        <f t="shared" si="7"/>
        <v>0</v>
      </c>
      <c r="AC46" s="26" t="e">
        <f t="shared" si="8"/>
        <v>#DIV/0!</v>
      </c>
      <c r="AD46" s="26" t="e">
        <f t="shared" si="9"/>
        <v>#DIV/0!</v>
      </c>
      <c r="AE46" s="26" t="e">
        <f t="shared" si="10"/>
        <v>#DIV/0!</v>
      </c>
      <c r="AF46" s="26" t="e">
        <f t="shared" si="11"/>
        <v>#DIV/0!</v>
      </c>
      <c r="AG46" s="26" t="e">
        <f t="shared" si="12"/>
        <v>#DIV/0!</v>
      </c>
      <c r="AH46" s="26" t="e">
        <f t="shared" si="13"/>
        <v>#DIV/0!</v>
      </c>
      <c r="AI46" s="26" t="e">
        <f t="shared" si="14"/>
        <v>#DIV/0!</v>
      </c>
    </row>
    <row r="47" spans="1:35" ht="20.100000000000001" customHeight="1">
      <c r="A47" s="24">
        <v>0</v>
      </c>
      <c r="B47" s="26">
        <f>'INTERNAL TEST-1  '!B47</f>
        <v>0</v>
      </c>
      <c r="C47" s="89">
        <f>'INTERNAL TEST-1  '!C47</f>
        <v>0</v>
      </c>
      <c r="D47" s="24"/>
      <c r="E47" s="24"/>
      <c r="F47" s="24"/>
      <c r="G47" s="24"/>
      <c r="H47" s="24"/>
      <c r="I47" s="24"/>
      <c r="J47" s="24"/>
      <c r="K47" s="24"/>
      <c r="L47" s="24"/>
      <c r="M47" s="24"/>
      <c r="N47" s="24"/>
      <c r="O47" s="24"/>
      <c r="P47" s="24"/>
      <c r="Q47" s="24"/>
      <c r="R47" s="24"/>
      <c r="S47" s="24"/>
      <c r="T47" s="24"/>
      <c r="U47" s="26">
        <f t="shared" si="15"/>
        <v>0</v>
      </c>
      <c r="V47" s="26">
        <f t="shared" si="1"/>
        <v>0</v>
      </c>
      <c r="W47" s="26">
        <f t="shared" si="2"/>
        <v>0</v>
      </c>
      <c r="X47" s="26">
        <f t="shared" si="3"/>
        <v>0</v>
      </c>
      <c r="Y47" s="26">
        <f t="shared" si="4"/>
        <v>0</v>
      </c>
      <c r="Z47" s="26">
        <f t="shared" si="5"/>
        <v>0</v>
      </c>
      <c r="AA47" s="26">
        <f t="shared" si="6"/>
        <v>0</v>
      </c>
      <c r="AB47" s="26">
        <f t="shared" si="7"/>
        <v>0</v>
      </c>
      <c r="AC47" s="26" t="e">
        <f t="shared" si="8"/>
        <v>#DIV/0!</v>
      </c>
      <c r="AD47" s="26" t="e">
        <f t="shared" si="9"/>
        <v>#DIV/0!</v>
      </c>
      <c r="AE47" s="26" t="e">
        <f t="shared" si="10"/>
        <v>#DIV/0!</v>
      </c>
      <c r="AF47" s="26" t="e">
        <f t="shared" si="11"/>
        <v>#DIV/0!</v>
      </c>
      <c r="AG47" s="26" t="e">
        <f t="shared" si="12"/>
        <v>#DIV/0!</v>
      </c>
      <c r="AH47" s="26" t="e">
        <f t="shared" si="13"/>
        <v>#DIV/0!</v>
      </c>
      <c r="AI47" s="26" t="e">
        <f t="shared" si="14"/>
        <v>#DIV/0!</v>
      </c>
    </row>
    <row r="48" spans="1:35" ht="20.100000000000001" customHeight="1">
      <c r="A48" s="24">
        <v>0</v>
      </c>
      <c r="B48" s="26">
        <f>'INTERNAL TEST-1  '!B48</f>
        <v>0</v>
      </c>
      <c r="C48" s="89">
        <f>'INTERNAL TEST-1  '!C48</f>
        <v>0</v>
      </c>
      <c r="D48" s="24"/>
      <c r="E48" s="24"/>
      <c r="F48" s="24"/>
      <c r="G48" s="24"/>
      <c r="H48" s="24"/>
      <c r="I48" s="24"/>
      <c r="J48" s="24"/>
      <c r="K48" s="24"/>
      <c r="L48" s="24"/>
      <c r="M48" s="24"/>
      <c r="N48" s="24"/>
      <c r="O48" s="24"/>
      <c r="P48" s="24"/>
      <c r="Q48" s="24"/>
      <c r="R48" s="24"/>
      <c r="S48" s="24"/>
      <c r="T48" s="24"/>
      <c r="U48" s="26">
        <f t="shared" si="15"/>
        <v>0</v>
      </c>
      <c r="V48" s="26">
        <f t="shared" si="1"/>
        <v>0</v>
      </c>
      <c r="W48" s="26">
        <f t="shared" si="2"/>
        <v>0</v>
      </c>
      <c r="X48" s="26">
        <f t="shared" si="3"/>
        <v>0</v>
      </c>
      <c r="Y48" s="26">
        <f t="shared" si="4"/>
        <v>0</v>
      </c>
      <c r="Z48" s="26">
        <f t="shared" si="5"/>
        <v>0</v>
      </c>
      <c r="AA48" s="26">
        <f t="shared" si="6"/>
        <v>0</v>
      </c>
      <c r="AB48" s="26">
        <f t="shared" si="7"/>
        <v>0</v>
      </c>
      <c r="AC48" s="26" t="e">
        <f t="shared" si="8"/>
        <v>#DIV/0!</v>
      </c>
      <c r="AD48" s="26" t="e">
        <f t="shared" si="9"/>
        <v>#DIV/0!</v>
      </c>
      <c r="AE48" s="26" t="e">
        <f t="shared" si="10"/>
        <v>#DIV/0!</v>
      </c>
      <c r="AF48" s="26" t="e">
        <f t="shared" si="11"/>
        <v>#DIV/0!</v>
      </c>
      <c r="AG48" s="26" t="e">
        <f t="shared" si="12"/>
        <v>#DIV/0!</v>
      </c>
      <c r="AH48" s="26" t="e">
        <f t="shared" si="13"/>
        <v>#DIV/0!</v>
      </c>
      <c r="AI48" s="26" t="e">
        <f t="shared" si="14"/>
        <v>#DIV/0!</v>
      </c>
    </row>
    <row r="49" spans="1:35" ht="20.100000000000001" customHeight="1">
      <c r="A49" s="24">
        <v>0</v>
      </c>
      <c r="B49" s="26">
        <f>'INTERNAL TEST-1  '!B49</f>
        <v>0</v>
      </c>
      <c r="C49" s="89">
        <f>'INTERNAL TEST-1  '!C49</f>
        <v>0</v>
      </c>
      <c r="D49" s="24"/>
      <c r="E49" s="24"/>
      <c r="F49" s="24"/>
      <c r="G49" s="24"/>
      <c r="H49" s="24"/>
      <c r="I49" s="24"/>
      <c r="J49" s="24"/>
      <c r="K49" s="24"/>
      <c r="L49" s="24"/>
      <c r="M49" s="24"/>
      <c r="N49" s="24"/>
      <c r="O49" s="24"/>
      <c r="P49" s="24"/>
      <c r="Q49" s="24"/>
      <c r="R49" s="24"/>
      <c r="S49" s="24"/>
      <c r="T49" s="24"/>
      <c r="U49" s="26">
        <f t="shared" si="15"/>
        <v>0</v>
      </c>
      <c r="V49" s="26">
        <f t="shared" si="1"/>
        <v>0</v>
      </c>
      <c r="W49" s="26">
        <f t="shared" si="2"/>
        <v>0</v>
      </c>
      <c r="X49" s="26">
        <f t="shared" si="3"/>
        <v>0</v>
      </c>
      <c r="Y49" s="26">
        <f t="shared" si="4"/>
        <v>0</v>
      </c>
      <c r="Z49" s="26">
        <f t="shared" si="5"/>
        <v>0</v>
      </c>
      <c r="AA49" s="26">
        <f t="shared" si="6"/>
        <v>0</v>
      </c>
      <c r="AB49" s="26">
        <f t="shared" si="7"/>
        <v>0</v>
      </c>
      <c r="AC49" s="26" t="e">
        <f t="shared" si="8"/>
        <v>#DIV/0!</v>
      </c>
      <c r="AD49" s="26" t="e">
        <f t="shared" si="9"/>
        <v>#DIV/0!</v>
      </c>
      <c r="AE49" s="26" t="e">
        <f t="shared" si="10"/>
        <v>#DIV/0!</v>
      </c>
      <c r="AF49" s="26" t="e">
        <f t="shared" si="11"/>
        <v>#DIV/0!</v>
      </c>
      <c r="AG49" s="26" t="e">
        <f t="shared" si="12"/>
        <v>#DIV/0!</v>
      </c>
      <c r="AH49" s="26" t="e">
        <f t="shared" si="13"/>
        <v>#DIV/0!</v>
      </c>
      <c r="AI49" s="26" t="e">
        <f t="shared" si="14"/>
        <v>#DIV/0!</v>
      </c>
    </row>
    <row r="50" spans="1:35" ht="20.100000000000001" customHeight="1">
      <c r="A50" s="24">
        <v>0</v>
      </c>
      <c r="B50" s="26">
        <f>'INTERNAL TEST-1  '!B50</f>
        <v>0</v>
      </c>
      <c r="C50" s="89">
        <f>'INTERNAL TEST-1  '!C50</f>
        <v>0</v>
      </c>
      <c r="D50" s="24"/>
      <c r="E50" s="24"/>
      <c r="F50" s="24"/>
      <c r="G50" s="24"/>
      <c r="H50" s="24"/>
      <c r="I50" s="24"/>
      <c r="J50" s="24"/>
      <c r="K50" s="24"/>
      <c r="L50" s="24"/>
      <c r="M50" s="24"/>
      <c r="N50" s="24"/>
      <c r="O50" s="24"/>
      <c r="P50" s="24"/>
      <c r="Q50" s="24"/>
      <c r="R50" s="24"/>
      <c r="S50" s="24"/>
      <c r="T50" s="24"/>
      <c r="U50" s="26">
        <f t="shared" si="15"/>
        <v>0</v>
      </c>
      <c r="V50" s="26">
        <f t="shared" si="1"/>
        <v>0</v>
      </c>
      <c r="W50" s="26">
        <f t="shared" si="2"/>
        <v>0</v>
      </c>
      <c r="X50" s="26">
        <f t="shared" si="3"/>
        <v>0</v>
      </c>
      <c r="Y50" s="26">
        <f t="shared" si="4"/>
        <v>0</v>
      </c>
      <c r="Z50" s="26">
        <f t="shared" si="5"/>
        <v>0</v>
      </c>
      <c r="AA50" s="26">
        <f t="shared" si="6"/>
        <v>0</v>
      </c>
      <c r="AB50" s="26">
        <f t="shared" si="7"/>
        <v>0</v>
      </c>
      <c r="AC50" s="26" t="e">
        <f t="shared" si="8"/>
        <v>#DIV/0!</v>
      </c>
      <c r="AD50" s="26" t="e">
        <f t="shared" si="9"/>
        <v>#DIV/0!</v>
      </c>
      <c r="AE50" s="26" t="e">
        <f t="shared" si="10"/>
        <v>#DIV/0!</v>
      </c>
      <c r="AF50" s="26" t="e">
        <f t="shared" si="11"/>
        <v>#DIV/0!</v>
      </c>
      <c r="AG50" s="26" t="e">
        <f t="shared" si="12"/>
        <v>#DIV/0!</v>
      </c>
      <c r="AH50" s="26" t="e">
        <f t="shared" si="13"/>
        <v>#DIV/0!</v>
      </c>
      <c r="AI50" s="26" t="e">
        <f t="shared" si="14"/>
        <v>#DIV/0!</v>
      </c>
    </row>
    <row r="51" spans="1:35" ht="20.100000000000001" customHeight="1">
      <c r="A51" s="24">
        <v>0</v>
      </c>
      <c r="B51" s="26">
        <f>'INTERNAL TEST-1  '!B51</f>
        <v>0</v>
      </c>
      <c r="C51" s="89">
        <f>'INTERNAL TEST-1  '!C51</f>
        <v>0</v>
      </c>
      <c r="D51" s="24"/>
      <c r="E51" s="24"/>
      <c r="F51" s="24"/>
      <c r="G51" s="24"/>
      <c r="H51" s="24"/>
      <c r="I51" s="24"/>
      <c r="J51" s="24"/>
      <c r="K51" s="24"/>
      <c r="L51" s="24"/>
      <c r="M51" s="24"/>
      <c r="N51" s="24"/>
      <c r="O51" s="24"/>
      <c r="P51" s="24"/>
      <c r="Q51" s="24"/>
      <c r="R51" s="24"/>
      <c r="S51" s="24"/>
      <c r="T51" s="24"/>
      <c r="U51" s="26">
        <f t="shared" si="15"/>
        <v>0</v>
      </c>
      <c r="V51" s="26">
        <f t="shared" si="1"/>
        <v>0</v>
      </c>
      <c r="W51" s="26">
        <f t="shared" si="2"/>
        <v>0</v>
      </c>
      <c r="X51" s="26">
        <f t="shared" si="3"/>
        <v>0</v>
      </c>
      <c r="Y51" s="26">
        <f t="shared" si="4"/>
        <v>0</v>
      </c>
      <c r="Z51" s="26">
        <f t="shared" si="5"/>
        <v>0</v>
      </c>
      <c r="AA51" s="26">
        <f t="shared" si="6"/>
        <v>0</v>
      </c>
      <c r="AB51" s="26">
        <f t="shared" si="7"/>
        <v>0</v>
      </c>
      <c r="AC51" s="26" t="e">
        <f t="shared" si="8"/>
        <v>#DIV/0!</v>
      </c>
      <c r="AD51" s="26" t="e">
        <f t="shared" si="9"/>
        <v>#DIV/0!</v>
      </c>
      <c r="AE51" s="26" t="e">
        <f t="shared" si="10"/>
        <v>#DIV/0!</v>
      </c>
      <c r="AF51" s="26" t="e">
        <f t="shared" si="11"/>
        <v>#DIV/0!</v>
      </c>
      <c r="AG51" s="26" t="e">
        <f t="shared" si="12"/>
        <v>#DIV/0!</v>
      </c>
      <c r="AH51" s="26" t="e">
        <f t="shared" si="13"/>
        <v>#DIV/0!</v>
      </c>
      <c r="AI51" s="26" t="e">
        <f t="shared" si="14"/>
        <v>#DIV/0!</v>
      </c>
    </row>
    <row r="52" spans="1:35" ht="20.100000000000001" customHeight="1">
      <c r="A52" s="24">
        <v>0</v>
      </c>
      <c r="B52" s="26">
        <f>'INTERNAL TEST-1  '!B52</f>
        <v>0</v>
      </c>
      <c r="C52" s="89">
        <f>'INTERNAL TEST-1  '!C52</f>
        <v>0</v>
      </c>
      <c r="D52" s="24"/>
      <c r="E52" s="24"/>
      <c r="F52" s="24"/>
      <c r="G52" s="24"/>
      <c r="H52" s="24"/>
      <c r="I52" s="24"/>
      <c r="J52" s="24"/>
      <c r="K52" s="24"/>
      <c r="L52" s="24"/>
      <c r="M52" s="24"/>
      <c r="N52" s="24"/>
      <c r="O52" s="24"/>
      <c r="P52" s="24"/>
      <c r="Q52" s="24"/>
      <c r="R52" s="24"/>
      <c r="S52" s="24"/>
      <c r="T52" s="24"/>
      <c r="U52" s="26">
        <f t="shared" si="15"/>
        <v>0</v>
      </c>
      <c r="V52" s="26">
        <f t="shared" si="1"/>
        <v>0</v>
      </c>
      <c r="W52" s="26">
        <f t="shared" si="2"/>
        <v>0</v>
      </c>
      <c r="X52" s="26">
        <f t="shared" si="3"/>
        <v>0</v>
      </c>
      <c r="Y52" s="26">
        <f t="shared" si="4"/>
        <v>0</v>
      </c>
      <c r="Z52" s="26">
        <f t="shared" si="5"/>
        <v>0</v>
      </c>
      <c r="AA52" s="26">
        <f t="shared" si="6"/>
        <v>0</v>
      </c>
      <c r="AB52" s="26">
        <f t="shared" si="7"/>
        <v>0</v>
      </c>
      <c r="AC52" s="26" t="e">
        <f t="shared" si="8"/>
        <v>#DIV/0!</v>
      </c>
      <c r="AD52" s="26" t="e">
        <f t="shared" si="9"/>
        <v>#DIV/0!</v>
      </c>
      <c r="AE52" s="26" t="e">
        <f t="shared" si="10"/>
        <v>#DIV/0!</v>
      </c>
      <c r="AF52" s="26" t="e">
        <f t="shared" si="11"/>
        <v>#DIV/0!</v>
      </c>
      <c r="AG52" s="26" t="e">
        <f t="shared" si="12"/>
        <v>#DIV/0!</v>
      </c>
      <c r="AH52" s="26" t="e">
        <f t="shared" si="13"/>
        <v>#DIV/0!</v>
      </c>
      <c r="AI52" s="26" t="e">
        <f t="shared" si="14"/>
        <v>#DIV/0!</v>
      </c>
    </row>
    <row r="53" spans="1:35" ht="20.100000000000001" customHeight="1">
      <c r="A53" s="24">
        <v>0</v>
      </c>
      <c r="B53" s="26">
        <f>'INTERNAL TEST-1  '!B53</f>
        <v>0</v>
      </c>
      <c r="C53" s="89">
        <f>'INTERNAL TEST-1  '!C53</f>
        <v>0</v>
      </c>
      <c r="D53" s="24"/>
      <c r="E53" s="24"/>
      <c r="F53" s="24"/>
      <c r="G53" s="24"/>
      <c r="H53" s="24"/>
      <c r="I53" s="24"/>
      <c r="J53" s="24"/>
      <c r="K53" s="24"/>
      <c r="L53" s="24"/>
      <c r="M53" s="24"/>
      <c r="N53" s="24"/>
      <c r="O53" s="24"/>
      <c r="P53" s="24"/>
      <c r="Q53" s="24"/>
      <c r="R53" s="24"/>
      <c r="S53" s="24"/>
      <c r="T53" s="24"/>
      <c r="U53" s="26">
        <f t="shared" si="15"/>
        <v>0</v>
      </c>
      <c r="V53" s="26">
        <f t="shared" si="1"/>
        <v>0</v>
      </c>
      <c r="W53" s="26">
        <f t="shared" si="2"/>
        <v>0</v>
      </c>
      <c r="X53" s="26">
        <f t="shared" si="3"/>
        <v>0</v>
      </c>
      <c r="Y53" s="26">
        <f t="shared" si="4"/>
        <v>0</v>
      </c>
      <c r="Z53" s="26">
        <f t="shared" si="5"/>
        <v>0</v>
      </c>
      <c r="AA53" s="26">
        <f t="shared" si="6"/>
        <v>0</v>
      </c>
      <c r="AB53" s="26">
        <f t="shared" si="7"/>
        <v>0</v>
      </c>
      <c r="AC53" s="26" t="e">
        <f t="shared" si="8"/>
        <v>#DIV/0!</v>
      </c>
      <c r="AD53" s="26" t="e">
        <f t="shared" si="9"/>
        <v>#DIV/0!</v>
      </c>
      <c r="AE53" s="26" t="e">
        <f t="shared" si="10"/>
        <v>#DIV/0!</v>
      </c>
      <c r="AF53" s="26" t="e">
        <f t="shared" si="11"/>
        <v>#DIV/0!</v>
      </c>
      <c r="AG53" s="26" t="e">
        <f t="shared" si="12"/>
        <v>#DIV/0!</v>
      </c>
      <c r="AH53" s="26" t="e">
        <f t="shared" si="13"/>
        <v>#DIV/0!</v>
      </c>
      <c r="AI53" s="26" t="e">
        <f t="shared" si="14"/>
        <v>#DIV/0!</v>
      </c>
    </row>
    <row r="54" spans="1:35" ht="20.100000000000001" customHeight="1">
      <c r="A54" s="24">
        <v>0</v>
      </c>
      <c r="B54" s="26">
        <f>'INTERNAL TEST-1  '!B54</f>
        <v>0</v>
      </c>
      <c r="C54" s="89">
        <f>'INTERNAL TEST-1  '!C54</f>
        <v>0</v>
      </c>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8"/>
        <v>#DIV/0!</v>
      </c>
      <c r="AD54" s="26" t="e">
        <f t="shared" si="9"/>
        <v>#DIV/0!</v>
      </c>
      <c r="AE54" s="26" t="e">
        <f t="shared" si="10"/>
        <v>#DIV/0!</v>
      </c>
      <c r="AF54" s="26" t="e">
        <f t="shared" si="11"/>
        <v>#DIV/0!</v>
      </c>
      <c r="AG54" s="26" t="e">
        <f t="shared" si="12"/>
        <v>#DIV/0!</v>
      </c>
      <c r="AH54" s="26" t="e">
        <f t="shared" si="13"/>
        <v>#DIV/0!</v>
      </c>
      <c r="AI54" s="26" t="e">
        <f t="shared" si="14"/>
        <v>#DIV/0!</v>
      </c>
    </row>
    <row r="55" spans="1:35" ht="20.100000000000001" customHeight="1">
      <c r="A55" s="24">
        <v>0</v>
      </c>
      <c r="B55" s="26">
        <f>'INTERNAL TEST-1  '!B55</f>
        <v>0</v>
      </c>
      <c r="C55" s="89">
        <f>'INTERNAL TEST-1  '!C55</f>
        <v>0</v>
      </c>
      <c r="D55" s="24"/>
      <c r="E55" s="24"/>
      <c r="F55" s="24"/>
      <c r="G55" s="24"/>
      <c r="H55" s="24"/>
      <c r="I55" s="24"/>
      <c r="J55" s="24"/>
      <c r="K55" s="24"/>
      <c r="L55" s="24"/>
      <c r="M55" s="24"/>
      <c r="N55" s="24"/>
      <c r="O55" s="24"/>
      <c r="P55" s="24"/>
      <c r="Q55" s="24"/>
      <c r="R55" s="24"/>
      <c r="S55" s="24"/>
      <c r="T55" s="24"/>
      <c r="U55" s="26">
        <f t="shared" si="15"/>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8"/>
        <v>#DIV/0!</v>
      </c>
      <c r="AD55" s="26" t="e">
        <f t="shared" si="9"/>
        <v>#DIV/0!</v>
      </c>
      <c r="AE55" s="26" t="e">
        <f t="shared" si="10"/>
        <v>#DIV/0!</v>
      </c>
      <c r="AF55" s="26" t="e">
        <f t="shared" si="11"/>
        <v>#DIV/0!</v>
      </c>
      <c r="AG55" s="26" t="e">
        <f t="shared" si="12"/>
        <v>#DIV/0!</v>
      </c>
      <c r="AH55" s="26" t="e">
        <f t="shared" si="13"/>
        <v>#DIV/0!</v>
      </c>
      <c r="AI55" s="26" t="e">
        <f t="shared" si="14"/>
        <v>#DIV/0!</v>
      </c>
    </row>
    <row r="56" spans="1:35" ht="20.100000000000001" customHeight="1">
      <c r="A56" s="24">
        <v>0</v>
      </c>
      <c r="B56" s="26">
        <f>'INTERNAL TEST-1  '!B56</f>
        <v>0</v>
      </c>
      <c r="C56" s="89">
        <f>'INTERNAL TEST-1  '!C56</f>
        <v>0</v>
      </c>
      <c r="D56" s="24"/>
      <c r="E56" s="24"/>
      <c r="F56" s="24"/>
      <c r="G56" s="24"/>
      <c r="H56" s="24"/>
      <c r="I56" s="24"/>
      <c r="J56" s="24"/>
      <c r="K56" s="24"/>
      <c r="L56" s="24"/>
      <c r="M56" s="24"/>
      <c r="N56" s="24"/>
      <c r="O56" s="24"/>
      <c r="P56" s="24"/>
      <c r="Q56" s="24"/>
      <c r="R56" s="24"/>
      <c r="S56" s="24"/>
      <c r="T56" s="24"/>
      <c r="U56" s="26">
        <f t="shared" si="15"/>
        <v>0</v>
      </c>
      <c r="V56" s="26">
        <f t="shared" si="1"/>
        <v>0</v>
      </c>
      <c r="W56" s="26">
        <f t="shared" si="2"/>
        <v>0</v>
      </c>
      <c r="X56" s="26">
        <f t="shared" si="3"/>
        <v>0</v>
      </c>
      <c r="Y56" s="26">
        <f t="shared" si="4"/>
        <v>0</v>
      </c>
      <c r="Z56" s="26">
        <f t="shared" si="5"/>
        <v>0</v>
      </c>
      <c r="AA56" s="26">
        <f t="shared" si="6"/>
        <v>0</v>
      </c>
      <c r="AB56" s="26">
        <f t="shared" si="7"/>
        <v>0</v>
      </c>
      <c r="AC56" s="26" t="e">
        <f t="shared" si="8"/>
        <v>#DIV/0!</v>
      </c>
      <c r="AD56" s="26" t="e">
        <f t="shared" si="9"/>
        <v>#DIV/0!</v>
      </c>
      <c r="AE56" s="26" t="e">
        <f t="shared" si="10"/>
        <v>#DIV/0!</v>
      </c>
      <c r="AF56" s="26" t="e">
        <f t="shared" si="11"/>
        <v>#DIV/0!</v>
      </c>
      <c r="AG56" s="26" t="e">
        <f t="shared" si="12"/>
        <v>#DIV/0!</v>
      </c>
      <c r="AH56" s="26" t="e">
        <f t="shared" si="13"/>
        <v>#DIV/0!</v>
      </c>
      <c r="AI56" s="26" t="e">
        <f t="shared" si="14"/>
        <v>#DIV/0!</v>
      </c>
    </row>
    <row r="57" spans="1:35" ht="20.100000000000001" customHeight="1">
      <c r="A57" s="24">
        <v>0</v>
      </c>
      <c r="B57" s="26">
        <f>'INTERNAL TEST-1  '!B57</f>
        <v>0</v>
      </c>
      <c r="C57" s="89">
        <f>'INTERNAL TEST-1  '!C57</f>
        <v>0</v>
      </c>
      <c r="D57" s="24"/>
      <c r="E57" s="24"/>
      <c r="F57" s="24"/>
      <c r="G57" s="24"/>
      <c r="H57" s="24"/>
      <c r="I57" s="24"/>
      <c r="J57" s="24"/>
      <c r="K57" s="24"/>
      <c r="L57" s="24"/>
      <c r="M57" s="24"/>
      <c r="N57" s="24"/>
      <c r="O57" s="24"/>
      <c r="P57" s="24"/>
      <c r="Q57" s="24"/>
      <c r="R57" s="24"/>
      <c r="S57" s="24"/>
      <c r="T57" s="24"/>
      <c r="U57" s="26">
        <f t="shared" si="15"/>
        <v>0</v>
      </c>
      <c r="V57" s="26">
        <f t="shared" si="1"/>
        <v>0</v>
      </c>
      <c r="W57" s="26">
        <f t="shared" si="2"/>
        <v>0</v>
      </c>
      <c r="X57" s="26">
        <f t="shared" si="3"/>
        <v>0</v>
      </c>
      <c r="Y57" s="26">
        <f t="shared" si="4"/>
        <v>0</v>
      </c>
      <c r="Z57" s="26">
        <f t="shared" si="5"/>
        <v>0</v>
      </c>
      <c r="AA57" s="26">
        <f t="shared" si="6"/>
        <v>0</v>
      </c>
      <c r="AB57" s="26">
        <f t="shared" si="7"/>
        <v>0</v>
      </c>
      <c r="AC57" s="26" t="e">
        <f t="shared" si="8"/>
        <v>#DIV/0!</v>
      </c>
      <c r="AD57" s="26" t="e">
        <f t="shared" si="9"/>
        <v>#DIV/0!</v>
      </c>
      <c r="AE57" s="26" t="e">
        <f t="shared" si="10"/>
        <v>#DIV/0!</v>
      </c>
      <c r="AF57" s="26" t="e">
        <f t="shared" si="11"/>
        <v>#DIV/0!</v>
      </c>
      <c r="AG57" s="26" t="e">
        <f t="shared" si="12"/>
        <v>#DIV/0!</v>
      </c>
      <c r="AH57" s="26" t="e">
        <f t="shared" si="13"/>
        <v>#DIV/0!</v>
      </c>
      <c r="AI57" s="26" t="e">
        <f t="shared" si="14"/>
        <v>#DIV/0!</v>
      </c>
    </row>
    <row r="58" spans="1:35" ht="20.100000000000001" customHeight="1">
      <c r="A58" s="24">
        <v>0</v>
      </c>
      <c r="B58" s="26">
        <f>'INTERNAL TEST-1  '!B58</f>
        <v>0</v>
      </c>
      <c r="C58" s="89">
        <f>'INTERNAL TEST-1  '!C58</f>
        <v>0</v>
      </c>
      <c r="D58" s="24"/>
      <c r="E58" s="24"/>
      <c r="F58" s="24"/>
      <c r="G58" s="24"/>
      <c r="H58" s="24"/>
      <c r="I58" s="24"/>
      <c r="J58" s="24"/>
      <c r="K58" s="24"/>
      <c r="L58" s="24"/>
      <c r="M58" s="24"/>
      <c r="N58" s="24"/>
      <c r="O58" s="24"/>
      <c r="P58" s="24"/>
      <c r="Q58" s="24"/>
      <c r="R58" s="24"/>
      <c r="S58" s="24"/>
      <c r="T58" s="24"/>
      <c r="U58" s="26">
        <f t="shared" si="15"/>
        <v>0</v>
      </c>
      <c r="V58" s="26">
        <f t="shared" si="1"/>
        <v>0</v>
      </c>
      <c r="W58" s="26">
        <f t="shared" si="2"/>
        <v>0</v>
      </c>
      <c r="X58" s="26">
        <f t="shared" si="3"/>
        <v>0</v>
      </c>
      <c r="Y58" s="26">
        <f t="shared" si="4"/>
        <v>0</v>
      </c>
      <c r="Z58" s="26">
        <f t="shared" si="5"/>
        <v>0</v>
      </c>
      <c r="AA58" s="26">
        <f t="shared" si="6"/>
        <v>0</v>
      </c>
      <c r="AB58" s="26">
        <f t="shared" si="7"/>
        <v>0</v>
      </c>
      <c r="AC58" s="26" t="e">
        <f t="shared" si="8"/>
        <v>#DIV/0!</v>
      </c>
      <c r="AD58" s="26" t="e">
        <f t="shared" si="9"/>
        <v>#DIV/0!</v>
      </c>
      <c r="AE58" s="26" t="e">
        <f t="shared" si="10"/>
        <v>#DIV/0!</v>
      </c>
      <c r="AF58" s="26" t="e">
        <f t="shared" si="11"/>
        <v>#DIV/0!</v>
      </c>
      <c r="AG58" s="26" t="e">
        <f t="shared" si="12"/>
        <v>#DIV/0!</v>
      </c>
      <c r="AH58" s="26" t="e">
        <f t="shared" si="13"/>
        <v>#DIV/0!</v>
      </c>
      <c r="AI58" s="26" t="e">
        <f t="shared" si="14"/>
        <v>#DIV/0!</v>
      </c>
    </row>
    <row r="59" spans="1:35" ht="20.100000000000001" customHeight="1">
      <c r="A59" s="24">
        <v>0</v>
      </c>
      <c r="B59" s="26">
        <f>'INTERNAL TEST-1  '!B59</f>
        <v>0</v>
      </c>
      <c r="C59" s="89">
        <f>'INTERNAL TEST-1  '!C59</f>
        <v>0</v>
      </c>
      <c r="D59" s="24"/>
      <c r="E59" s="24"/>
      <c r="F59" s="24"/>
      <c r="G59" s="24"/>
      <c r="H59" s="24"/>
      <c r="I59" s="24"/>
      <c r="J59" s="24"/>
      <c r="K59" s="24"/>
      <c r="L59" s="24"/>
      <c r="M59" s="24"/>
      <c r="N59" s="24"/>
      <c r="O59" s="24"/>
      <c r="P59" s="24"/>
      <c r="Q59" s="24"/>
      <c r="R59" s="24"/>
      <c r="S59" s="24"/>
      <c r="T59" s="24"/>
      <c r="U59" s="26">
        <f t="shared" si="15"/>
        <v>0</v>
      </c>
      <c r="V59" s="26">
        <f t="shared" si="1"/>
        <v>0</v>
      </c>
      <c r="W59" s="26">
        <f t="shared" si="2"/>
        <v>0</v>
      </c>
      <c r="X59" s="26">
        <f t="shared" si="3"/>
        <v>0</v>
      </c>
      <c r="Y59" s="26">
        <f t="shared" si="4"/>
        <v>0</v>
      </c>
      <c r="Z59" s="26">
        <f t="shared" si="5"/>
        <v>0</v>
      </c>
      <c r="AA59" s="26">
        <f t="shared" si="6"/>
        <v>0</v>
      </c>
      <c r="AB59" s="26">
        <f t="shared" si="7"/>
        <v>0</v>
      </c>
      <c r="AC59" s="26" t="e">
        <f t="shared" si="8"/>
        <v>#DIV/0!</v>
      </c>
      <c r="AD59" s="26" t="e">
        <f t="shared" si="9"/>
        <v>#DIV/0!</v>
      </c>
      <c r="AE59" s="26" t="e">
        <f t="shared" si="10"/>
        <v>#DIV/0!</v>
      </c>
      <c r="AF59" s="26" t="e">
        <f t="shared" si="11"/>
        <v>#DIV/0!</v>
      </c>
      <c r="AG59" s="26" t="e">
        <f t="shared" si="12"/>
        <v>#DIV/0!</v>
      </c>
      <c r="AH59" s="26" t="e">
        <f t="shared" si="13"/>
        <v>#DIV/0!</v>
      </c>
      <c r="AI59" s="26" t="e">
        <f t="shared" si="14"/>
        <v>#DIV/0!</v>
      </c>
    </row>
    <row r="60" spans="1:35" ht="20.100000000000001" customHeight="1">
      <c r="A60" s="24">
        <v>0</v>
      </c>
      <c r="B60" s="26">
        <f>'INTERNAL TEST-1  '!B60</f>
        <v>0</v>
      </c>
      <c r="C60" s="89">
        <f>'INTERNAL TEST-1  '!C60</f>
        <v>0</v>
      </c>
      <c r="D60" s="24"/>
      <c r="E60" s="24"/>
      <c r="F60" s="24"/>
      <c r="G60" s="24"/>
      <c r="H60" s="24"/>
      <c r="I60" s="24"/>
      <c r="J60" s="24"/>
      <c r="K60" s="24"/>
      <c r="L60" s="24"/>
      <c r="M60" s="24"/>
      <c r="N60" s="24"/>
      <c r="O60" s="24"/>
      <c r="P60" s="24"/>
      <c r="Q60" s="24"/>
      <c r="R60" s="24"/>
      <c r="S60" s="24"/>
      <c r="T60" s="24"/>
      <c r="U60" s="26">
        <f t="shared" si="15"/>
        <v>0</v>
      </c>
      <c r="V60" s="26">
        <f t="shared" si="1"/>
        <v>0</v>
      </c>
      <c r="W60" s="26">
        <f t="shared" si="2"/>
        <v>0</v>
      </c>
      <c r="X60" s="26">
        <f t="shared" si="3"/>
        <v>0</v>
      </c>
      <c r="Y60" s="26">
        <f t="shared" si="4"/>
        <v>0</v>
      </c>
      <c r="Z60" s="26">
        <f t="shared" si="5"/>
        <v>0</v>
      </c>
      <c r="AA60" s="26">
        <f t="shared" si="6"/>
        <v>0</v>
      </c>
      <c r="AB60" s="26">
        <f t="shared" si="7"/>
        <v>0</v>
      </c>
      <c r="AC60" s="26" t="e">
        <f t="shared" si="8"/>
        <v>#DIV/0!</v>
      </c>
      <c r="AD60" s="26" t="e">
        <f t="shared" si="9"/>
        <v>#DIV/0!</v>
      </c>
      <c r="AE60" s="26" t="e">
        <f t="shared" si="10"/>
        <v>#DIV/0!</v>
      </c>
      <c r="AF60" s="26" t="e">
        <f t="shared" si="11"/>
        <v>#DIV/0!</v>
      </c>
      <c r="AG60" s="26" t="e">
        <f t="shared" si="12"/>
        <v>#DIV/0!</v>
      </c>
      <c r="AH60" s="26" t="e">
        <f t="shared" si="13"/>
        <v>#DIV/0!</v>
      </c>
      <c r="AI60" s="26" t="e">
        <f t="shared" si="14"/>
        <v>#DIV/0!</v>
      </c>
    </row>
    <row r="61" spans="1:35" ht="20.100000000000001" customHeight="1">
      <c r="A61" s="24">
        <v>0</v>
      </c>
      <c r="B61" s="26">
        <f>'INTERNAL TEST-1  '!B61</f>
        <v>0</v>
      </c>
      <c r="C61" s="89">
        <f>'INTERNAL TEST-1  '!C61</f>
        <v>0</v>
      </c>
      <c r="D61" s="24"/>
      <c r="E61" s="24"/>
      <c r="F61" s="24"/>
      <c r="G61" s="24"/>
      <c r="H61" s="24"/>
      <c r="I61" s="24"/>
      <c r="J61" s="24"/>
      <c r="K61" s="24"/>
      <c r="L61" s="24"/>
      <c r="M61" s="24"/>
      <c r="N61" s="24"/>
      <c r="O61" s="24"/>
      <c r="P61" s="24"/>
      <c r="Q61" s="24"/>
      <c r="R61" s="24"/>
      <c r="S61" s="24"/>
      <c r="T61" s="24"/>
      <c r="U61" s="26">
        <f t="shared" si="15"/>
        <v>0</v>
      </c>
      <c r="V61" s="26">
        <f t="shared" si="1"/>
        <v>0</v>
      </c>
      <c r="W61" s="26">
        <f t="shared" si="2"/>
        <v>0</v>
      </c>
      <c r="X61" s="26">
        <f t="shared" si="3"/>
        <v>0</v>
      </c>
      <c r="Y61" s="26">
        <f t="shared" si="4"/>
        <v>0</v>
      </c>
      <c r="Z61" s="26">
        <f t="shared" si="5"/>
        <v>0</v>
      </c>
      <c r="AA61" s="26">
        <f t="shared" si="6"/>
        <v>0</v>
      </c>
      <c r="AB61" s="26">
        <f t="shared" si="7"/>
        <v>0</v>
      </c>
      <c r="AC61" s="26" t="e">
        <f t="shared" si="8"/>
        <v>#DIV/0!</v>
      </c>
      <c r="AD61" s="26" t="e">
        <f t="shared" si="9"/>
        <v>#DIV/0!</v>
      </c>
      <c r="AE61" s="26" t="e">
        <f t="shared" si="10"/>
        <v>#DIV/0!</v>
      </c>
      <c r="AF61" s="26" t="e">
        <f t="shared" si="11"/>
        <v>#DIV/0!</v>
      </c>
      <c r="AG61" s="26" t="e">
        <f t="shared" si="12"/>
        <v>#DIV/0!</v>
      </c>
      <c r="AH61" s="26" t="e">
        <f t="shared" si="13"/>
        <v>#DIV/0!</v>
      </c>
      <c r="AI61" s="26" t="e">
        <f t="shared" si="14"/>
        <v>#DIV/0!</v>
      </c>
    </row>
    <row r="62" spans="1:35" ht="20.100000000000001" customHeight="1">
      <c r="A62" s="24">
        <v>0</v>
      </c>
      <c r="B62" s="26">
        <f>'INTERNAL TEST-1  '!B62</f>
        <v>0</v>
      </c>
      <c r="C62" s="89">
        <f>'INTERNAL TEST-1  '!C62</f>
        <v>0</v>
      </c>
      <c r="D62" s="24"/>
      <c r="E62" s="24"/>
      <c r="F62" s="24"/>
      <c r="G62" s="24"/>
      <c r="H62" s="24"/>
      <c r="I62" s="24"/>
      <c r="J62" s="24"/>
      <c r="K62" s="24"/>
      <c r="L62" s="24"/>
      <c r="M62" s="24"/>
      <c r="N62" s="24"/>
      <c r="O62" s="24"/>
      <c r="P62" s="24"/>
      <c r="Q62" s="24"/>
      <c r="R62" s="24"/>
      <c r="S62" s="24"/>
      <c r="T62" s="24"/>
      <c r="U62" s="26">
        <f t="shared" si="15"/>
        <v>0</v>
      </c>
      <c r="V62" s="26">
        <f t="shared" si="1"/>
        <v>0</v>
      </c>
      <c r="W62" s="26">
        <f t="shared" si="2"/>
        <v>0</v>
      </c>
      <c r="X62" s="26">
        <f t="shared" si="3"/>
        <v>0</v>
      </c>
      <c r="Y62" s="26">
        <f t="shared" si="4"/>
        <v>0</v>
      </c>
      <c r="Z62" s="26">
        <f t="shared" si="5"/>
        <v>0</v>
      </c>
      <c r="AA62" s="26">
        <f t="shared" si="6"/>
        <v>0</v>
      </c>
      <c r="AB62" s="26">
        <f t="shared" si="7"/>
        <v>0</v>
      </c>
      <c r="AC62" s="26" t="e">
        <f t="shared" si="8"/>
        <v>#DIV/0!</v>
      </c>
      <c r="AD62" s="26" t="e">
        <f t="shared" si="9"/>
        <v>#DIV/0!</v>
      </c>
      <c r="AE62" s="26" t="e">
        <f t="shared" si="10"/>
        <v>#DIV/0!</v>
      </c>
      <c r="AF62" s="26" t="e">
        <f t="shared" si="11"/>
        <v>#DIV/0!</v>
      </c>
      <c r="AG62" s="26" t="e">
        <f t="shared" si="12"/>
        <v>#DIV/0!</v>
      </c>
      <c r="AH62" s="26" t="e">
        <f t="shared" si="13"/>
        <v>#DIV/0!</v>
      </c>
      <c r="AI62" s="26" t="e">
        <f t="shared" si="14"/>
        <v>#DIV/0!</v>
      </c>
    </row>
    <row r="63" spans="1:35" ht="20.100000000000001" customHeight="1">
      <c r="A63" s="24">
        <v>0</v>
      </c>
      <c r="B63" s="26">
        <f>'INTERNAL TEST-1  '!B63</f>
        <v>0</v>
      </c>
      <c r="C63" s="89">
        <f>'INTERNAL TEST-1  '!C63</f>
        <v>0</v>
      </c>
      <c r="D63" s="24"/>
      <c r="E63" s="24"/>
      <c r="F63" s="24"/>
      <c r="G63" s="24"/>
      <c r="H63" s="24"/>
      <c r="I63" s="24"/>
      <c r="J63" s="24"/>
      <c r="K63" s="24"/>
      <c r="L63" s="24"/>
      <c r="M63" s="24"/>
      <c r="N63" s="24"/>
      <c r="O63" s="24"/>
      <c r="P63" s="24"/>
      <c r="Q63" s="24"/>
      <c r="R63" s="24"/>
      <c r="S63" s="24"/>
      <c r="T63" s="24"/>
      <c r="U63" s="26">
        <f t="shared" si="15"/>
        <v>0</v>
      </c>
      <c r="V63" s="26">
        <f t="shared" si="1"/>
        <v>0</v>
      </c>
      <c r="W63" s="26">
        <f t="shared" si="2"/>
        <v>0</v>
      </c>
      <c r="X63" s="26">
        <f t="shared" si="3"/>
        <v>0</v>
      </c>
      <c r="Y63" s="26">
        <f t="shared" si="4"/>
        <v>0</v>
      </c>
      <c r="Z63" s="26">
        <f t="shared" si="5"/>
        <v>0</v>
      </c>
      <c r="AA63" s="26">
        <f t="shared" si="6"/>
        <v>0</v>
      </c>
      <c r="AB63" s="26">
        <f t="shared" si="7"/>
        <v>0</v>
      </c>
      <c r="AC63" s="26" t="e">
        <f t="shared" si="8"/>
        <v>#DIV/0!</v>
      </c>
      <c r="AD63" s="26" t="e">
        <f t="shared" si="9"/>
        <v>#DIV/0!</v>
      </c>
      <c r="AE63" s="26" t="e">
        <f t="shared" si="10"/>
        <v>#DIV/0!</v>
      </c>
      <c r="AF63" s="26" t="e">
        <f t="shared" si="11"/>
        <v>#DIV/0!</v>
      </c>
      <c r="AG63" s="26" t="e">
        <f t="shared" si="12"/>
        <v>#DIV/0!</v>
      </c>
      <c r="AH63" s="26" t="e">
        <f t="shared" si="13"/>
        <v>#DIV/0!</v>
      </c>
      <c r="AI63" s="26" t="e">
        <f t="shared" si="14"/>
        <v>#DIV/0!</v>
      </c>
    </row>
    <row r="64" spans="1:35" ht="20.100000000000001" customHeight="1">
      <c r="A64" s="24">
        <v>0</v>
      </c>
      <c r="B64" s="26">
        <f>'INTERNAL TEST-1  '!B64</f>
        <v>0</v>
      </c>
      <c r="C64" s="89">
        <f>'INTERNAL TEST-1  '!C64</f>
        <v>0</v>
      </c>
      <c r="D64" s="24"/>
      <c r="E64" s="24"/>
      <c r="F64" s="24"/>
      <c r="G64" s="24"/>
      <c r="H64" s="24"/>
      <c r="I64" s="24"/>
      <c r="J64" s="24"/>
      <c r="K64" s="24"/>
      <c r="L64" s="24"/>
      <c r="M64" s="24"/>
      <c r="N64" s="24"/>
      <c r="O64" s="24"/>
      <c r="P64" s="24"/>
      <c r="Q64" s="24"/>
      <c r="R64" s="24"/>
      <c r="S64" s="24"/>
      <c r="T64" s="24"/>
      <c r="U64" s="26">
        <f t="shared" si="15"/>
        <v>0</v>
      </c>
      <c r="V64" s="26">
        <f t="shared" si="1"/>
        <v>0</v>
      </c>
      <c r="W64" s="26">
        <f t="shared" si="2"/>
        <v>0</v>
      </c>
      <c r="X64" s="26">
        <f t="shared" si="3"/>
        <v>0</v>
      </c>
      <c r="Y64" s="26">
        <f t="shared" si="4"/>
        <v>0</v>
      </c>
      <c r="Z64" s="26">
        <f t="shared" si="5"/>
        <v>0</v>
      </c>
      <c r="AA64" s="26">
        <f t="shared" si="6"/>
        <v>0</v>
      </c>
      <c r="AB64" s="26">
        <f t="shared" si="7"/>
        <v>0</v>
      </c>
      <c r="AC64" s="26" t="e">
        <f t="shared" si="8"/>
        <v>#DIV/0!</v>
      </c>
      <c r="AD64" s="26" t="e">
        <f t="shared" si="9"/>
        <v>#DIV/0!</v>
      </c>
      <c r="AE64" s="26" t="e">
        <f t="shared" si="10"/>
        <v>#DIV/0!</v>
      </c>
      <c r="AF64" s="26" t="e">
        <f t="shared" si="11"/>
        <v>#DIV/0!</v>
      </c>
      <c r="AG64" s="26" t="e">
        <f t="shared" si="12"/>
        <v>#DIV/0!</v>
      </c>
      <c r="AH64" s="26" t="e">
        <f t="shared" si="13"/>
        <v>#DIV/0!</v>
      </c>
      <c r="AI64" s="26" t="e">
        <f t="shared" si="14"/>
        <v>#DIV/0!</v>
      </c>
    </row>
    <row r="65" spans="1:35" ht="20.100000000000001" customHeight="1">
      <c r="A65" s="24">
        <v>0</v>
      </c>
      <c r="B65" s="26">
        <f>'INTERNAL TEST-1  '!B65</f>
        <v>0</v>
      </c>
      <c r="C65" s="89">
        <f>'INTERNAL TEST-1  '!C65</f>
        <v>0</v>
      </c>
      <c r="D65" s="24"/>
      <c r="E65" s="24"/>
      <c r="F65" s="24"/>
      <c r="G65" s="24"/>
      <c r="H65" s="24"/>
      <c r="I65" s="24"/>
      <c r="J65" s="24"/>
      <c r="K65" s="24"/>
      <c r="L65" s="24"/>
      <c r="M65" s="24"/>
      <c r="N65" s="24"/>
      <c r="O65" s="24"/>
      <c r="P65" s="24"/>
      <c r="Q65" s="24"/>
      <c r="R65" s="24"/>
      <c r="S65" s="24"/>
      <c r="T65" s="24"/>
      <c r="U65" s="26">
        <f t="shared" si="15"/>
        <v>0</v>
      </c>
      <c r="V65" s="26">
        <f t="shared" si="1"/>
        <v>0</v>
      </c>
      <c r="W65" s="26">
        <f t="shared" si="2"/>
        <v>0</v>
      </c>
      <c r="X65" s="26">
        <f t="shared" si="3"/>
        <v>0</v>
      </c>
      <c r="Y65" s="26">
        <f t="shared" si="4"/>
        <v>0</v>
      </c>
      <c r="Z65" s="26">
        <f t="shared" si="5"/>
        <v>0</v>
      </c>
      <c r="AA65" s="26">
        <f t="shared" si="6"/>
        <v>0</v>
      </c>
      <c r="AB65" s="26">
        <f t="shared" si="7"/>
        <v>0</v>
      </c>
      <c r="AC65" s="26" t="e">
        <f t="shared" si="8"/>
        <v>#DIV/0!</v>
      </c>
      <c r="AD65" s="26" t="e">
        <f t="shared" si="9"/>
        <v>#DIV/0!</v>
      </c>
      <c r="AE65" s="26" t="e">
        <f t="shared" si="10"/>
        <v>#DIV/0!</v>
      </c>
      <c r="AF65" s="26" t="e">
        <f t="shared" si="11"/>
        <v>#DIV/0!</v>
      </c>
      <c r="AG65" s="26" t="e">
        <f t="shared" si="12"/>
        <v>#DIV/0!</v>
      </c>
      <c r="AH65" s="26" t="e">
        <f t="shared" si="13"/>
        <v>#DIV/0!</v>
      </c>
      <c r="AI65" s="26" t="e">
        <f t="shared" si="14"/>
        <v>#DIV/0!</v>
      </c>
    </row>
    <row r="66" spans="1:35" ht="20.100000000000001" customHeight="1">
      <c r="A66" s="24">
        <v>0</v>
      </c>
      <c r="B66" s="26">
        <f>'INTERNAL TEST-1  '!B66</f>
        <v>0</v>
      </c>
      <c r="C66" s="89">
        <f>'INTERNAL TEST-1  '!C66</f>
        <v>0</v>
      </c>
      <c r="D66" s="24"/>
      <c r="E66" s="24"/>
      <c r="F66" s="24"/>
      <c r="G66" s="24"/>
      <c r="H66" s="24"/>
      <c r="I66" s="24"/>
      <c r="J66" s="24"/>
      <c r="K66" s="24"/>
      <c r="L66" s="24"/>
      <c r="M66" s="24"/>
      <c r="N66" s="24"/>
      <c r="O66" s="24"/>
      <c r="P66" s="24"/>
      <c r="Q66" s="24"/>
      <c r="R66" s="24"/>
      <c r="S66" s="24"/>
      <c r="T66" s="24"/>
      <c r="U66" s="26">
        <f t="shared" si="15"/>
        <v>0</v>
      </c>
      <c r="V66" s="26">
        <f t="shared" si="1"/>
        <v>0</v>
      </c>
      <c r="W66" s="26">
        <f t="shared" si="2"/>
        <v>0</v>
      </c>
      <c r="X66" s="26">
        <f t="shared" si="3"/>
        <v>0</v>
      </c>
      <c r="Y66" s="26">
        <f t="shared" si="4"/>
        <v>0</v>
      </c>
      <c r="Z66" s="26">
        <f t="shared" si="5"/>
        <v>0</v>
      </c>
      <c r="AA66" s="26">
        <f t="shared" si="6"/>
        <v>0</v>
      </c>
      <c r="AB66" s="26">
        <f t="shared" si="7"/>
        <v>0</v>
      </c>
      <c r="AC66" s="26" t="e">
        <f t="shared" si="8"/>
        <v>#DIV/0!</v>
      </c>
      <c r="AD66" s="26" t="e">
        <f t="shared" si="9"/>
        <v>#DIV/0!</v>
      </c>
      <c r="AE66" s="26" t="e">
        <f t="shared" si="10"/>
        <v>#DIV/0!</v>
      </c>
      <c r="AF66" s="26" t="e">
        <f t="shared" si="11"/>
        <v>#DIV/0!</v>
      </c>
      <c r="AG66" s="26" t="e">
        <f t="shared" si="12"/>
        <v>#DIV/0!</v>
      </c>
      <c r="AH66" s="26" t="e">
        <f t="shared" si="13"/>
        <v>#DIV/0!</v>
      </c>
      <c r="AI66" s="26" t="e">
        <f t="shared" si="14"/>
        <v>#DIV/0!</v>
      </c>
    </row>
    <row r="67" spans="1:35" ht="20.100000000000001" customHeight="1">
      <c r="A67" s="24">
        <v>0</v>
      </c>
      <c r="B67" s="26">
        <f>'INTERNAL TEST-1  '!B67</f>
        <v>0</v>
      </c>
      <c r="C67" s="89">
        <f>'INTERNAL TEST-1  '!C67</f>
        <v>0</v>
      </c>
      <c r="D67" s="24"/>
      <c r="E67" s="24"/>
      <c r="F67" s="24"/>
      <c r="G67" s="24"/>
      <c r="H67" s="24"/>
      <c r="I67" s="24"/>
      <c r="J67" s="24"/>
      <c r="K67" s="24"/>
      <c r="L67" s="24"/>
      <c r="M67" s="24"/>
      <c r="N67" s="24"/>
      <c r="O67" s="24"/>
      <c r="P67" s="24"/>
      <c r="Q67" s="24"/>
      <c r="R67" s="24"/>
      <c r="S67" s="24"/>
      <c r="T67" s="24"/>
      <c r="U67" s="26">
        <f t="shared" si="15"/>
        <v>0</v>
      </c>
      <c r="V67" s="26">
        <f t="shared" si="1"/>
        <v>0</v>
      </c>
      <c r="W67" s="26">
        <f t="shared" si="2"/>
        <v>0</v>
      </c>
      <c r="X67" s="26">
        <f t="shared" si="3"/>
        <v>0</v>
      </c>
      <c r="Y67" s="26">
        <f t="shared" si="4"/>
        <v>0</v>
      </c>
      <c r="Z67" s="26">
        <f t="shared" si="5"/>
        <v>0</v>
      </c>
      <c r="AA67" s="26">
        <f t="shared" si="6"/>
        <v>0</v>
      </c>
      <c r="AB67" s="26">
        <f t="shared" si="7"/>
        <v>0</v>
      </c>
      <c r="AC67" s="26" t="e">
        <f t="shared" si="8"/>
        <v>#DIV/0!</v>
      </c>
      <c r="AD67" s="26" t="e">
        <f t="shared" si="9"/>
        <v>#DIV/0!</v>
      </c>
      <c r="AE67" s="26" t="e">
        <f t="shared" si="10"/>
        <v>#DIV/0!</v>
      </c>
      <c r="AF67" s="26" t="e">
        <f t="shared" si="11"/>
        <v>#DIV/0!</v>
      </c>
      <c r="AG67" s="26" t="e">
        <f t="shared" si="12"/>
        <v>#DIV/0!</v>
      </c>
      <c r="AH67" s="26" t="e">
        <f t="shared" si="13"/>
        <v>#DIV/0!</v>
      </c>
      <c r="AI67" s="26" t="e">
        <f t="shared" si="14"/>
        <v>#DIV/0!</v>
      </c>
    </row>
    <row r="68" spans="1:35" ht="20.100000000000001" customHeight="1">
      <c r="A68" s="24">
        <v>0</v>
      </c>
      <c r="B68" s="26">
        <f>'INTERNAL TEST-1  '!B68</f>
        <v>0</v>
      </c>
      <c r="C68" s="89">
        <f>'INTERNAL TEST-1  '!C68</f>
        <v>0</v>
      </c>
      <c r="D68" s="24"/>
      <c r="E68" s="24"/>
      <c r="F68" s="24"/>
      <c r="G68" s="24"/>
      <c r="H68" s="24"/>
      <c r="I68" s="24"/>
      <c r="J68" s="24"/>
      <c r="K68" s="24"/>
      <c r="L68" s="24"/>
      <c r="M68" s="24"/>
      <c r="N68" s="24"/>
      <c r="O68" s="24"/>
      <c r="P68" s="24"/>
      <c r="Q68" s="24"/>
      <c r="R68" s="24"/>
      <c r="S68" s="24"/>
      <c r="T68" s="24"/>
      <c r="U68" s="26">
        <f t="shared" si="15"/>
        <v>0</v>
      </c>
      <c r="V68" s="26">
        <f t="shared" si="1"/>
        <v>0</v>
      </c>
      <c r="W68" s="26">
        <f t="shared" si="2"/>
        <v>0</v>
      </c>
      <c r="X68" s="26">
        <f t="shared" si="3"/>
        <v>0</v>
      </c>
      <c r="Y68" s="26">
        <f t="shared" si="4"/>
        <v>0</v>
      </c>
      <c r="Z68" s="26">
        <f t="shared" si="5"/>
        <v>0</v>
      </c>
      <c r="AA68" s="26">
        <f t="shared" si="6"/>
        <v>0</v>
      </c>
      <c r="AB68" s="26">
        <f t="shared" si="7"/>
        <v>0</v>
      </c>
      <c r="AC68" s="26" t="e">
        <f t="shared" si="8"/>
        <v>#DIV/0!</v>
      </c>
      <c r="AD68" s="26" t="e">
        <f t="shared" si="9"/>
        <v>#DIV/0!</v>
      </c>
      <c r="AE68" s="26" t="e">
        <f t="shared" si="10"/>
        <v>#DIV/0!</v>
      </c>
      <c r="AF68" s="26" t="e">
        <f t="shared" si="11"/>
        <v>#DIV/0!</v>
      </c>
      <c r="AG68" s="26" t="e">
        <f t="shared" si="12"/>
        <v>#DIV/0!</v>
      </c>
      <c r="AH68" s="26" t="e">
        <f t="shared" si="13"/>
        <v>#DIV/0!</v>
      </c>
      <c r="AI68" s="26" t="e">
        <f t="shared" si="14"/>
        <v>#DIV/0!</v>
      </c>
    </row>
    <row r="69" spans="1:35" ht="20.100000000000001" customHeight="1">
      <c r="A69" s="24">
        <v>0</v>
      </c>
      <c r="B69" s="26">
        <f>'INTERNAL TEST-1  '!B69</f>
        <v>0</v>
      </c>
      <c r="C69" s="89">
        <f>'INTERNAL TEST-1  '!C69</f>
        <v>0</v>
      </c>
      <c r="D69" s="24"/>
      <c r="E69" s="24"/>
      <c r="F69" s="24"/>
      <c r="G69" s="24"/>
      <c r="H69" s="24"/>
      <c r="I69" s="24"/>
      <c r="J69" s="24"/>
      <c r="K69" s="24"/>
      <c r="L69" s="24"/>
      <c r="M69" s="24"/>
      <c r="N69" s="24"/>
      <c r="O69" s="82"/>
      <c r="P69" s="82"/>
      <c r="Q69" s="24"/>
      <c r="R69" s="24"/>
      <c r="S69" s="24"/>
      <c r="T69" s="24"/>
      <c r="U69" s="26">
        <f t="shared" ref="U69:U138" si="16">SUM(D69:T69)</f>
        <v>0</v>
      </c>
      <c r="V69" s="26">
        <f t="shared" si="1"/>
        <v>0</v>
      </c>
      <c r="W69" s="26">
        <f t="shared" si="2"/>
        <v>0</v>
      </c>
      <c r="X69" s="26">
        <f t="shared" si="3"/>
        <v>0</v>
      </c>
      <c r="Y69" s="26">
        <f t="shared" si="4"/>
        <v>0</v>
      </c>
      <c r="Z69" s="26">
        <f t="shared" si="5"/>
        <v>0</v>
      </c>
      <c r="AA69" s="26">
        <f t="shared" si="6"/>
        <v>0</v>
      </c>
      <c r="AB69" s="26">
        <f t="shared" si="7"/>
        <v>0</v>
      </c>
      <c r="AC69" s="26" t="e">
        <f t="shared" si="8"/>
        <v>#DIV/0!</v>
      </c>
      <c r="AD69" s="26" t="e">
        <f t="shared" si="9"/>
        <v>#DIV/0!</v>
      </c>
      <c r="AE69" s="26" t="e">
        <f t="shared" si="10"/>
        <v>#DIV/0!</v>
      </c>
      <c r="AF69" s="26" t="e">
        <f t="shared" si="11"/>
        <v>#DIV/0!</v>
      </c>
      <c r="AG69" s="26" t="e">
        <f t="shared" si="12"/>
        <v>#DIV/0!</v>
      </c>
      <c r="AH69" s="26" t="e">
        <f t="shared" si="13"/>
        <v>#DIV/0!</v>
      </c>
      <c r="AI69" s="26" t="e">
        <f t="shared" si="14"/>
        <v>#DIV/0!</v>
      </c>
    </row>
    <row r="70" spans="1:35" ht="20.100000000000001" customHeight="1">
      <c r="A70" s="24">
        <v>0</v>
      </c>
      <c r="B70" s="26">
        <f>'INTERNAL TEST-1  '!B70</f>
        <v>0</v>
      </c>
      <c r="C70" s="89">
        <f>'INTERNAL TEST-1  '!C70</f>
        <v>0</v>
      </c>
      <c r="D70" s="24"/>
      <c r="E70" s="24"/>
      <c r="F70" s="24"/>
      <c r="G70" s="24"/>
      <c r="H70" s="24"/>
      <c r="I70" s="24"/>
      <c r="J70" s="24"/>
      <c r="K70" s="24"/>
      <c r="L70" s="24"/>
      <c r="M70" s="24"/>
      <c r="N70" s="24"/>
      <c r="O70" s="82"/>
      <c r="P70" s="82"/>
      <c r="Q70" s="24"/>
      <c r="R70" s="24"/>
      <c r="S70" s="24"/>
      <c r="T70" s="24"/>
      <c r="U70" s="26">
        <f t="shared" si="16"/>
        <v>0</v>
      </c>
      <c r="V70" s="26">
        <f t="shared" si="1"/>
        <v>0</v>
      </c>
      <c r="W70" s="26">
        <f t="shared" si="2"/>
        <v>0</v>
      </c>
      <c r="X70" s="26">
        <f t="shared" si="3"/>
        <v>0</v>
      </c>
      <c r="Y70" s="26">
        <f t="shared" si="4"/>
        <v>0</v>
      </c>
      <c r="Z70" s="26">
        <f t="shared" si="5"/>
        <v>0</v>
      </c>
      <c r="AA70" s="26">
        <f t="shared" si="6"/>
        <v>0</v>
      </c>
      <c r="AB70" s="26">
        <f t="shared" si="7"/>
        <v>0</v>
      </c>
      <c r="AC70" s="26" t="e">
        <f t="shared" si="8"/>
        <v>#DIV/0!</v>
      </c>
      <c r="AD70" s="26" t="e">
        <f t="shared" si="9"/>
        <v>#DIV/0!</v>
      </c>
      <c r="AE70" s="26" t="e">
        <f t="shared" si="10"/>
        <v>#DIV/0!</v>
      </c>
      <c r="AF70" s="26" t="e">
        <f t="shared" si="11"/>
        <v>#DIV/0!</v>
      </c>
      <c r="AG70" s="26" t="e">
        <f t="shared" si="12"/>
        <v>#DIV/0!</v>
      </c>
      <c r="AH70" s="26" t="e">
        <f t="shared" si="13"/>
        <v>#DIV/0!</v>
      </c>
      <c r="AI70" s="26" t="e">
        <f t="shared" si="14"/>
        <v>#DIV/0!</v>
      </c>
    </row>
    <row r="71" spans="1:35" ht="20.100000000000001" customHeight="1">
      <c r="A71" s="24">
        <v>0</v>
      </c>
      <c r="B71" s="26">
        <f>'INTERNAL TEST-1  '!B71</f>
        <v>0</v>
      </c>
      <c r="C71" s="89">
        <f>'INTERNAL TEST-1  '!C71</f>
        <v>0</v>
      </c>
      <c r="D71" s="24"/>
      <c r="E71" s="24"/>
      <c r="F71" s="24"/>
      <c r="G71" s="24"/>
      <c r="H71" s="24"/>
      <c r="I71" s="24"/>
      <c r="J71" s="24"/>
      <c r="K71" s="24"/>
      <c r="L71" s="24"/>
      <c r="M71" s="24"/>
      <c r="N71" s="24"/>
      <c r="O71" s="82"/>
      <c r="P71" s="82"/>
      <c r="Q71" s="24"/>
      <c r="R71" s="24"/>
      <c r="S71" s="24"/>
      <c r="T71" s="24"/>
      <c r="U71" s="26">
        <f t="shared" si="16"/>
        <v>0</v>
      </c>
      <c r="V71" s="26">
        <f t="shared" si="1"/>
        <v>0</v>
      </c>
      <c r="W71" s="26">
        <f t="shared" si="2"/>
        <v>0</v>
      </c>
      <c r="X71" s="26">
        <f t="shared" si="3"/>
        <v>0</v>
      </c>
      <c r="Y71" s="26">
        <f t="shared" si="4"/>
        <v>0</v>
      </c>
      <c r="Z71" s="26">
        <f t="shared" si="5"/>
        <v>0</v>
      </c>
      <c r="AA71" s="26">
        <f t="shared" si="6"/>
        <v>0</v>
      </c>
      <c r="AB71" s="26">
        <f t="shared" si="7"/>
        <v>0</v>
      </c>
      <c r="AC71" s="26" t="e">
        <f t="shared" si="8"/>
        <v>#DIV/0!</v>
      </c>
      <c r="AD71" s="26" t="e">
        <f t="shared" si="9"/>
        <v>#DIV/0!</v>
      </c>
      <c r="AE71" s="26" t="e">
        <f t="shared" si="10"/>
        <v>#DIV/0!</v>
      </c>
      <c r="AF71" s="26" t="e">
        <f t="shared" si="11"/>
        <v>#DIV/0!</v>
      </c>
      <c r="AG71" s="26" t="e">
        <f t="shared" si="12"/>
        <v>#DIV/0!</v>
      </c>
      <c r="AH71" s="26" t="e">
        <f t="shared" si="13"/>
        <v>#DIV/0!</v>
      </c>
      <c r="AI71" s="26" t="e">
        <f t="shared" si="14"/>
        <v>#DIV/0!</v>
      </c>
    </row>
    <row r="72" spans="1:35" ht="20.100000000000001" customHeight="1">
      <c r="A72" s="24">
        <v>0</v>
      </c>
      <c r="B72" s="26">
        <f>'INTERNAL TEST-1  '!B72</f>
        <v>0</v>
      </c>
      <c r="C72" s="89">
        <f>'INTERNAL TEST-1  '!C72</f>
        <v>0</v>
      </c>
      <c r="D72" s="24"/>
      <c r="E72" s="24"/>
      <c r="F72" s="24"/>
      <c r="G72" s="24"/>
      <c r="H72" s="24"/>
      <c r="I72" s="24"/>
      <c r="J72" s="24"/>
      <c r="K72" s="24"/>
      <c r="L72" s="24"/>
      <c r="M72" s="24"/>
      <c r="N72" s="24"/>
      <c r="O72" s="82"/>
      <c r="P72" s="82"/>
      <c r="Q72" s="24"/>
      <c r="R72" s="24"/>
      <c r="S72" s="24"/>
      <c r="T72" s="24"/>
      <c r="U72" s="26">
        <f t="shared" si="16"/>
        <v>0</v>
      </c>
      <c r="V72" s="26">
        <f t="shared" si="1"/>
        <v>0</v>
      </c>
      <c r="W72" s="26">
        <f t="shared" si="2"/>
        <v>0</v>
      </c>
      <c r="X72" s="26">
        <f t="shared" si="3"/>
        <v>0</v>
      </c>
      <c r="Y72" s="26">
        <f t="shared" si="4"/>
        <v>0</v>
      </c>
      <c r="Z72" s="26">
        <f t="shared" si="5"/>
        <v>0</v>
      </c>
      <c r="AA72" s="26">
        <f t="shared" si="6"/>
        <v>0</v>
      </c>
      <c r="AB72" s="26">
        <f t="shared" si="7"/>
        <v>0</v>
      </c>
      <c r="AC72" s="26" t="e">
        <f t="shared" si="8"/>
        <v>#DIV/0!</v>
      </c>
      <c r="AD72" s="26" t="e">
        <f t="shared" si="9"/>
        <v>#DIV/0!</v>
      </c>
      <c r="AE72" s="26" t="e">
        <f t="shared" si="10"/>
        <v>#DIV/0!</v>
      </c>
      <c r="AF72" s="26" t="e">
        <f t="shared" si="11"/>
        <v>#DIV/0!</v>
      </c>
      <c r="AG72" s="26" t="e">
        <f t="shared" si="12"/>
        <v>#DIV/0!</v>
      </c>
      <c r="AH72" s="26" t="e">
        <f t="shared" si="13"/>
        <v>#DIV/0!</v>
      </c>
      <c r="AI72" s="26" t="e">
        <f t="shared" si="14"/>
        <v>#DIV/0!</v>
      </c>
    </row>
    <row r="73" spans="1:35" ht="20.100000000000001" customHeight="1">
      <c r="A73" s="24">
        <v>0</v>
      </c>
      <c r="B73" s="26">
        <f>'INTERNAL TEST-1  '!B73</f>
        <v>0</v>
      </c>
      <c r="C73" s="89">
        <f>'INTERNAL TEST-1  '!C73</f>
        <v>0</v>
      </c>
      <c r="D73" s="24"/>
      <c r="E73" s="24"/>
      <c r="F73" s="24"/>
      <c r="G73" s="24"/>
      <c r="H73" s="24"/>
      <c r="I73" s="24"/>
      <c r="J73" s="24"/>
      <c r="K73" s="24"/>
      <c r="L73" s="24"/>
      <c r="M73" s="24"/>
      <c r="N73" s="24"/>
      <c r="O73" s="82"/>
      <c r="P73" s="82"/>
      <c r="Q73" s="24"/>
      <c r="R73" s="24"/>
      <c r="S73" s="24"/>
      <c r="T73" s="24"/>
      <c r="U73" s="26">
        <f t="shared" si="16"/>
        <v>0</v>
      </c>
      <c r="V73" s="26">
        <f t="shared" si="1"/>
        <v>0</v>
      </c>
      <c r="W73" s="26">
        <f t="shared" si="2"/>
        <v>0</v>
      </c>
      <c r="X73" s="26">
        <f t="shared" si="3"/>
        <v>0</v>
      </c>
      <c r="Y73" s="26">
        <f t="shared" si="4"/>
        <v>0</v>
      </c>
      <c r="Z73" s="26">
        <f t="shared" si="5"/>
        <v>0</v>
      </c>
      <c r="AA73" s="26">
        <f t="shared" si="6"/>
        <v>0</v>
      </c>
      <c r="AB73" s="26">
        <f t="shared" si="7"/>
        <v>0</v>
      </c>
      <c r="AC73" s="26" t="e">
        <f t="shared" si="8"/>
        <v>#DIV/0!</v>
      </c>
      <c r="AD73" s="26" t="e">
        <f t="shared" si="9"/>
        <v>#DIV/0!</v>
      </c>
      <c r="AE73" s="26" t="e">
        <f t="shared" si="10"/>
        <v>#DIV/0!</v>
      </c>
      <c r="AF73" s="26" t="e">
        <f t="shared" si="11"/>
        <v>#DIV/0!</v>
      </c>
      <c r="AG73" s="26" t="e">
        <f t="shared" si="12"/>
        <v>#DIV/0!</v>
      </c>
      <c r="AH73" s="26" t="e">
        <f t="shared" si="13"/>
        <v>#DIV/0!</v>
      </c>
      <c r="AI73" s="26" t="e">
        <f t="shared" si="14"/>
        <v>#DIV/0!</v>
      </c>
    </row>
    <row r="74" spans="1:35" ht="20.100000000000001" customHeight="1">
      <c r="A74" s="24">
        <v>0</v>
      </c>
      <c r="B74" s="26">
        <f>'INTERNAL TEST-1  '!B74</f>
        <v>0</v>
      </c>
      <c r="C74" s="89">
        <f>'INTERNAL TEST-1  '!C74</f>
        <v>0</v>
      </c>
      <c r="D74" s="24"/>
      <c r="E74" s="24"/>
      <c r="F74" s="24"/>
      <c r="G74" s="24"/>
      <c r="H74" s="24"/>
      <c r="I74" s="24"/>
      <c r="J74" s="24"/>
      <c r="K74" s="24"/>
      <c r="L74" s="24"/>
      <c r="M74" s="24"/>
      <c r="N74" s="24"/>
      <c r="O74" s="82"/>
      <c r="P74" s="82"/>
      <c r="Q74" s="24"/>
      <c r="R74" s="24"/>
      <c r="S74" s="24"/>
      <c r="T74" s="24"/>
      <c r="U74" s="26">
        <f t="shared" si="16"/>
        <v>0</v>
      </c>
      <c r="V74" s="26">
        <f t="shared" si="1"/>
        <v>0</v>
      </c>
      <c r="W74" s="26">
        <f t="shared" si="2"/>
        <v>0</v>
      </c>
      <c r="X74" s="26">
        <f t="shared" si="3"/>
        <v>0</v>
      </c>
      <c r="Y74" s="26">
        <f t="shared" si="4"/>
        <v>0</v>
      </c>
      <c r="Z74" s="26">
        <f t="shared" si="5"/>
        <v>0</v>
      </c>
      <c r="AA74" s="26">
        <f t="shared" si="6"/>
        <v>0</v>
      </c>
      <c r="AB74" s="26">
        <f t="shared" si="7"/>
        <v>0</v>
      </c>
      <c r="AC74" s="26" t="e">
        <f t="shared" si="8"/>
        <v>#DIV/0!</v>
      </c>
      <c r="AD74" s="26" t="e">
        <f t="shared" si="9"/>
        <v>#DIV/0!</v>
      </c>
      <c r="AE74" s="26" t="e">
        <f t="shared" si="10"/>
        <v>#DIV/0!</v>
      </c>
      <c r="AF74" s="26" t="e">
        <f t="shared" si="11"/>
        <v>#DIV/0!</v>
      </c>
      <c r="AG74" s="26" t="e">
        <f t="shared" si="12"/>
        <v>#DIV/0!</v>
      </c>
      <c r="AH74" s="26" t="e">
        <f t="shared" si="13"/>
        <v>#DIV/0!</v>
      </c>
      <c r="AI74" s="26" t="e">
        <f t="shared" si="14"/>
        <v>#DIV/0!</v>
      </c>
    </row>
    <row r="75" spans="1:35" ht="20.100000000000001" customHeight="1">
      <c r="A75" s="24">
        <v>0</v>
      </c>
      <c r="B75" s="26">
        <f>'INTERNAL TEST-1  '!B75</f>
        <v>0</v>
      </c>
      <c r="C75" s="89">
        <f>'INTERNAL TEST-1  '!C75</f>
        <v>0</v>
      </c>
      <c r="D75" s="24"/>
      <c r="E75" s="24"/>
      <c r="F75" s="24"/>
      <c r="G75" s="24"/>
      <c r="H75" s="24"/>
      <c r="I75" s="24"/>
      <c r="J75" s="24"/>
      <c r="K75" s="24"/>
      <c r="L75" s="24"/>
      <c r="M75" s="24"/>
      <c r="N75" s="24"/>
      <c r="O75" s="82"/>
      <c r="P75" s="82"/>
      <c r="Q75" s="24"/>
      <c r="R75" s="24"/>
      <c r="S75" s="24"/>
      <c r="T75" s="24"/>
      <c r="U75" s="26">
        <f t="shared" si="16"/>
        <v>0</v>
      </c>
      <c r="V75" s="26">
        <f t="shared" si="1"/>
        <v>0</v>
      </c>
      <c r="W75" s="26">
        <f t="shared" si="2"/>
        <v>0</v>
      </c>
      <c r="X75" s="26">
        <f t="shared" si="3"/>
        <v>0</v>
      </c>
      <c r="Y75" s="26">
        <f t="shared" si="4"/>
        <v>0</v>
      </c>
      <c r="Z75" s="26">
        <f t="shared" si="5"/>
        <v>0</v>
      </c>
      <c r="AA75" s="26">
        <f t="shared" si="6"/>
        <v>0</v>
      </c>
      <c r="AB75" s="26">
        <f t="shared" si="7"/>
        <v>0</v>
      </c>
      <c r="AC75" s="26" t="e">
        <f t="shared" si="8"/>
        <v>#DIV/0!</v>
      </c>
      <c r="AD75" s="26" t="e">
        <f t="shared" si="9"/>
        <v>#DIV/0!</v>
      </c>
      <c r="AE75" s="26" t="e">
        <f t="shared" si="10"/>
        <v>#DIV/0!</v>
      </c>
      <c r="AF75" s="26" t="e">
        <f t="shared" si="11"/>
        <v>#DIV/0!</v>
      </c>
      <c r="AG75" s="26" t="e">
        <f t="shared" si="12"/>
        <v>#DIV/0!</v>
      </c>
      <c r="AH75" s="26" t="e">
        <f t="shared" si="13"/>
        <v>#DIV/0!</v>
      </c>
      <c r="AI75" s="26" t="e">
        <f t="shared" si="14"/>
        <v>#DIV/0!</v>
      </c>
    </row>
    <row r="76" spans="1:35" ht="20.100000000000001" customHeight="1">
      <c r="A76" s="24">
        <v>0</v>
      </c>
      <c r="B76" s="26">
        <f>'INTERNAL TEST-1  '!B76</f>
        <v>0</v>
      </c>
      <c r="C76" s="89">
        <f>'INTERNAL TEST-1  '!C76</f>
        <v>0</v>
      </c>
      <c r="D76" s="24"/>
      <c r="E76" s="24"/>
      <c r="F76" s="24"/>
      <c r="G76" s="24"/>
      <c r="H76" s="24"/>
      <c r="I76" s="24"/>
      <c r="J76" s="24"/>
      <c r="K76" s="24"/>
      <c r="L76" s="24"/>
      <c r="M76" s="24"/>
      <c r="N76" s="24"/>
      <c r="O76" s="82"/>
      <c r="P76" s="82"/>
      <c r="Q76" s="24"/>
      <c r="R76" s="24"/>
      <c r="S76" s="24"/>
      <c r="T76" s="24"/>
      <c r="U76" s="26">
        <f t="shared" si="16"/>
        <v>0</v>
      </c>
      <c r="V76" s="26">
        <f t="shared" si="1"/>
        <v>0</v>
      </c>
      <c r="W76" s="26">
        <f t="shared" si="2"/>
        <v>0</v>
      </c>
      <c r="X76" s="26">
        <f t="shared" si="3"/>
        <v>0</v>
      </c>
      <c r="Y76" s="26">
        <f t="shared" si="4"/>
        <v>0</v>
      </c>
      <c r="Z76" s="26">
        <f t="shared" si="5"/>
        <v>0</v>
      </c>
      <c r="AA76" s="26">
        <f t="shared" si="6"/>
        <v>0</v>
      </c>
      <c r="AB76" s="26">
        <f t="shared" si="7"/>
        <v>0</v>
      </c>
      <c r="AC76" s="26" t="e">
        <f t="shared" si="8"/>
        <v>#DIV/0!</v>
      </c>
      <c r="AD76" s="26" t="e">
        <f t="shared" si="9"/>
        <v>#DIV/0!</v>
      </c>
      <c r="AE76" s="26" t="e">
        <f t="shared" si="10"/>
        <v>#DIV/0!</v>
      </c>
      <c r="AF76" s="26" t="e">
        <f t="shared" si="11"/>
        <v>#DIV/0!</v>
      </c>
      <c r="AG76" s="26" t="e">
        <f t="shared" si="12"/>
        <v>#DIV/0!</v>
      </c>
      <c r="AH76" s="26" t="e">
        <f t="shared" si="13"/>
        <v>#DIV/0!</v>
      </c>
      <c r="AI76" s="26" t="e">
        <f t="shared" si="14"/>
        <v>#DIV/0!</v>
      </c>
    </row>
    <row r="77" spans="1:35" ht="20.100000000000001" customHeight="1">
      <c r="A77" s="24">
        <v>0</v>
      </c>
      <c r="B77" s="26">
        <f>'INTERNAL TEST-1  '!B77</f>
        <v>0</v>
      </c>
      <c r="C77" s="89">
        <f>'INTERNAL TEST-1  '!C77</f>
        <v>0</v>
      </c>
      <c r="D77" s="24"/>
      <c r="E77" s="24"/>
      <c r="F77" s="24"/>
      <c r="G77" s="24"/>
      <c r="H77" s="24"/>
      <c r="I77" s="24"/>
      <c r="J77" s="24"/>
      <c r="K77" s="24"/>
      <c r="L77" s="24"/>
      <c r="M77" s="24"/>
      <c r="N77" s="24"/>
      <c r="O77" s="82"/>
      <c r="P77" s="82"/>
      <c r="Q77" s="24"/>
      <c r="R77" s="24"/>
      <c r="S77" s="24"/>
      <c r="T77" s="24"/>
      <c r="U77" s="26">
        <f t="shared" si="16"/>
        <v>0</v>
      </c>
      <c r="V77" s="26">
        <f t="shared" si="1"/>
        <v>0</v>
      </c>
      <c r="W77" s="26">
        <f t="shared" si="2"/>
        <v>0</v>
      </c>
      <c r="X77" s="26">
        <f t="shared" si="3"/>
        <v>0</v>
      </c>
      <c r="Y77" s="26">
        <f t="shared" si="4"/>
        <v>0</v>
      </c>
      <c r="Z77" s="26">
        <f t="shared" si="5"/>
        <v>0</v>
      </c>
      <c r="AA77" s="26">
        <f t="shared" si="6"/>
        <v>0</v>
      </c>
      <c r="AB77" s="26">
        <f t="shared" si="7"/>
        <v>0</v>
      </c>
      <c r="AC77" s="26" t="e">
        <f t="shared" si="8"/>
        <v>#DIV/0!</v>
      </c>
      <c r="AD77" s="26" t="e">
        <f t="shared" si="9"/>
        <v>#DIV/0!</v>
      </c>
      <c r="AE77" s="26" t="e">
        <f t="shared" si="10"/>
        <v>#DIV/0!</v>
      </c>
      <c r="AF77" s="26" t="e">
        <f t="shared" si="11"/>
        <v>#DIV/0!</v>
      </c>
      <c r="AG77" s="26" t="e">
        <f t="shared" si="12"/>
        <v>#DIV/0!</v>
      </c>
      <c r="AH77" s="26" t="e">
        <f t="shared" si="13"/>
        <v>#DIV/0!</v>
      </c>
      <c r="AI77" s="26" t="e">
        <f t="shared" si="14"/>
        <v>#DIV/0!</v>
      </c>
    </row>
    <row r="78" spans="1:35" ht="20.100000000000001" customHeight="1">
      <c r="A78" s="24">
        <v>0</v>
      </c>
      <c r="B78" s="26">
        <f>'INTERNAL TEST-1  '!B78</f>
        <v>0</v>
      </c>
      <c r="C78" s="89">
        <f>'INTERNAL TEST-1  '!C78</f>
        <v>0</v>
      </c>
      <c r="D78" s="24"/>
      <c r="E78" s="24"/>
      <c r="F78" s="24"/>
      <c r="G78" s="24"/>
      <c r="H78" s="24"/>
      <c r="I78" s="24"/>
      <c r="J78" s="24"/>
      <c r="K78" s="24"/>
      <c r="L78" s="24"/>
      <c r="M78" s="24"/>
      <c r="N78" s="24"/>
      <c r="O78" s="82"/>
      <c r="P78" s="82"/>
      <c r="Q78" s="24"/>
      <c r="R78" s="24"/>
      <c r="S78" s="24"/>
      <c r="T78" s="24"/>
      <c r="U78" s="26">
        <f t="shared" si="16"/>
        <v>0</v>
      </c>
      <c r="V78" s="26">
        <f t="shared" ref="V78:V139" si="17">IF($D$12="CO1",D78,0)+IF($E$12="CO1",E78,0)+IF($F$12="CO1",F78,0)+IF($G$12="CO1",G78,0)+IF($H$12="CO1",H78,0)+IF($I$12="CO1",I78,0)+IF($J$12="CO1",J78,0)+IF($K$12="CO1",K78,0)+IF($L$12="CO1",L78,0)+IF($M$12="CO1",M78,0)+IF($N$12="CO1",N78,0)+IF($O$12="CO1",O78,0)+IF($P$12="CO1",P78,0)+IF($Q$12="CO1",Q78,0)+IF($R$12="CO1",R78,0)+IF($S$12="CO1",S78,0)+IF($T$12="CO1",T78,0)</f>
        <v>0</v>
      </c>
      <c r="W78" s="26">
        <f t="shared" ref="W78:W139" si="18">IF($D$12="CO2",D78,0)+IF($E$12="CO2",E78,0)+IF($F$12="CO2",F78,0)+IF($G$12="CO2",G78,0)+IF($H$12="CO2",H78,0)+IF($I$12="CO2",I78,0)+IF($J$12="CO2",J78,0)+IF($K$12="CO2",K78,0)+IF($L$12="CO2",L78,0)+IF($M$12="CO2",M78,0)+IF($N$12="CO2",N78,0)+IF($O$12="CO2",O78,0)+IF($P$12="CO2",P78,0)+IF($Q$12="CO2",Q78,0)+IF($R$12="CO2",R78,0)+IF($S$12="CO2",S78,0)+IF($T$12="CO2",T78,0)</f>
        <v>0</v>
      </c>
      <c r="X78" s="26">
        <f t="shared" ref="X78:X139" si="19">IF($D$12="CO3",D78,0)+IF($E$12="CO3",E78,0)+IF($F$12="CO3",F78,0)+IF($G$12="CO3",G78,0)+IF($H$12="CO3",H78,0)+IF($I$12="CO3",I78,0)+IF($J$12="CO3",J78,0)+IF($K$12="CO3",K78,0)+IF($L$12="CO3",L78,0)+IF($M$12="CO3",M78,0)+IF($N$12="CO3",N78,0)+IF($O$12="CO3",O78,0)+IF($P$12="CO3",P78,0)+IF($Q$12="CO3",Q78,0)+IF($R$12="CO3",R78,0)+IF($S$12="CO3",S78,0)+IF($T$12="CO3",T78,0)</f>
        <v>0</v>
      </c>
      <c r="Y78" s="26">
        <f t="shared" ref="Y78:Y139" si="20">IF($D$12="CO4",D78,0)+IF($E$12="CO4",E78,0)+IF($F$12="CO4",F78,0)+IF($G$12="CO4",G78,0)+IF($H$12="CO4",H78,0)+IF($I$12="CO4",I78,0)+IF($J$12="CO4",J78,0)+IF($K$12="CO4",K78,0)+IF($L$12="CO4",L78,0)+IF($M$12="CO4",M78,0)+IF($N$12="CO4",N78,0)+IF($O$12="CO4",O78,0)+IF($P$12="CO4",P78,0)+IF($Q$12="CO4",Q78,0)+IF($R$12="CO4",R78,0)+IF($S$12="CO4",S78,0)+IF($T$12="CO4",T78,0)</f>
        <v>0</v>
      </c>
      <c r="Z78" s="26">
        <f t="shared" ref="Z78:Z139" si="21">IF($D$12="CO5",D78,0)+IF($E$12="CO5",E78,0)+IF($F$12="CO5",F78,0)+IF($G$12="CO5",G78,0)+IF($H$12="CO5",H78,0)+IF($I$12="CO5",I78,0)+IF($J$12="CO5",J78,0)+IF($K$12="CO5",K78,0)+IF($L$12="CO5",L78,0)+IF($M$12="CO5",M78,0)+IF($N$12="CO5",N78,0)+IF($O$12="CO5",O78,0)+IF($P$12="CO5",P78,0)+IF($Q$12="CO5",Q78,0)+IF($R$12="CO5",R78,0)+IF($S$12="CO5",S78,0)+IF($T$12="CO5",T78,0)</f>
        <v>0</v>
      </c>
      <c r="AA78" s="26">
        <f t="shared" ref="AA78:AA139" si="22">IF($D$12="CO6",D78,0)+IF($E$12="CO6",E78,0)+IF($F$12="CO6",F78,0)+IF($G$12="CO6",G78,0)+IF($H$12="CO6",H78,0)+IF($I$12="CO6",I78,0)+IF($J$12="CO6",J78,0)+IF($K$12="CO6",K78,0)+IF($L$12="CO6",L78,0)+IF($M$12="CO6",M78,0)+IF($N$12="CO6",N78,0)+IF($O$12="CO6",O78,0)+IF($P$12="CO6",P78,0)+IF($Q$12="CO6",Q78,0)+IF($R$12="CO6",R78,0)+IF($S$12="CO6",S78,0)+IF($T$12="CO6",T78,0)</f>
        <v>0</v>
      </c>
      <c r="AB78" s="26">
        <f t="shared" ref="AB78:AB139" si="23">IF($D$12="CO7",D78,0)+IF($E$12="CO7",E78,0)+IF($F$12="CO7",F78,0)+IF($G$12="CO7",G78,0)+IF($H$12="CO7",H78,0)+IF($I$12="CO7",I78,0)+IF($J$12="CO7",J78,0)+IF($K$12="CO7",K78,0)+IF($L$12="CO7",L78,0)+IF($M$12="CO7",M78,0)+IF($N$12="CO7",N78,0)+IF($O$12="CO7",O78,0)+IF($P$12="CO7",P78,0)+IF($Q$12="CO7",Q78,0)+IF($R$12="CO7",R78,0)+IF($S$12="CO7",S78,0)+IF($T$12="CO7",T78,0)</f>
        <v>0</v>
      </c>
      <c r="AC78" s="26" t="e">
        <f t="shared" si="8"/>
        <v>#DIV/0!</v>
      </c>
      <c r="AD78" s="26" t="e">
        <f t="shared" si="9"/>
        <v>#DIV/0!</v>
      </c>
      <c r="AE78" s="26" t="e">
        <f t="shared" si="10"/>
        <v>#DIV/0!</v>
      </c>
      <c r="AF78" s="26" t="e">
        <f t="shared" si="11"/>
        <v>#DIV/0!</v>
      </c>
      <c r="AG78" s="26" t="e">
        <f t="shared" si="12"/>
        <v>#DIV/0!</v>
      </c>
      <c r="AH78" s="26" t="e">
        <f t="shared" si="13"/>
        <v>#DIV/0!</v>
      </c>
      <c r="AI78" s="26" t="e">
        <f t="shared" si="14"/>
        <v>#DIV/0!</v>
      </c>
    </row>
    <row r="79" spans="1:35" ht="20.100000000000001" customHeight="1">
      <c r="A79" s="24">
        <v>0</v>
      </c>
      <c r="B79" s="26">
        <f>'INTERNAL TEST-1  '!B79</f>
        <v>0</v>
      </c>
      <c r="C79" s="89">
        <f>'INTERNAL TEST-1  '!C79</f>
        <v>0</v>
      </c>
      <c r="D79" s="24"/>
      <c r="E79" s="24"/>
      <c r="F79" s="24"/>
      <c r="G79" s="24"/>
      <c r="H79" s="24"/>
      <c r="I79" s="24"/>
      <c r="J79" s="24"/>
      <c r="K79" s="24"/>
      <c r="L79" s="24"/>
      <c r="M79" s="24"/>
      <c r="N79" s="24"/>
      <c r="O79" s="82"/>
      <c r="P79" s="82"/>
      <c r="Q79" s="24"/>
      <c r="R79" s="24"/>
      <c r="S79" s="24"/>
      <c r="T79" s="24"/>
      <c r="U79" s="26">
        <f t="shared" si="16"/>
        <v>0</v>
      </c>
      <c r="V79" s="26">
        <f t="shared" si="17"/>
        <v>0</v>
      </c>
      <c r="W79" s="26">
        <f t="shared" si="18"/>
        <v>0</v>
      </c>
      <c r="X79" s="26">
        <f t="shared" si="19"/>
        <v>0</v>
      </c>
      <c r="Y79" s="26">
        <f t="shared" si="20"/>
        <v>0</v>
      </c>
      <c r="Z79" s="26">
        <f t="shared" si="21"/>
        <v>0</v>
      </c>
      <c r="AA79" s="26">
        <f t="shared" si="22"/>
        <v>0</v>
      </c>
      <c r="AB79" s="26">
        <f t="shared" si="23"/>
        <v>0</v>
      </c>
      <c r="AC79" s="26" t="e">
        <f t="shared" si="8"/>
        <v>#DIV/0!</v>
      </c>
      <c r="AD79" s="26" t="e">
        <f t="shared" si="9"/>
        <v>#DIV/0!</v>
      </c>
      <c r="AE79" s="26" t="e">
        <f t="shared" si="10"/>
        <v>#DIV/0!</v>
      </c>
      <c r="AF79" s="26" t="e">
        <f t="shared" si="11"/>
        <v>#DIV/0!</v>
      </c>
      <c r="AG79" s="26" t="e">
        <f t="shared" si="12"/>
        <v>#DIV/0!</v>
      </c>
      <c r="AH79" s="26" t="e">
        <f t="shared" si="13"/>
        <v>#DIV/0!</v>
      </c>
      <c r="AI79" s="26" t="e">
        <f t="shared" si="14"/>
        <v>#DIV/0!</v>
      </c>
    </row>
    <row r="80" spans="1:35" ht="20.100000000000001" customHeight="1">
      <c r="A80" s="24">
        <v>0</v>
      </c>
      <c r="B80" s="26">
        <f>'INTERNAL TEST-1  '!B80</f>
        <v>0</v>
      </c>
      <c r="C80" s="89">
        <f>'INTERNAL TEST-1  '!C80</f>
        <v>0</v>
      </c>
      <c r="D80" s="24"/>
      <c r="E80" s="24"/>
      <c r="F80" s="24"/>
      <c r="G80" s="24"/>
      <c r="H80" s="24"/>
      <c r="I80" s="24"/>
      <c r="J80" s="24"/>
      <c r="K80" s="24"/>
      <c r="L80" s="24"/>
      <c r="M80" s="24"/>
      <c r="N80" s="24"/>
      <c r="O80" s="82"/>
      <c r="P80" s="82"/>
      <c r="Q80" s="24"/>
      <c r="R80" s="24"/>
      <c r="S80" s="24"/>
      <c r="T80" s="24"/>
      <c r="U80" s="26">
        <f t="shared" si="16"/>
        <v>0</v>
      </c>
      <c r="V80" s="26">
        <f t="shared" si="17"/>
        <v>0</v>
      </c>
      <c r="W80" s="26">
        <f t="shared" si="18"/>
        <v>0</v>
      </c>
      <c r="X80" s="26">
        <f t="shared" si="19"/>
        <v>0</v>
      </c>
      <c r="Y80" s="26">
        <f t="shared" si="20"/>
        <v>0</v>
      </c>
      <c r="Z80" s="26">
        <f t="shared" si="21"/>
        <v>0</v>
      </c>
      <c r="AA80" s="26">
        <f t="shared" si="22"/>
        <v>0</v>
      </c>
      <c r="AB80" s="26">
        <f t="shared" si="23"/>
        <v>0</v>
      </c>
      <c r="AC80" s="26" t="e">
        <f t="shared" si="8"/>
        <v>#DIV/0!</v>
      </c>
      <c r="AD80" s="26" t="e">
        <f t="shared" si="9"/>
        <v>#DIV/0!</v>
      </c>
      <c r="AE80" s="26" t="e">
        <f t="shared" si="10"/>
        <v>#DIV/0!</v>
      </c>
      <c r="AF80" s="26" t="e">
        <f t="shared" si="11"/>
        <v>#DIV/0!</v>
      </c>
      <c r="AG80" s="26" t="e">
        <f t="shared" si="12"/>
        <v>#DIV/0!</v>
      </c>
      <c r="AH80" s="26" t="e">
        <f t="shared" si="13"/>
        <v>#DIV/0!</v>
      </c>
      <c r="AI80" s="26" t="e">
        <f t="shared" si="14"/>
        <v>#DIV/0!</v>
      </c>
    </row>
    <row r="81" spans="1:35" ht="20.100000000000001" customHeight="1">
      <c r="A81" s="24">
        <v>0</v>
      </c>
      <c r="B81" s="26">
        <f>'INTERNAL TEST-1  '!B81</f>
        <v>0</v>
      </c>
      <c r="C81" s="89">
        <f>'INTERNAL TEST-1  '!C81</f>
        <v>0</v>
      </c>
      <c r="D81" s="24"/>
      <c r="E81" s="24"/>
      <c r="F81" s="24"/>
      <c r="G81" s="24"/>
      <c r="H81" s="24"/>
      <c r="I81" s="24"/>
      <c r="J81" s="24"/>
      <c r="K81" s="24"/>
      <c r="L81" s="24"/>
      <c r="M81" s="24"/>
      <c r="N81" s="24"/>
      <c r="O81" s="82"/>
      <c r="P81" s="82"/>
      <c r="Q81" s="24"/>
      <c r="R81" s="24"/>
      <c r="S81" s="24"/>
      <c r="T81" s="24"/>
      <c r="U81" s="26">
        <f t="shared" si="16"/>
        <v>0</v>
      </c>
      <c r="V81" s="26">
        <f t="shared" si="17"/>
        <v>0</v>
      </c>
      <c r="W81" s="26">
        <f t="shared" si="18"/>
        <v>0</v>
      </c>
      <c r="X81" s="26">
        <f t="shared" si="19"/>
        <v>0</v>
      </c>
      <c r="Y81" s="26">
        <f t="shared" si="20"/>
        <v>0</v>
      </c>
      <c r="Z81" s="26">
        <f t="shared" si="21"/>
        <v>0</v>
      </c>
      <c r="AA81" s="26">
        <f t="shared" si="22"/>
        <v>0</v>
      </c>
      <c r="AB81" s="26">
        <f t="shared" si="23"/>
        <v>0</v>
      </c>
      <c r="AC81" s="26" t="e">
        <f t="shared" si="8"/>
        <v>#DIV/0!</v>
      </c>
      <c r="AD81" s="26" t="e">
        <f t="shared" si="9"/>
        <v>#DIV/0!</v>
      </c>
      <c r="AE81" s="26" t="e">
        <f t="shared" si="10"/>
        <v>#DIV/0!</v>
      </c>
      <c r="AF81" s="26" t="e">
        <f t="shared" si="11"/>
        <v>#DIV/0!</v>
      </c>
      <c r="AG81" s="26" t="e">
        <f t="shared" si="12"/>
        <v>#DIV/0!</v>
      </c>
      <c r="AH81" s="26" t="e">
        <f t="shared" si="13"/>
        <v>#DIV/0!</v>
      </c>
      <c r="AI81" s="26" t="e">
        <f t="shared" si="14"/>
        <v>#DIV/0!</v>
      </c>
    </row>
    <row r="82" spans="1:35" ht="20.100000000000001" customHeight="1">
      <c r="A82" s="24">
        <v>0</v>
      </c>
      <c r="B82" s="26">
        <f>'INTERNAL TEST-1  '!B82</f>
        <v>0</v>
      </c>
      <c r="C82" s="89">
        <f>'INTERNAL TEST-1  '!C82</f>
        <v>0</v>
      </c>
      <c r="D82" s="24"/>
      <c r="E82" s="24"/>
      <c r="F82" s="24"/>
      <c r="G82" s="24"/>
      <c r="H82" s="24"/>
      <c r="I82" s="24"/>
      <c r="J82" s="24"/>
      <c r="K82" s="24"/>
      <c r="L82" s="24"/>
      <c r="M82" s="24"/>
      <c r="N82" s="24"/>
      <c r="O82" s="82"/>
      <c r="P82" s="82"/>
      <c r="Q82" s="24"/>
      <c r="R82" s="24"/>
      <c r="S82" s="24"/>
      <c r="T82" s="24"/>
      <c r="U82" s="26">
        <f t="shared" si="16"/>
        <v>0</v>
      </c>
      <c r="V82" s="26">
        <f t="shared" si="17"/>
        <v>0</v>
      </c>
      <c r="W82" s="26">
        <f t="shared" si="18"/>
        <v>0</v>
      </c>
      <c r="X82" s="26">
        <f t="shared" si="19"/>
        <v>0</v>
      </c>
      <c r="Y82" s="26">
        <f t="shared" si="20"/>
        <v>0</v>
      </c>
      <c r="Z82" s="26">
        <f t="shared" si="21"/>
        <v>0</v>
      </c>
      <c r="AA82" s="26">
        <f t="shared" si="22"/>
        <v>0</v>
      </c>
      <c r="AB82" s="26">
        <f t="shared" si="23"/>
        <v>0</v>
      </c>
      <c r="AC82" s="26" t="e">
        <f t="shared" si="8"/>
        <v>#DIV/0!</v>
      </c>
      <c r="AD82" s="26" t="e">
        <f t="shared" si="9"/>
        <v>#DIV/0!</v>
      </c>
      <c r="AE82" s="26" t="e">
        <f t="shared" si="10"/>
        <v>#DIV/0!</v>
      </c>
      <c r="AF82" s="26" t="e">
        <f t="shared" si="11"/>
        <v>#DIV/0!</v>
      </c>
      <c r="AG82" s="26" t="e">
        <f t="shared" si="12"/>
        <v>#DIV/0!</v>
      </c>
      <c r="AH82" s="26" t="e">
        <f t="shared" si="13"/>
        <v>#DIV/0!</v>
      </c>
      <c r="AI82" s="26" t="e">
        <f t="shared" si="14"/>
        <v>#DIV/0!</v>
      </c>
    </row>
    <row r="83" spans="1:35" ht="20.100000000000001" customHeight="1">
      <c r="A83" s="24">
        <v>0</v>
      </c>
      <c r="B83" s="26">
        <f>'INTERNAL TEST-1  '!B83</f>
        <v>0</v>
      </c>
      <c r="C83" s="89">
        <f>'INTERNAL TEST-1  '!C83</f>
        <v>0</v>
      </c>
      <c r="D83" s="24"/>
      <c r="E83" s="24"/>
      <c r="F83" s="24"/>
      <c r="G83" s="24"/>
      <c r="H83" s="24"/>
      <c r="I83" s="24"/>
      <c r="J83" s="24"/>
      <c r="K83" s="24"/>
      <c r="L83" s="24"/>
      <c r="M83" s="24"/>
      <c r="N83" s="24"/>
      <c r="O83" s="82"/>
      <c r="P83" s="82"/>
      <c r="Q83" s="24"/>
      <c r="R83" s="24"/>
      <c r="S83" s="24"/>
      <c r="T83" s="24"/>
      <c r="U83" s="26">
        <f t="shared" si="16"/>
        <v>0</v>
      </c>
      <c r="V83" s="26">
        <f t="shared" si="17"/>
        <v>0</v>
      </c>
      <c r="W83" s="26">
        <f t="shared" si="18"/>
        <v>0</v>
      </c>
      <c r="X83" s="26">
        <f t="shared" si="19"/>
        <v>0</v>
      </c>
      <c r="Y83" s="26">
        <f t="shared" si="20"/>
        <v>0</v>
      </c>
      <c r="Z83" s="26">
        <f t="shared" si="21"/>
        <v>0</v>
      </c>
      <c r="AA83" s="26">
        <f t="shared" si="22"/>
        <v>0</v>
      </c>
      <c r="AB83" s="26">
        <f t="shared" si="23"/>
        <v>0</v>
      </c>
      <c r="AC83" s="26" t="e">
        <f t="shared" si="8"/>
        <v>#DIV/0!</v>
      </c>
      <c r="AD83" s="26" t="e">
        <f t="shared" si="9"/>
        <v>#DIV/0!</v>
      </c>
      <c r="AE83" s="26" t="e">
        <f t="shared" si="10"/>
        <v>#DIV/0!</v>
      </c>
      <c r="AF83" s="26" t="e">
        <f t="shared" si="11"/>
        <v>#DIV/0!</v>
      </c>
      <c r="AG83" s="26" t="e">
        <f t="shared" si="12"/>
        <v>#DIV/0!</v>
      </c>
      <c r="AH83" s="26" t="e">
        <f t="shared" si="13"/>
        <v>#DIV/0!</v>
      </c>
      <c r="AI83" s="26" t="e">
        <f t="shared" si="14"/>
        <v>#DIV/0!</v>
      </c>
    </row>
    <row r="84" spans="1:35" ht="20.100000000000001" customHeight="1">
      <c r="A84" s="24">
        <v>0</v>
      </c>
      <c r="B84" s="26">
        <f>'INTERNAL TEST-1  '!B84</f>
        <v>0</v>
      </c>
      <c r="C84" s="89">
        <f>'INTERNAL TEST-1  '!C84</f>
        <v>0</v>
      </c>
      <c r="D84" s="24"/>
      <c r="E84" s="24"/>
      <c r="F84" s="24"/>
      <c r="G84" s="24"/>
      <c r="H84" s="24"/>
      <c r="I84" s="24"/>
      <c r="J84" s="24"/>
      <c r="K84" s="24"/>
      <c r="L84" s="24"/>
      <c r="M84" s="24"/>
      <c r="N84" s="24"/>
      <c r="O84" s="82"/>
      <c r="P84" s="82"/>
      <c r="Q84" s="24"/>
      <c r="R84" s="24"/>
      <c r="S84" s="24"/>
      <c r="T84" s="24"/>
      <c r="U84" s="26">
        <f t="shared" si="16"/>
        <v>0</v>
      </c>
      <c r="V84" s="26">
        <f t="shared" si="17"/>
        <v>0</v>
      </c>
      <c r="W84" s="26">
        <f t="shared" si="18"/>
        <v>0</v>
      </c>
      <c r="X84" s="26">
        <f t="shared" si="19"/>
        <v>0</v>
      </c>
      <c r="Y84" s="26">
        <f t="shared" si="20"/>
        <v>0</v>
      </c>
      <c r="Z84" s="26">
        <f t="shared" si="21"/>
        <v>0</v>
      </c>
      <c r="AA84" s="26">
        <f t="shared" si="22"/>
        <v>0</v>
      </c>
      <c r="AB84" s="26">
        <f t="shared" si="23"/>
        <v>0</v>
      </c>
      <c r="AC84" s="26" t="e">
        <f t="shared" si="8"/>
        <v>#DIV/0!</v>
      </c>
      <c r="AD84" s="26" t="e">
        <f t="shared" si="9"/>
        <v>#DIV/0!</v>
      </c>
      <c r="AE84" s="26" t="e">
        <f t="shared" si="10"/>
        <v>#DIV/0!</v>
      </c>
      <c r="AF84" s="26" t="e">
        <f t="shared" si="11"/>
        <v>#DIV/0!</v>
      </c>
      <c r="AG84" s="26" t="e">
        <f t="shared" si="12"/>
        <v>#DIV/0!</v>
      </c>
      <c r="AH84" s="26" t="e">
        <f t="shared" si="13"/>
        <v>#DIV/0!</v>
      </c>
      <c r="AI84" s="26" t="e">
        <f t="shared" si="14"/>
        <v>#DIV/0!</v>
      </c>
    </row>
    <row r="85" spans="1:35" ht="20.100000000000001" customHeight="1">
      <c r="A85" s="24">
        <v>0</v>
      </c>
      <c r="B85" s="26">
        <f>'INTERNAL TEST-1  '!B85</f>
        <v>0</v>
      </c>
      <c r="C85" s="89">
        <f>'INTERNAL TEST-1  '!C85</f>
        <v>0</v>
      </c>
      <c r="D85" s="24"/>
      <c r="E85" s="24"/>
      <c r="F85" s="24"/>
      <c r="G85" s="24"/>
      <c r="H85" s="24"/>
      <c r="I85" s="24"/>
      <c r="J85" s="24"/>
      <c r="K85" s="24"/>
      <c r="L85" s="24"/>
      <c r="M85" s="24"/>
      <c r="N85" s="24"/>
      <c r="O85" s="82"/>
      <c r="P85" s="82"/>
      <c r="Q85" s="24"/>
      <c r="R85" s="24"/>
      <c r="S85" s="24"/>
      <c r="T85" s="24"/>
      <c r="U85" s="26">
        <f t="shared" si="16"/>
        <v>0</v>
      </c>
      <c r="V85" s="26">
        <f t="shared" si="17"/>
        <v>0</v>
      </c>
      <c r="W85" s="26">
        <f t="shared" si="18"/>
        <v>0</v>
      </c>
      <c r="X85" s="26">
        <f t="shared" si="19"/>
        <v>0</v>
      </c>
      <c r="Y85" s="26">
        <f t="shared" si="20"/>
        <v>0</v>
      </c>
      <c r="Z85" s="26">
        <f t="shared" si="21"/>
        <v>0</v>
      </c>
      <c r="AA85" s="26">
        <f t="shared" si="22"/>
        <v>0</v>
      </c>
      <c r="AB85" s="26">
        <f t="shared" si="23"/>
        <v>0</v>
      </c>
      <c r="AC85" s="26" t="e">
        <f t="shared" si="8"/>
        <v>#DIV/0!</v>
      </c>
      <c r="AD85" s="26" t="e">
        <f t="shared" si="9"/>
        <v>#DIV/0!</v>
      </c>
      <c r="AE85" s="26" t="e">
        <f t="shared" si="10"/>
        <v>#DIV/0!</v>
      </c>
      <c r="AF85" s="26" t="e">
        <f t="shared" si="11"/>
        <v>#DIV/0!</v>
      </c>
      <c r="AG85" s="26" t="e">
        <f t="shared" si="12"/>
        <v>#DIV/0!</v>
      </c>
      <c r="AH85" s="26" t="e">
        <f t="shared" si="13"/>
        <v>#DIV/0!</v>
      </c>
      <c r="AI85" s="26" t="e">
        <f t="shared" si="14"/>
        <v>#DIV/0!</v>
      </c>
    </row>
    <row r="86" spans="1:35" ht="20.100000000000001" customHeight="1">
      <c r="A86" s="24">
        <v>0</v>
      </c>
      <c r="B86" s="26">
        <f>'INTERNAL TEST-1  '!B86</f>
        <v>0</v>
      </c>
      <c r="C86" s="89">
        <f>'INTERNAL TEST-1  '!C86</f>
        <v>0</v>
      </c>
      <c r="D86" s="24"/>
      <c r="E86" s="24"/>
      <c r="F86" s="24"/>
      <c r="G86" s="24"/>
      <c r="H86" s="24"/>
      <c r="I86" s="24"/>
      <c r="J86" s="24"/>
      <c r="K86" s="24"/>
      <c r="L86" s="24"/>
      <c r="M86" s="24"/>
      <c r="N86" s="24"/>
      <c r="O86" s="82"/>
      <c r="P86" s="82"/>
      <c r="Q86" s="24"/>
      <c r="R86" s="24"/>
      <c r="S86" s="24"/>
      <c r="T86" s="24"/>
      <c r="U86" s="26">
        <f t="shared" si="16"/>
        <v>0</v>
      </c>
      <c r="V86" s="26">
        <f t="shared" si="17"/>
        <v>0</v>
      </c>
      <c r="W86" s="26">
        <f t="shared" si="18"/>
        <v>0</v>
      </c>
      <c r="X86" s="26">
        <f t="shared" si="19"/>
        <v>0</v>
      </c>
      <c r="Y86" s="26">
        <f t="shared" si="20"/>
        <v>0</v>
      </c>
      <c r="Z86" s="26">
        <f t="shared" si="21"/>
        <v>0</v>
      </c>
      <c r="AA86" s="26">
        <f t="shared" si="22"/>
        <v>0</v>
      </c>
      <c r="AB86" s="26">
        <f t="shared" si="23"/>
        <v>0</v>
      </c>
      <c r="AC86" s="26" t="e">
        <f t="shared" si="8"/>
        <v>#DIV/0!</v>
      </c>
      <c r="AD86" s="26" t="e">
        <f t="shared" si="9"/>
        <v>#DIV/0!</v>
      </c>
      <c r="AE86" s="26" t="e">
        <f t="shared" si="10"/>
        <v>#DIV/0!</v>
      </c>
      <c r="AF86" s="26" t="e">
        <f t="shared" si="11"/>
        <v>#DIV/0!</v>
      </c>
      <c r="AG86" s="26" t="e">
        <f t="shared" si="12"/>
        <v>#DIV/0!</v>
      </c>
      <c r="AH86" s="26" t="e">
        <f t="shared" si="13"/>
        <v>#DIV/0!</v>
      </c>
      <c r="AI86" s="26" t="e">
        <f t="shared" si="14"/>
        <v>#DIV/0!</v>
      </c>
    </row>
    <row r="87" spans="1:35" ht="20.100000000000001" customHeight="1">
      <c r="A87" s="24">
        <v>0</v>
      </c>
      <c r="B87" s="26">
        <f>'INTERNAL TEST-1  '!B87</f>
        <v>0</v>
      </c>
      <c r="C87" s="89">
        <f>'INTERNAL TEST-1  '!C87</f>
        <v>0</v>
      </c>
      <c r="D87" s="24"/>
      <c r="E87" s="24"/>
      <c r="F87" s="24"/>
      <c r="G87" s="24"/>
      <c r="H87" s="24"/>
      <c r="I87" s="24"/>
      <c r="J87" s="24"/>
      <c r="K87" s="24"/>
      <c r="L87" s="24"/>
      <c r="M87" s="24"/>
      <c r="N87" s="24"/>
      <c r="O87" s="82"/>
      <c r="P87" s="82"/>
      <c r="Q87" s="24"/>
      <c r="R87" s="24"/>
      <c r="S87" s="24"/>
      <c r="T87" s="24"/>
      <c r="U87" s="26">
        <f t="shared" si="16"/>
        <v>0</v>
      </c>
      <c r="V87" s="26">
        <f t="shared" si="17"/>
        <v>0</v>
      </c>
      <c r="W87" s="26">
        <f t="shared" si="18"/>
        <v>0</v>
      </c>
      <c r="X87" s="26">
        <f t="shared" si="19"/>
        <v>0</v>
      </c>
      <c r="Y87" s="26">
        <f t="shared" si="20"/>
        <v>0</v>
      </c>
      <c r="Z87" s="26">
        <f t="shared" si="21"/>
        <v>0</v>
      </c>
      <c r="AA87" s="26">
        <f t="shared" si="22"/>
        <v>0</v>
      </c>
      <c r="AB87" s="26">
        <f t="shared" si="23"/>
        <v>0</v>
      </c>
      <c r="AC87" s="26" t="e">
        <f t="shared" si="8"/>
        <v>#DIV/0!</v>
      </c>
      <c r="AD87" s="26" t="e">
        <f t="shared" si="9"/>
        <v>#DIV/0!</v>
      </c>
      <c r="AE87" s="26" t="e">
        <f t="shared" si="10"/>
        <v>#DIV/0!</v>
      </c>
      <c r="AF87" s="26" t="e">
        <f t="shared" si="11"/>
        <v>#DIV/0!</v>
      </c>
      <c r="AG87" s="26" t="e">
        <f t="shared" si="12"/>
        <v>#DIV/0!</v>
      </c>
      <c r="AH87" s="26" t="e">
        <f t="shared" si="13"/>
        <v>#DIV/0!</v>
      </c>
      <c r="AI87" s="26" t="e">
        <f t="shared" si="14"/>
        <v>#DIV/0!</v>
      </c>
    </row>
    <row r="88" spans="1:35" ht="20.100000000000001" customHeight="1">
      <c r="A88" s="24">
        <v>0</v>
      </c>
      <c r="B88" s="26">
        <f>'INTERNAL TEST-1  '!B88</f>
        <v>0</v>
      </c>
      <c r="C88" s="89">
        <f>'INTERNAL TEST-1  '!C88</f>
        <v>0</v>
      </c>
      <c r="D88" s="24"/>
      <c r="E88" s="24"/>
      <c r="F88" s="24"/>
      <c r="G88" s="24"/>
      <c r="H88" s="24"/>
      <c r="I88" s="24"/>
      <c r="J88" s="24"/>
      <c r="K88" s="24"/>
      <c r="L88" s="24"/>
      <c r="M88" s="24"/>
      <c r="N88" s="24"/>
      <c r="O88" s="82"/>
      <c r="P88" s="82"/>
      <c r="Q88" s="24"/>
      <c r="R88" s="24"/>
      <c r="S88" s="24"/>
      <c r="T88" s="24"/>
      <c r="U88" s="26">
        <f t="shared" si="16"/>
        <v>0</v>
      </c>
      <c r="V88" s="26">
        <f t="shared" si="17"/>
        <v>0</v>
      </c>
      <c r="W88" s="26">
        <f t="shared" si="18"/>
        <v>0</v>
      </c>
      <c r="X88" s="26">
        <f t="shared" si="19"/>
        <v>0</v>
      </c>
      <c r="Y88" s="26">
        <f t="shared" si="20"/>
        <v>0</v>
      </c>
      <c r="Z88" s="26">
        <f t="shared" si="21"/>
        <v>0</v>
      </c>
      <c r="AA88" s="26">
        <f t="shared" si="22"/>
        <v>0</v>
      </c>
      <c r="AB88" s="26">
        <f t="shared" si="23"/>
        <v>0</v>
      </c>
      <c r="AC88" s="26" t="e">
        <f t="shared" si="8"/>
        <v>#DIV/0!</v>
      </c>
      <c r="AD88" s="26" t="e">
        <f t="shared" si="9"/>
        <v>#DIV/0!</v>
      </c>
      <c r="AE88" s="26" t="e">
        <f t="shared" si="10"/>
        <v>#DIV/0!</v>
      </c>
      <c r="AF88" s="26" t="e">
        <f t="shared" si="11"/>
        <v>#DIV/0!</v>
      </c>
      <c r="AG88" s="26" t="e">
        <f t="shared" si="12"/>
        <v>#DIV/0!</v>
      </c>
      <c r="AH88" s="26" t="e">
        <f t="shared" si="13"/>
        <v>#DIV/0!</v>
      </c>
      <c r="AI88" s="26" t="e">
        <f t="shared" si="14"/>
        <v>#DIV/0!</v>
      </c>
    </row>
    <row r="89" spans="1:35" ht="20.100000000000001" customHeight="1">
      <c r="A89" s="24">
        <v>0</v>
      </c>
      <c r="B89" s="26">
        <f>'INTERNAL TEST-1  '!B89</f>
        <v>0</v>
      </c>
      <c r="C89" s="89">
        <f>'INTERNAL TEST-1  '!C89</f>
        <v>0</v>
      </c>
      <c r="D89" s="24"/>
      <c r="E89" s="24"/>
      <c r="F89" s="24"/>
      <c r="G89" s="24"/>
      <c r="H89" s="24"/>
      <c r="I89" s="24"/>
      <c r="J89" s="24"/>
      <c r="K89" s="24"/>
      <c r="L89" s="24"/>
      <c r="M89" s="24"/>
      <c r="N89" s="24"/>
      <c r="O89" s="82"/>
      <c r="P89" s="82"/>
      <c r="Q89" s="24"/>
      <c r="R89" s="24"/>
      <c r="S89" s="24"/>
      <c r="T89" s="24"/>
      <c r="U89" s="26">
        <f t="shared" si="16"/>
        <v>0</v>
      </c>
      <c r="V89" s="26">
        <f t="shared" si="17"/>
        <v>0</v>
      </c>
      <c r="W89" s="26">
        <f t="shared" si="18"/>
        <v>0</v>
      </c>
      <c r="X89" s="26">
        <f t="shared" si="19"/>
        <v>0</v>
      </c>
      <c r="Y89" s="26">
        <f t="shared" si="20"/>
        <v>0</v>
      </c>
      <c r="Z89" s="26">
        <f t="shared" si="21"/>
        <v>0</v>
      </c>
      <c r="AA89" s="26">
        <f t="shared" si="22"/>
        <v>0</v>
      </c>
      <c r="AB89" s="26">
        <f t="shared" si="23"/>
        <v>0</v>
      </c>
      <c r="AC89" s="26" t="e">
        <f t="shared" si="8"/>
        <v>#DIV/0!</v>
      </c>
      <c r="AD89" s="26" t="e">
        <f t="shared" si="9"/>
        <v>#DIV/0!</v>
      </c>
      <c r="AE89" s="26" t="e">
        <f t="shared" si="10"/>
        <v>#DIV/0!</v>
      </c>
      <c r="AF89" s="26" t="e">
        <f t="shared" si="11"/>
        <v>#DIV/0!</v>
      </c>
      <c r="AG89" s="26" t="e">
        <f t="shared" si="12"/>
        <v>#DIV/0!</v>
      </c>
      <c r="AH89" s="26" t="e">
        <f t="shared" si="13"/>
        <v>#DIV/0!</v>
      </c>
      <c r="AI89" s="26" t="e">
        <f t="shared" si="14"/>
        <v>#DIV/0!</v>
      </c>
    </row>
    <row r="90" spans="1:35" ht="20.100000000000001" customHeight="1">
      <c r="A90" s="24">
        <v>0</v>
      </c>
      <c r="B90" s="26">
        <f>'INTERNAL TEST-1  '!B90</f>
        <v>0</v>
      </c>
      <c r="C90" s="89">
        <f>'INTERNAL TEST-1  '!C90</f>
        <v>0</v>
      </c>
      <c r="D90" s="24"/>
      <c r="E90" s="24"/>
      <c r="F90" s="24"/>
      <c r="G90" s="24"/>
      <c r="H90" s="24"/>
      <c r="I90" s="24"/>
      <c r="J90" s="24"/>
      <c r="K90" s="24"/>
      <c r="L90" s="24"/>
      <c r="M90" s="24"/>
      <c r="N90" s="24"/>
      <c r="O90" s="82"/>
      <c r="P90" s="82"/>
      <c r="Q90" s="24"/>
      <c r="R90" s="24"/>
      <c r="S90" s="24"/>
      <c r="T90" s="24"/>
      <c r="U90" s="26">
        <f t="shared" si="16"/>
        <v>0</v>
      </c>
      <c r="V90" s="26">
        <f t="shared" si="17"/>
        <v>0</v>
      </c>
      <c r="W90" s="26">
        <f t="shared" si="18"/>
        <v>0</v>
      </c>
      <c r="X90" s="26">
        <f t="shared" si="19"/>
        <v>0</v>
      </c>
      <c r="Y90" s="26">
        <f t="shared" si="20"/>
        <v>0</v>
      </c>
      <c r="Z90" s="26">
        <f t="shared" si="21"/>
        <v>0</v>
      </c>
      <c r="AA90" s="26">
        <f t="shared" si="22"/>
        <v>0</v>
      </c>
      <c r="AB90" s="26">
        <f t="shared" si="23"/>
        <v>0</v>
      </c>
      <c r="AC90" s="26" t="e">
        <f t="shared" si="8"/>
        <v>#DIV/0!</v>
      </c>
      <c r="AD90" s="26" t="e">
        <f t="shared" si="9"/>
        <v>#DIV/0!</v>
      </c>
      <c r="AE90" s="26" t="e">
        <f t="shared" si="10"/>
        <v>#DIV/0!</v>
      </c>
      <c r="AF90" s="26" t="e">
        <f t="shared" si="11"/>
        <v>#DIV/0!</v>
      </c>
      <c r="AG90" s="26" t="e">
        <f t="shared" si="12"/>
        <v>#DIV/0!</v>
      </c>
      <c r="AH90" s="26" t="e">
        <f t="shared" si="13"/>
        <v>#DIV/0!</v>
      </c>
      <c r="AI90" s="26" t="e">
        <f t="shared" si="14"/>
        <v>#DIV/0!</v>
      </c>
    </row>
    <row r="91" spans="1:35" ht="20.100000000000001" customHeight="1">
      <c r="A91" s="24">
        <v>0</v>
      </c>
      <c r="B91" s="26">
        <f>'INTERNAL TEST-1  '!B91</f>
        <v>0</v>
      </c>
      <c r="C91" s="89">
        <f>'INTERNAL TEST-1  '!C91</f>
        <v>0</v>
      </c>
      <c r="D91" s="24"/>
      <c r="E91" s="24"/>
      <c r="F91" s="24"/>
      <c r="G91" s="24"/>
      <c r="H91" s="24"/>
      <c r="I91" s="24"/>
      <c r="J91" s="24"/>
      <c r="K91" s="24"/>
      <c r="L91" s="24"/>
      <c r="M91" s="24"/>
      <c r="N91" s="24"/>
      <c r="O91" s="82"/>
      <c r="P91" s="82"/>
      <c r="Q91" s="24"/>
      <c r="R91" s="24"/>
      <c r="S91" s="24"/>
      <c r="T91" s="24"/>
      <c r="U91" s="26">
        <f t="shared" si="16"/>
        <v>0</v>
      </c>
      <c r="V91" s="26">
        <f t="shared" si="17"/>
        <v>0</v>
      </c>
      <c r="W91" s="26">
        <f t="shared" si="18"/>
        <v>0</v>
      </c>
      <c r="X91" s="26">
        <f t="shared" si="19"/>
        <v>0</v>
      </c>
      <c r="Y91" s="26">
        <f t="shared" si="20"/>
        <v>0</v>
      </c>
      <c r="Z91" s="26">
        <f t="shared" si="21"/>
        <v>0</v>
      </c>
      <c r="AA91" s="26">
        <f t="shared" si="22"/>
        <v>0</v>
      </c>
      <c r="AB91" s="26">
        <f t="shared" si="23"/>
        <v>0</v>
      </c>
      <c r="AC91" s="26" t="e">
        <f t="shared" si="8"/>
        <v>#DIV/0!</v>
      </c>
      <c r="AD91" s="26" t="e">
        <f t="shared" si="9"/>
        <v>#DIV/0!</v>
      </c>
      <c r="AE91" s="26" t="e">
        <f t="shared" si="10"/>
        <v>#DIV/0!</v>
      </c>
      <c r="AF91" s="26" t="e">
        <f t="shared" si="11"/>
        <v>#DIV/0!</v>
      </c>
      <c r="AG91" s="26" t="e">
        <f t="shared" si="12"/>
        <v>#DIV/0!</v>
      </c>
      <c r="AH91" s="26" t="e">
        <f t="shared" si="13"/>
        <v>#DIV/0!</v>
      </c>
      <c r="AI91" s="26" t="e">
        <f t="shared" si="14"/>
        <v>#DIV/0!</v>
      </c>
    </row>
    <row r="92" spans="1:35" ht="20.100000000000001" customHeight="1">
      <c r="A92" s="24">
        <v>0</v>
      </c>
      <c r="B92" s="26">
        <f>'INTERNAL TEST-1  '!B92</f>
        <v>0</v>
      </c>
      <c r="C92" s="89">
        <f>'INTERNAL TEST-1  '!C92</f>
        <v>0</v>
      </c>
      <c r="D92" s="24"/>
      <c r="E92" s="24"/>
      <c r="F92" s="24"/>
      <c r="G92" s="24"/>
      <c r="H92" s="24"/>
      <c r="I92" s="24"/>
      <c r="J92" s="24"/>
      <c r="K92" s="24"/>
      <c r="L92" s="24"/>
      <c r="M92" s="24"/>
      <c r="N92" s="24"/>
      <c r="O92" s="82"/>
      <c r="P92" s="82"/>
      <c r="Q92" s="24"/>
      <c r="R92" s="24"/>
      <c r="S92" s="24"/>
      <c r="T92" s="24"/>
      <c r="U92" s="26">
        <f t="shared" si="16"/>
        <v>0</v>
      </c>
      <c r="V92" s="26">
        <f t="shared" si="17"/>
        <v>0</v>
      </c>
      <c r="W92" s="26">
        <f t="shared" si="18"/>
        <v>0</v>
      </c>
      <c r="X92" s="26">
        <f t="shared" si="19"/>
        <v>0</v>
      </c>
      <c r="Y92" s="26">
        <f t="shared" si="20"/>
        <v>0</v>
      </c>
      <c r="Z92" s="26">
        <f t="shared" si="21"/>
        <v>0</v>
      </c>
      <c r="AA92" s="26">
        <f t="shared" si="22"/>
        <v>0</v>
      </c>
      <c r="AB92" s="26">
        <f t="shared" si="23"/>
        <v>0</v>
      </c>
      <c r="AC92" s="26" t="e">
        <f t="shared" si="8"/>
        <v>#DIV/0!</v>
      </c>
      <c r="AD92" s="26" t="e">
        <f t="shared" si="9"/>
        <v>#DIV/0!</v>
      </c>
      <c r="AE92" s="26" t="e">
        <f t="shared" si="10"/>
        <v>#DIV/0!</v>
      </c>
      <c r="AF92" s="26" t="e">
        <f t="shared" si="11"/>
        <v>#DIV/0!</v>
      </c>
      <c r="AG92" s="26" t="e">
        <f t="shared" si="12"/>
        <v>#DIV/0!</v>
      </c>
      <c r="AH92" s="26" t="e">
        <f t="shared" si="13"/>
        <v>#DIV/0!</v>
      </c>
      <c r="AI92" s="26" t="e">
        <f t="shared" si="14"/>
        <v>#DIV/0!</v>
      </c>
    </row>
    <row r="93" spans="1:35" ht="20.100000000000001" customHeight="1">
      <c r="A93" s="24">
        <v>0</v>
      </c>
      <c r="B93" s="26">
        <f>'INTERNAL TEST-1  '!B93</f>
        <v>0</v>
      </c>
      <c r="C93" s="89">
        <f>'INTERNAL TEST-1  '!C93</f>
        <v>0</v>
      </c>
      <c r="D93" s="24"/>
      <c r="E93" s="24"/>
      <c r="F93" s="24"/>
      <c r="G93" s="24"/>
      <c r="H93" s="24"/>
      <c r="I93" s="24"/>
      <c r="J93" s="24"/>
      <c r="K93" s="24"/>
      <c r="L93" s="24"/>
      <c r="M93" s="24"/>
      <c r="N93" s="24"/>
      <c r="O93" s="82"/>
      <c r="P93" s="82"/>
      <c r="Q93" s="24"/>
      <c r="R93" s="24"/>
      <c r="S93" s="24"/>
      <c r="T93" s="24"/>
      <c r="U93" s="26">
        <f t="shared" si="16"/>
        <v>0</v>
      </c>
      <c r="V93" s="26">
        <f t="shared" si="17"/>
        <v>0</v>
      </c>
      <c r="W93" s="26">
        <f t="shared" si="18"/>
        <v>0</v>
      </c>
      <c r="X93" s="26">
        <f t="shared" si="19"/>
        <v>0</v>
      </c>
      <c r="Y93" s="26">
        <f t="shared" si="20"/>
        <v>0</v>
      </c>
      <c r="Z93" s="26">
        <f t="shared" si="21"/>
        <v>0</v>
      </c>
      <c r="AA93" s="26">
        <f t="shared" si="22"/>
        <v>0</v>
      </c>
      <c r="AB93" s="26">
        <f t="shared" si="23"/>
        <v>0</v>
      </c>
      <c r="AC93" s="26" t="e">
        <f t="shared" si="8"/>
        <v>#DIV/0!</v>
      </c>
      <c r="AD93" s="26" t="e">
        <f t="shared" si="9"/>
        <v>#DIV/0!</v>
      </c>
      <c r="AE93" s="26" t="e">
        <f t="shared" si="10"/>
        <v>#DIV/0!</v>
      </c>
      <c r="AF93" s="26" t="e">
        <f t="shared" si="11"/>
        <v>#DIV/0!</v>
      </c>
      <c r="AG93" s="26" t="e">
        <f t="shared" si="12"/>
        <v>#DIV/0!</v>
      </c>
      <c r="AH93" s="26" t="e">
        <f t="shared" si="13"/>
        <v>#DIV/0!</v>
      </c>
      <c r="AI93" s="26" t="e">
        <f t="shared" si="14"/>
        <v>#DIV/0!</v>
      </c>
    </row>
    <row r="94" spans="1:35" ht="20.100000000000001" customHeight="1">
      <c r="A94" s="24">
        <v>0</v>
      </c>
      <c r="B94" s="26">
        <f>'INTERNAL TEST-1  '!B94</f>
        <v>0</v>
      </c>
      <c r="C94" s="89">
        <f>'INTERNAL TEST-1  '!C94</f>
        <v>0</v>
      </c>
      <c r="D94" s="24"/>
      <c r="E94" s="24"/>
      <c r="F94" s="24"/>
      <c r="G94" s="24"/>
      <c r="H94" s="24"/>
      <c r="I94" s="24"/>
      <c r="J94" s="24"/>
      <c r="K94" s="24"/>
      <c r="L94" s="24"/>
      <c r="M94" s="24"/>
      <c r="N94" s="24"/>
      <c r="O94" s="82"/>
      <c r="P94" s="82"/>
      <c r="Q94" s="24"/>
      <c r="R94" s="24"/>
      <c r="S94" s="24"/>
      <c r="T94" s="24"/>
      <c r="U94" s="26">
        <f t="shared" si="16"/>
        <v>0</v>
      </c>
      <c r="V94" s="26">
        <f t="shared" si="17"/>
        <v>0</v>
      </c>
      <c r="W94" s="26">
        <f t="shared" si="18"/>
        <v>0</v>
      </c>
      <c r="X94" s="26">
        <f t="shared" si="19"/>
        <v>0</v>
      </c>
      <c r="Y94" s="26">
        <f t="shared" si="20"/>
        <v>0</v>
      </c>
      <c r="Z94" s="26">
        <f t="shared" si="21"/>
        <v>0</v>
      </c>
      <c r="AA94" s="26">
        <f t="shared" si="22"/>
        <v>0</v>
      </c>
      <c r="AB94" s="26">
        <f t="shared" si="23"/>
        <v>0</v>
      </c>
      <c r="AC94" s="26" t="e">
        <f t="shared" si="8"/>
        <v>#DIV/0!</v>
      </c>
      <c r="AD94" s="26" t="e">
        <f t="shared" si="9"/>
        <v>#DIV/0!</v>
      </c>
      <c r="AE94" s="26" t="e">
        <f t="shared" si="10"/>
        <v>#DIV/0!</v>
      </c>
      <c r="AF94" s="26" t="e">
        <f t="shared" si="11"/>
        <v>#DIV/0!</v>
      </c>
      <c r="AG94" s="26" t="e">
        <f t="shared" si="12"/>
        <v>#DIV/0!</v>
      </c>
      <c r="AH94" s="26" t="e">
        <f t="shared" si="13"/>
        <v>#DIV/0!</v>
      </c>
      <c r="AI94" s="26" t="e">
        <f t="shared" si="14"/>
        <v>#DIV/0!</v>
      </c>
    </row>
    <row r="95" spans="1:35" ht="20.100000000000001" customHeight="1">
      <c r="A95" s="24">
        <v>0</v>
      </c>
      <c r="B95" s="26">
        <f>'INTERNAL TEST-1  '!B95</f>
        <v>0</v>
      </c>
      <c r="C95" s="89">
        <f>'INTERNAL TEST-1  '!C95</f>
        <v>0</v>
      </c>
      <c r="D95" s="24"/>
      <c r="E95" s="24"/>
      <c r="F95" s="24"/>
      <c r="G95" s="24"/>
      <c r="H95" s="24"/>
      <c r="I95" s="24"/>
      <c r="J95" s="24"/>
      <c r="K95" s="24"/>
      <c r="L95" s="24"/>
      <c r="M95" s="24"/>
      <c r="N95" s="24"/>
      <c r="O95" s="82"/>
      <c r="P95" s="82"/>
      <c r="Q95" s="24"/>
      <c r="R95" s="24"/>
      <c r="S95" s="24"/>
      <c r="T95" s="24"/>
      <c r="U95" s="26">
        <f t="shared" si="16"/>
        <v>0</v>
      </c>
      <c r="V95" s="26">
        <f t="shared" si="17"/>
        <v>0</v>
      </c>
      <c r="W95" s="26">
        <f t="shared" si="18"/>
        <v>0</v>
      </c>
      <c r="X95" s="26">
        <f t="shared" si="19"/>
        <v>0</v>
      </c>
      <c r="Y95" s="26">
        <f t="shared" si="20"/>
        <v>0</v>
      </c>
      <c r="Z95" s="26">
        <f t="shared" si="21"/>
        <v>0</v>
      </c>
      <c r="AA95" s="26">
        <f t="shared" si="22"/>
        <v>0</v>
      </c>
      <c r="AB95" s="26">
        <f t="shared" si="23"/>
        <v>0</v>
      </c>
      <c r="AC95" s="26" t="e">
        <f t="shared" si="8"/>
        <v>#DIV/0!</v>
      </c>
      <c r="AD95" s="26" t="e">
        <f t="shared" si="9"/>
        <v>#DIV/0!</v>
      </c>
      <c r="AE95" s="26" t="e">
        <f t="shared" si="10"/>
        <v>#DIV/0!</v>
      </c>
      <c r="AF95" s="26" t="e">
        <f t="shared" si="11"/>
        <v>#DIV/0!</v>
      </c>
      <c r="AG95" s="26" t="e">
        <f t="shared" si="12"/>
        <v>#DIV/0!</v>
      </c>
      <c r="AH95" s="26" t="e">
        <f t="shared" si="13"/>
        <v>#DIV/0!</v>
      </c>
      <c r="AI95" s="26" t="e">
        <f t="shared" si="14"/>
        <v>#DIV/0!</v>
      </c>
    </row>
    <row r="96" spans="1:35" ht="20.100000000000001" customHeight="1">
      <c r="A96" s="24">
        <v>0</v>
      </c>
      <c r="B96" s="26">
        <f>'INTERNAL TEST-1  '!B96</f>
        <v>0</v>
      </c>
      <c r="C96" s="89">
        <f>'INTERNAL TEST-1  '!C96</f>
        <v>0</v>
      </c>
      <c r="D96" s="24"/>
      <c r="E96" s="24"/>
      <c r="F96" s="24"/>
      <c r="G96" s="24"/>
      <c r="H96" s="24"/>
      <c r="I96" s="24"/>
      <c r="J96" s="24"/>
      <c r="K96" s="24"/>
      <c r="L96" s="24"/>
      <c r="M96" s="24"/>
      <c r="N96" s="24"/>
      <c r="O96" s="82"/>
      <c r="P96" s="82"/>
      <c r="Q96" s="24"/>
      <c r="R96" s="24"/>
      <c r="S96" s="24"/>
      <c r="T96" s="24"/>
      <c r="U96" s="26">
        <f t="shared" si="16"/>
        <v>0</v>
      </c>
      <c r="V96" s="26">
        <f t="shared" si="17"/>
        <v>0</v>
      </c>
      <c r="W96" s="26">
        <f t="shared" si="18"/>
        <v>0</v>
      </c>
      <c r="X96" s="26">
        <f t="shared" si="19"/>
        <v>0</v>
      </c>
      <c r="Y96" s="26">
        <f t="shared" si="20"/>
        <v>0</v>
      </c>
      <c r="Z96" s="26">
        <f t="shared" si="21"/>
        <v>0</v>
      </c>
      <c r="AA96" s="26">
        <f t="shared" si="22"/>
        <v>0</v>
      </c>
      <c r="AB96" s="26">
        <f t="shared" si="23"/>
        <v>0</v>
      </c>
      <c r="AC96" s="26" t="e">
        <f t="shared" si="8"/>
        <v>#DIV/0!</v>
      </c>
      <c r="AD96" s="26" t="e">
        <f t="shared" si="9"/>
        <v>#DIV/0!</v>
      </c>
      <c r="AE96" s="26" t="e">
        <f t="shared" si="10"/>
        <v>#DIV/0!</v>
      </c>
      <c r="AF96" s="26" t="e">
        <f t="shared" si="11"/>
        <v>#DIV/0!</v>
      </c>
      <c r="AG96" s="26" t="e">
        <f t="shared" si="12"/>
        <v>#DIV/0!</v>
      </c>
      <c r="AH96" s="26" t="e">
        <f t="shared" si="13"/>
        <v>#DIV/0!</v>
      </c>
      <c r="AI96" s="26" t="e">
        <f t="shared" si="14"/>
        <v>#DIV/0!</v>
      </c>
    </row>
    <row r="97" spans="1:35" ht="20.100000000000001" customHeight="1">
      <c r="A97" s="24">
        <v>0</v>
      </c>
      <c r="B97" s="26">
        <f>'INTERNAL TEST-1  '!B97</f>
        <v>0</v>
      </c>
      <c r="C97" s="89">
        <f>'INTERNAL TEST-1  '!C97</f>
        <v>0</v>
      </c>
      <c r="D97" s="24"/>
      <c r="E97" s="24"/>
      <c r="F97" s="24"/>
      <c r="G97" s="24"/>
      <c r="H97" s="24"/>
      <c r="I97" s="24"/>
      <c r="J97" s="24"/>
      <c r="K97" s="24"/>
      <c r="L97" s="24"/>
      <c r="M97" s="24"/>
      <c r="N97" s="24"/>
      <c r="O97" s="82"/>
      <c r="P97" s="82"/>
      <c r="Q97" s="24"/>
      <c r="R97" s="24"/>
      <c r="S97" s="24"/>
      <c r="T97" s="24"/>
      <c r="U97" s="26">
        <f t="shared" si="16"/>
        <v>0</v>
      </c>
      <c r="V97" s="26">
        <f t="shared" si="17"/>
        <v>0</v>
      </c>
      <c r="W97" s="26">
        <f t="shared" si="18"/>
        <v>0</v>
      </c>
      <c r="X97" s="26">
        <f t="shared" si="19"/>
        <v>0</v>
      </c>
      <c r="Y97" s="26">
        <f t="shared" si="20"/>
        <v>0</v>
      </c>
      <c r="Z97" s="26">
        <f t="shared" si="21"/>
        <v>0</v>
      </c>
      <c r="AA97" s="26">
        <f t="shared" si="22"/>
        <v>0</v>
      </c>
      <c r="AB97" s="26">
        <f t="shared" si="23"/>
        <v>0</v>
      </c>
      <c r="AC97" s="26" t="e">
        <f t="shared" si="8"/>
        <v>#DIV/0!</v>
      </c>
      <c r="AD97" s="26" t="e">
        <f t="shared" si="9"/>
        <v>#DIV/0!</v>
      </c>
      <c r="AE97" s="26" t="e">
        <f t="shared" si="10"/>
        <v>#DIV/0!</v>
      </c>
      <c r="AF97" s="26" t="e">
        <f t="shared" si="11"/>
        <v>#DIV/0!</v>
      </c>
      <c r="AG97" s="26" t="e">
        <f t="shared" si="12"/>
        <v>#DIV/0!</v>
      </c>
      <c r="AH97" s="26" t="e">
        <f t="shared" si="13"/>
        <v>#DIV/0!</v>
      </c>
      <c r="AI97" s="26" t="e">
        <f t="shared" si="14"/>
        <v>#DIV/0!</v>
      </c>
    </row>
    <row r="98" spans="1:35" ht="20.100000000000001" customHeight="1">
      <c r="A98" s="24">
        <v>0</v>
      </c>
      <c r="B98" s="26">
        <f>'INTERNAL TEST-1  '!B98</f>
        <v>0</v>
      </c>
      <c r="C98" s="89">
        <f>'INTERNAL TEST-1  '!C98</f>
        <v>0</v>
      </c>
      <c r="D98" s="24"/>
      <c r="E98" s="24"/>
      <c r="F98" s="24"/>
      <c r="G98" s="24"/>
      <c r="H98" s="24"/>
      <c r="I98" s="24"/>
      <c r="J98" s="24"/>
      <c r="K98" s="24"/>
      <c r="L98" s="24"/>
      <c r="M98" s="24"/>
      <c r="N98" s="24"/>
      <c r="O98" s="82"/>
      <c r="P98" s="82"/>
      <c r="Q98" s="24"/>
      <c r="R98" s="24"/>
      <c r="S98" s="24"/>
      <c r="T98" s="24"/>
      <c r="U98" s="26">
        <f t="shared" si="16"/>
        <v>0</v>
      </c>
      <c r="V98" s="26">
        <f t="shared" si="17"/>
        <v>0</v>
      </c>
      <c r="W98" s="26">
        <f t="shared" si="18"/>
        <v>0</v>
      </c>
      <c r="X98" s="26">
        <f t="shared" si="19"/>
        <v>0</v>
      </c>
      <c r="Y98" s="26">
        <f t="shared" si="20"/>
        <v>0</v>
      </c>
      <c r="Z98" s="26">
        <f t="shared" si="21"/>
        <v>0</v>
      </c>
      <c r="AA98" s="26">
        <f t="shared" si="22"/>
        <v>0</v>
      </c>
      <c r="AB98" s="26">
        <f t="shared" si="23"/>
        <v>0</v>
      </c>
      <c r="AC98" s="26" t="e">
        <f t="shared" si="8"/>
        <v>#DIV/0!</v>
      </c>
      <c r="AD98" s="26" t="e">
        <f t="shared" si="9"/>
        <v>#DIV/0!</v>
      </c>
      <c r="AE98" s="26" t="e">
        <f t="shared" si="10"/>
        <v>#DIV/0!</v>
      </c>
      <c r="AF98" s="26" t="e">
        <f t="shared" si="11"/>
        <v>#DIV/0!</v>
      </c>
      <c r="AG98" s="26" t="e">
        <f t="shared" si="12"/>
        <v>#DIV/0!</v>
      </c>
      <c r="AH98" s="26" t="e">
        <f t="shared" si="13"/>
        <v>#DIV/0!</v>
      </c>
      <c r="AI98" s="26" t="e">
        <f t="shared" si="14"/>
        <v>#DIV/0!</v>
      </c>
    </row>
    <row r="99" spans="1:35" ht="20.100000000000001" customHeight="1">
      <c r="A99" s="24">
        <v>0</v>
      </c>
      <c r="B99" s="26">
        <f>'INTERNAL TEST-1  '!B99</f>
        <v>0</v>
      </c>
      <c r="C99" s="89">
        <f>'INTERNAL TEST-1  '!C99</f>
        <v>0</v>
      </c>
      <c r="D99" s="24"/>
      <c r="E99" s="24"/>
      <c r="F99" s="24"/>
      <c r="G99" s="24"/>
      <c r="H99" s="24"/>
      <c r="I99" s="24"/>
      <c r="J99" s="24"/>
      <c r="K99" s="24"/>
      <c r="L99" s="24"/>
      <c r="M99" s="24"/>
      <c r="N99" s="24"/>
      <c r="O99" s="82"/>
      <c r="P99" s="82"/>
      <c r="Q99" s="24"/>
      <c r="R99" s="24"/>
      <c r="S99" s="24"/>
      <c r="T99" s="24"/>
      <c r="U99" s="26">
        <f t="shared" si="16"/>
        <v>0</v>
      </c>
      <c r="V99" s="26">
        <f t="shared" si="17"/>
        <v>0</v>
      </c>
      <c r="W99" s="26">
        <f t="shared" si="18"/>
        <v>0</v>
      </c>
      <c r="X99" s="26">
        <f t="shared" si="19"/>
        <v>0</v>
      </c>
      <c r="Y99" s="26">
        <f t="shared" si="20"/>
        <v>0</v>
      </c>
      <c r="Z99" s="26">
        <f t="shared" si="21"/>
        <v>0</v>
      </c>
      <c r="AA99" s="26">
        <f t="shared" si="22"/>
        <v>0</v>
      </c>
      <c r="AB99" s="26">
        <f t="shared" si="23"/>
        <v>0</v>
      </c>
      <c r="AC99" s="26" t="e">
        <f t="shared" si="8"/>
        <v>#DIV/0!</v>
      </c>
      <c r="AD99" s="26" t="e">
        <f t="shared" si="9"/>
        <v>#DIV/0!</v>
      </c>
      <c r="AE99" s="26" t="e">
        <f t="shared" si="10"/>
        <v>#DIV/0!</v>
      </c>
      <c r="AF99" s="26" t="e">
        <f t="shared" si="11"/>
        <v>#DIV/0!</v>
      </c>
      <c r="AG99" s="26" t="e">
        <f t="shared" si="12"/>
        <v>#DIV/0!</v>
      </c>
      <c r="AH99" s="26" t="e">
        <f t="shared" si="13"/>
        <v>#DIV/0!</v>
      </c>
      <c r="AI99" s="26" t="e">
        <f t="shared" si="14"/>
        <v>#DIV/0!</v>
      </c>
    </row>
    <row r="100" spans="1:35" ht="20.100000000000001" customHeight="1">
      <c r="A100" s="24">
        <v>0</v>
      </c>
      <c r="B100" s="26">
        <f>'INTERNAL TEST-1  '!B100</f>
        <v>0</v>
      </c>
      <c r="C100" s="89">
        <f>'INTERNAL TEST-1  '!C100</f>
        <v>0</v>
      </c>
      <c r="D100" s="24"/>
      <c r="E100" s="24"/>
      <c r="F100" s="24"/>
      <c r="G100" s="24"/>
      <c r="H100" s="24"/>
      <c r="I100" s="24"/>
      <c r="J100" s="24"/>
      <c r="K100" s="24"/>
      <c r="L100" s="24"/>
      <c r="M100" s="24"/>
      <c r="N100" s="24"/>
      <c r="O100" s="82"/>
      <c r="P100" s="82"/>
      <c r="Q100" s="24"/>
      <c r="R100" s="24"/>
      <c r="S100" s="24"/>
      <c r="T100" s="24"/>
      <c r="U100" s="26">
        <f t="shared" si="16"/>
        <v>0</v>
      </c>
      <c r="V100" s="26">
        <f t="shared" si="17"/>
        <v>0</v>
      </c>
      <c r="W100" s="26">
        <f t="shared" si="18"/>
        <v>0</v>
      </c>
      <c r="X100" s="26">
        <f t="shared" si="19"/>
        <v>0</v>
      </c>
      <c r="Y100" s="26">
        <f t="shared" si="20"/>
        <v>0</v>
      </c>
      <c r="Z100" s="26">
        <f t="shared" si="21"/>
        <v>0</v>
      </c>
      <c r="AA100" s="26">
        <f t="shared" si="22"/>
        <v>0</v>
      </c>
      <c r="AB100" s="26">
        <f t="shared" si="23"/>
        <v>0</v>
      </c>
      <c r="AC100" s="26" t="e">
        <f t="shared" si="8"/>
        <v>#DIV/0!</v>
      </c>
      <c r="AD100" s="26" t="e">
        <f t="shared" si="9"/>
        <v>#DIV/0!</v>
      </c>
      <c r="AE100" s="26" t="e">
        <f t="shared" si="10"/>
        <v>#DIV/0!</v>
      </c>
      <c r="AF100" s="26" t="e">
        <f t="shared" si="11"/>
        <v>#DIV/0!</v>
      </c>
      <c r="AG100" s="26" t="e">
        <f t="shared" si="12"/>
        <v>#DIV/0!</v>
      </c>
      <c r="AH100" s="26" t="e">
        <f t="shared" si="13"/>
        <v>#DIV/0!</v>
      </c>
      <c r="AI100" s="26" t="e">
        <f t="shared" si="14"/>
        <v>#DIV/0!</v>
      </c>
    </row>
    <row r="101" spans="1:35" ht="20.100000000000001" customHeight="1">
      <c r="A101" s="24">
        <v>0</v>
      </c>
      <c r="B101" s="26">
        <f>'INTERNAL TEST-1  '!B101</f>
        <v>0</v>
      </c>
      <c r="C101" s="89">
        <f>'INTERNAL TEST-1  '!C101</f>
        <v>0</v>
      </c>
      <c r="D101" s="24"/>
      <c r="E101" s="24"/>
      <c r="F101" s="24"/>
      <c r="G101" s="24"/>
      <c r="H101" s="24"/>
      <c r="I101" s="24"/>
      <c r="J101" s="24"/>
      <c r="K101" s="24"/>
      <c r="L101" s="24"/>
      <c r="M101" s="24"/>
      <c r="N101" s="24"/>
      <c r="O101" s="82"/>
      <c r="P101" s="82"/>
      <c r="Q101" s="24"/>
      <c r="R101" s="24"/>
      <c r="S101" s="24"/>
      <c r="T101" s="24"/>
      <c r="U101" s="26">
        <f t="shared" si="16"/>
        <v>0</v>
      </c>
      <c r="V101" s="26">
        <f t="shared" si="17"/>
        <v>0</v>
      </c>
      <c r="W101" s="26">
        <f t="shared" si="18"/>
        <v>0</v>
      </c>
      <c r="X101" s="26">
        <f t="shared" si="19"/>
        <v>0</v>
      </c>
      <c r="Y101" s="26">
        <f t="shared" si="20"/>
        <v>0</v>
      </c>
      <c r="Z101" s="26">
        <f t="shared" si="21"/>
        <v>0</v>
      </c>
      <c r="AA101" s="26">
        <f t="shared" si="22"/>
        <v>0</v>
      </c>
      <c r="AB101" s="26">
        <f t="shared" si="23"/>
        <v>0</v>
      </c>
      <c r="AC101" s="26" t="e">
        <f t="shared" si="8"/>
        <v>#DIV/0!</v>
      </c>
      <c r="AD101" s="26" t="e">
        <f t="shared" si="9"/>
        <v>#DIV/0!</v>
      </c>
      <c r="AE101" s="26" t="e">
        <f t="shared" si="10"/>
        <v>#DIV/0!</v>
      </c>
      <c r="AF101" s="26" t="e">
        <f t="shared" si="11"/>
        <v>#DIV/0!</v>
      </c>
      <c r="AG101" s="26" t="e">
        <f t="shared" si="12"/>
        <v>#DIV/0!</v>
      </c>
      <c r="AH101" s="26" t="e">
        <f t="shared" si="13"/>
        <v>#DIV/0!</v>
      </c>
      <c r="AI101" s="26" t="e">
        <f t="shared" si="14"/>
        <v>#DIV/0!</v>
      </c>
    </row>
    <row r="102" spans="1:35" ht="20.100000000000001" customHeight="1">
      <c r="A102" s="24">
        <v>0</v>
      </c>
      <c r="B102" s="26">
        <f>'INTERNAL TEST-1  '!B102</f>
        <v>0</v>
      </c>
      <c r="C102" s="89">
        <f>'INTERNAL TEST-1  '!C102</f>
        <v>0</v>
      </c>
      <c r="D102" s="24"/>
      <c r="E102" s="24"/>
      <c r="F102" s="24"/>
      <c r="G102" s="24"/>
      <c r="H102" s="24"/>
      <c r="I102" s="24"/>
      <c r="J102" s="24"/>
      <c r="K102" s="24"/>
      <c r="L102" s="24"/>
      <c r="M102" s="24"/>
      <c r="N102" s="24"/>
      <c r="O102" s="82"/>
      <c r="P102" s="82"/>
      <c r="Q102" s="24"/>
      <c r="R102" s="24"/>
      <c r="S102" s="24"/>
      <c r="T102" s="24"/>
      <c r="U102" s="26">
        <f t="shared" si="16"/>
        <v>0</v>
      </c>
      <c r="V102" s="26">
        <f t="shared" si="17"/>
        <v>0</v>
      </c>
      <c r="W102" s="26">
        <f t="shared" si="18"/>
        <v>0</v>
      </c>
      <c r="X102" s="26">
        <f t="shared" si="19"/>
        <v>0</v>
      </c>
      <c r="Y102" s="26">
        <f t="shared" si="20"/>
        <v>0</v>
      </c>
      <c r="Z102" s="26">
        <f t="shared" si="21"/>
        <v>0</v>
      </c>
      <c r="AA102" s="26">
        <f t="shared" si="22"/>
        <v>0</v>
      </c>
      <c r="AB102" s="26">
        <f t="shared" si="23"/>
        <v>0</v>
      </c>
      <c r="AC102" s="26" t="e">
        <f t="shared" si="8"/>
        <v>#DIV/0!</v>
      </c>
      <c r="AD102" s="26" t="e">
        <f t="shared" si="9"/>
        <v>#DIV/0!</v>
      </c>
      <c r="AE102" s="26" t="e">
        <f t="shared" si="10"/>
        <v>#DIV/0!</v>
      </c>
      <c r="AF102" s="26" t="e">
        <f t="shared" si="11"/>
        <v>#DIV/0!</v>
      </c>
      <c r="AG102" s="26" t="e">
        <f t="shared" si="12"/>
        <v>#DIV/0!</v>
      </c>
      <c r="AH102" s="26" t="e">
        <f t="shared" si="13"/>
        <v>#DIV/0!</v>
      </c>
      <c r="AI102" s="26" t="e">
        <f t="shared" si="14"/>
        <v>#DIV/0!</v>
      </c>
    </row>
    <row r="103" spans="1:35" ht="20.100000000000001" customHeight="1">
      <c r="A103" s="24">
        <v>0</v>
      </c>
      <c r="B103" s="26">
        <f>'INTERNAL TEST-1  '!B103</f>
        <v>0</v>
      </c>
      <c r="C103" s="89">
        <f>'INTERNAL TEST-1  '!C103</f>
        <v>0</v>
      </c>
      <c r="D103" s="24"/>
      <c r="E103" s="24"/>
      <c r="F103" s="24"/>
      <c r="G103" s="24"/>
      <c r="H103" s="24"/>
      <c r="I103" s="24"/>
      <c r="J103" s="24"/>
      <c r="K103" s="24"/>
      <c r="L103" s="24"/>
      <c r="M103" s="24"/>
      <c r="N103" s="24"/>
      <c r="O103" s="82"/>
      <c r="P103" s="82"/>
      <c r="Q103" s="24"/>
      <c r="R103" s="24"/>
      <c r="S103" s="24"/>
      <c r="T103" s="24"/>
      <c r="U103" s="26">
        <f t="shared" si="16"/>
        <v>0</v>
      </c>
      <c r="V103" s="26">
        <f t="shared" si="17"/>
        <v>0</v>
      </c>
      <c r="W103" s="26">
        <f t="shared" si="18"/>
        <v>0</v>
      </c>
      <c r="X103" s="26">
        <f t="shared" si="19"/>
        <v>0</v>
      </c>
      <c r="Y103" s="26">
        <f t="shared" si="20"/>
        <v>0</v>
      </c>
      <c r="Z103" s="26">
        <f t="shared" si="21"/>
        <v>0</v>
      </c>
      <c r="AA103" s="26">
        <f t="shared" si="22"/>
        <v>0</v>
      </c>
      <c r="AB103" s="26">
        <f t="shared" si="23"/>
        <v>0</v>
      </c>
      <c r="AC103" s="26" t="e">
        <f t="shared" si="8"/>
        <v>#DIV/0!</v>
      </c>
      <c r="AD103" s="26" t="e">
        <f t="shared" si="9"/>
        <v>#DIV/0!</v>
      </c>
      <c r="AE103" s="26" t="e">
        <f t="shared" si="10"/>
        <v>#DIV/0!</v>
      </c>
      <c r="AF103" s="26" t="e">
        <f t="shared" si="11"/>
        <v>#DIV/0!</v>
      </c>
      <c r="AG103" s="26" t="e">
        <f t="shared" si="12"/>
        <v>#DIV/0!</v>
      </c>
      <c r="AH103" s="26" t="e">
        <f t="shared" si="13"/>
        <v>#DIV/0!</v>
      </c>
      <c r="AI103" s="26" t="e">
        <f t="shared" si="14"/>
        <v>#DIV/0!</v>
      </c>
    </row>
    <row r="104" spans="1:35" ht="20.100000000000001" customHeight="1">
      <c r="A104" s="24">
        <v>0</v>
      </c>
      <c r="B104" s="26">
        <f>'INTERNAL TEST-1  '!B104</f>
        <v>0</v>
      </c>
      <c r="C104" s="89">
        <f>'INTERNAL TEST-1  '!C104</f>
        <v>0</v>
      </c>
      <c r="D104" s="24"/>
      <c r="E104" s="24"/>
      <c r="F104" s="24"/>
      <c r="G104" s="24"/>
      <c r="H104" s="24"/>
      <c r="I104" s="24"/>
      <c r="J104" s="24"/>
      <c r="K104" s="24"/>
      <c r="L104" s="24"/>
      <c r="M104" s="24"/>
      <c r="N104" s="24"/>
      <c r="O104" s="82"/>
      <c r="P104" s="82"/>
      <c r="Q104" s="24"/>
      <c r="R104" s="24"/>
      <c r="S104" s="24"/>
      <c r="T104" s="24"/>
      <c r="U104" s="26">
        <f t="shared" si="16"/>
        <v>0</v>
      </c>
      <c r="V104" s="26">
        <f t="shared" si="17"/>
        <v>0</v>
      </c>
      <c r="W104" s="26">
        <f t="shared" si="18"/>
        <v>0</v>
      </c>
      <c r="X104" s="26">
        <f t="shared" si="19"/>
        <v>0</v>
      </c>
      <c r="Y104" s="26">
        <f t="shared" si="20"/>
        <v>0</v>
      </c>
      <c r="Z104" s="26">
        <f t="shared" si="21"/>
        <v>0</v>
      </c>
      <c r="AA104" s="26">
        <f t="shared" si="22"/>
        <v>0</v>
      </c>
      <c r="AB104" s="26">
        <f t="shared" si="23"/>
        <v>0</v>
      </c>
      <c r="AC104" s="26" t="e">
        <f t="shared" si="8"/>
        <v>#DIV/0!</v>
      </c>
      <c r="AD104" s="26" t="e">
        <f t="shared" si="9"/>
        <v>#DIV/0!</v>
      </c>
      <c r="AE104" s="26" t="e">
        <f t="shared" si="10"/>
        <v>#DIV/0!</v>
      </c>
      <c r="AF104" s="26" t="e">
        <f t="shared" si="11"/>
        <v>#DIV/0!</v>
      </c>
      <c r="AG104" s="26" t="e">
        <f t="shared" si="12"/>
        <v>#DIV/0!</v>
      </c>
      <c r="AH104" s="26" t="e">
        <f t="shared" si="13"/>
        <v>#DIV/0!</v>
      </c>
      <c r="AI104" s="26" t="e">
        <f t="shared" si="14"/>
        <v>#DIV/0!</v>
      </c>
    </row>
    <row r="105" spans="1:35" ht="20.100000000000001" customHeight="1">
      <c r="A105" s="24">
        <v>0</v>
      </c>
      <c r="B105" s="26">
        <f>'INTERNAL TEST-1  '!B105</f>
        <v>0</v>
      </c>
      <c r="C105" s="89">
        <f>'INTERNAL TEST-1  '!C105</f>
        <v>0</v>
      </c>
      <c r="D105" s="24"/>
      <c r="E105" s="24"/>
      <c r="F105" s="24"/>
      <c r="G105" s="24"/>
      <c r="H105" s="24"/>
      <c r="I105" s="24"/>
      <c r="J105" s="24"/>
      <c r="K105" s="24"/>
      <c r="L105" s="24"/>
      <c r="M105" s="24"/>
      <c r="N105" s="24"/>
      <c r="O105" s="82"/>
      <c r="P105" s="82"/>
      <c r="Q105" s="24"/>
      <c r="R105" s="24"/>
      <c r="S105" s="24"/>
      <c r="T105" s="24"/>
      <c r="U105" s="26">
        <f t="shared" si="16"/>
        <v>0</v>
      </c>
      <c r="V105" s="26">
        <f t="shared" si="17"/>
        <v>0</v>
      </c>
      <c r="W105" s="26">
        <f t="shared" si="18"/>
        <v>0</v>
      </c>
      <c r="X105" s="26">
        <f t="shared" si="19"/>
        <v>0</v>
      </c>
      <c r="Y105" s="26">
        <f t="shared" si="20"/>
        <v>0</v>
      </c>
      <c r="Z105" s="26">
        <f t="shared" si="21"/>
        <v>0</v>
      </c>
      <c r="AA105" s="26">
        <f t="shared" si="22"/>
        <v>0</v>
      </c>
      <c r="AB105" s="26">
        <f t="shared" si="23"/>
        <v>0</v>
      </c>
      <c r="AC105" s="26" t="e">
        <f t="shared" si="8"/>
        <v>#DIV/0!</v>
      </c>
      <c r="AD105" s="26" t="e">
        <f t="shared" si="9"/>
        <v>#DIV/0!</v>
      </c>
      <c r="AE105" s="26" t="e">
        <f t="shared" si="10"/>
        <v>#DIV/0!</v>
      </c>
      <c r="AF105" s="26" t="e">
        <f t="shared" si="11"/>
        <v>#DIV/0!</v>
      </c>
      <c r="AG105" s="26" t="e">
        <f t="shared" si="12"/>
        <v>#DIV/0!</v>
      </c>
      <c r="AH105" s="26" t="e">
        <f t="shared" si="13"/>
        <v>#DIV/0!</v>
      </c>
      <c r="AI105" s="26" t="e">
        <f t="shared" si="14"/>
        <v>#DIV/0!</v>
      </c>
    </row>
    <row r="106" spans="1:35" ht="20.100000000000001" customHeight="1">
      <c r="A106" s="24">
        <v>0</v>
      </c>
      <c r="B106" s="26">
        <f>'INTERNAL TEST-1  '!B106</f>
        <v>0</v>
      </c>
      <c r="C106" s="89">
        <f>'INTERNAL TEST-1  '!C106</f>
        <v>0</v>
      </c>
      <c r="D106" s="24"/>
      <c r="E106" s="24"/>
      <c r="F106" s="24"/>
      <c r="G106" s="24"/>
      <c r="H106" s="24"/>
      <c r="I106" s="24"/>
      <c r="J106" s="24"/>
      <c r="K106" s="24"/>
      <c r="L106" s="24"/>
      <c r="M106" s="24"/>
      <c r="N106" s="24"/>
      <c r="O106" s="82"/>
      <c r="P106" s="82"/>
      <c r="Q106" s="24"/>
      <c r="R106" s="24"/>
      <c r="S106" s="24"/>
      <c r="T106" s="24"/>
      <c r="U106" s="26">
        <f t="shared" si="16"/>
        <v>0</v>
      </c>
      <c r="V106" s="26">
        <f t="shared" si="17"/>
        <v>0</v>
      </c>
      <c r="W106" s="26">
        <f t="shared" si="18"/>
        <v>0</v>
      </c>
      <c r="X106" s="26">
        <f t="shared" si="19"/>
        <v>0</v>
      </c>
      <c r="Y106" s="26">
        <f t="shared" si="20"/>
        <v>0</v>
      </c>
      <c r="Z106" s="26">
        <f t="shared" si="21"/>
        <v>0</v>
      </c>
      <c r="AA106" s="26">
        <f t="shared" si="22"/>
        <v>0</v>
      </c>
      <c r="AB106" s="26">
        <f t="shared" si="23"/>
        <v>0</v>
      </c>
      <c r="AC106" s="26" t="e">
        <f t="shared" si="8"/>
        <v>#DIV/0!</v>
      </c>
      <c r="AD106" s="26" t="e">
        <f t="shared" si="9"/>
        <v>#DIV/0!</v>
      </c>
      <c r="AE106" s="26" t="e">
        <f t="shared" si="10"/>
        <v>#DIV/0!</v>
      </c>
      <c r="AF106" s="26" t="e">
        <f t="shared" si="11"/>
        <v>#DIV/0!</v>
      </c>
      <c r="AG106" s="26" t="e">
        <f t="shared" si="12"/>
        <v>#DIV/0!</v>
      </c>
      <c r="AH106" s="26" t="e">
        <f t="shared" si="13"/>
        <v>#DIV/0!</v>
      </c>
      <c r="AI106" s="26" t="e">
        <f t="shared" si="14"/>
        <v>#DIV/0!</v>
      </c>
    </row>
    <row r="107" spans="1:35" ht="20.100000000000001" customHeight="1">
      <c r="A107" s="24">
        <v>0</v>
      </c>
      <c r="B107" s="26">
        <f>'INTERNAL TEST-1  '!B107</f>
        <v>0</v>
      </c>
      <c r="C107" s="89">
        <f>'INTERNAL TEST-1  '!C107</f>
        <v>0</v>
      </c>
      <c r="D107" s="24"/>
      <c r="E107" s="24"/>
      <c r="F107" s="24"/>
      <c r="G107" s="24"/>
      <c r="H107" s="24"/>
      <c r="I107" s="24"/>
      <c r="J107" s="24"/>
      <c r="K107" s="24"/>
      <c r="L107" s="24"/>
      <c r="M107" s="24"/>
      <c r="N107" s="24"/>
      <c r="O107" s="82"/>
      <c r="P107" s="82"/>
      <c r="Q107" s="24"/>
      <c r="R107" s="24"/>
      <c r="S107" s="24"/>
      <c r="T107" s="24"/>
      <c r="U107" s="26">
        <f t="shared" si="16"/>
        <v>0</v>
      </c>
      <c r="V107" s="26">
        <f t="shared" si="17"/>
        <v>0</v>
      </c>
      <c r="W107" s="26">
        <f t="shared" si="18"/>
        <v>0</v>
      </c>
      <c r="X107" s="26">
        <f t="shared" si="19"/>
        <v>0</v>
      </c>
      <c r="Y107" s="26">
        <f t="shared" si="20"/>
        <v>0</v>
      </c>
      <c r="Z107" s="26">
        <f t="shared" si="21"/>
        <v>0</v>
      </c>
      <c r="AA107" s="26">
        <f t="shared" si="22"/>
        <v>0</v>
      </c>
      <c r="AB107" s="26">
        <f t="shared" si="23"/>
        <v>0</v>
      </c>
      <c r="AC107" s="26" t="e">
        <f t="shared" si="8"/>
        <v>#DIV/0!</v>
      </c>
      <c r="AD107" s="26" t="e">
        <f t="shared" si="9"/>
        <v>#DIV/0!</v>
      </c>
      <c r="AE107" s="26" t="e">
        <f t="shared" si="10"/>
        <v>#DIV/0!</v>
      </c>
      <c r="AF107" s="26" t="e">
        <f t="shared" si="11"/>
        <v>#DIV/0!</v>
      </c>
      <c r="AG107" s="26" t="e">
        <f t="shared" si="12"/>
        <v>#DIV/0!</v>
      </c>
      <c r="AH107" s="26" t="e">
        <f t="shared" si="13"/>
        <v>#DIV/0!</v>
      </c>
      <c r="AI107" s="26" t="e">
        <f t="shared" si="14"/>
        <v>#DIV/0!</v>
      </c>
    </row>
    <row r="108" spans="1:35" ht="20.100000000000001" customHeight="1">
      <c r="A108" s="24">
        <v>0</v>
      </c>
      <c r="B108" s="26">
        <f>'INTERNAL TEST-1  '!B108</f>
        <v>0</v>
      </c>
      <c r="C108" s="89">
        <f>'INTERNAL TEST-1  '!C108</f>
        <v>0</v>
      </c>
      <c r="D108" s="24"/>
      <c r="E108" s="24"/>
      <c r="F108" s="24"/>
      <c r="G108" s="24"/>
      <c r="H108" s="24"/>
      <c r="I108" s="24"/>
      <c r="J108" s="24"/>
      <c r="K108" s="24"/>
      <c r="L108" s="24"/>
      <c r="M108" s="24"/>
      <c r="N108" s="24"/>
      <c r="O108" s="82"/>
      <c r="P108" s="82"/>
      <c r="Q108" s="24"/>
      <c r="R108" s="24"/>
      <c r="S108" s="24"/>
      <c r="T108" s="24"/>
      <c r="U108" s="26">
        <f t="shared" si="16"/>
        <v>0</v>
      </c>
      <c r="V108" s="26">
        <f t="shared" si="17"/>
        <v>0</v>
      </c>
      <c r="W108" s="26">
        <f t="shared" si="18"/>
        <v>0</v>
      </c>
      <c r="X108" s="26">
        <f t="shared" si="19"/>
        <v>0</v>
      </c>
      <c r="Y108" s="26">
        <f t="shared" si="20"/>
        <v>0</v>
      </c>
      <c r="Z108" s="26">
        <f t="shared" si="21"/>
        <v>0</v>
      </c>
      <c r="AA108" s="26">
        <f t="shared" si="22"/>
        <v>0</v>
      </c>
      <c r="AB108" s="26">
        <f t="shared" si="23"/>
        <v>0</v>
      </c>
      <c r="AC108" s="26" t="e">
        <f t="shared" si="8"/>
        <v>#DIV/0!</v>
      </c>
      <c r="AD108" s="26" t="e">
        <f t="shared" si="9"/>
        <v>#DIV/0!</v>
      </c>
      <c r="AE108" s="26" t="e">
        <f t="shared" si="10"/>
        <v>#DIV/0!</v>
      </c>
      <c r="AF108" s="26" t="e">
        <f t="shared" si="11"/>
        <v>#DIV/0!</v>
      </c>
      <c r="AG108" s="26" t="e">
        <f t="shared" si="12"/>
        <v>#DIV/0!</v>
      </c>
      <c r="AH108" s="26" t="e">
        <f t="shared" si="13"/>
        <v>#DIV/0!</v>
      </c>
      <c r="AI108" s="26" t="e">
        <f t="shared" si="14"/>
        <v>#DIV/0!</v>
      </c>
    </row>
    <row r="109" spans="1:35" ht="20.100000000000001" customHeight="1">
      <c r="A109" s="24">
        <v>0</v>
      </c>
      <c r="B109" s="26">
        <f>'INTERNAL TEST-1  '!B109</f>
        <v>0</v>
      </c>
      <c r="C109" s="89">
        <f>'INTERNAL TEST-1  '!C109</f>
        <v>0</v>
      </c>
      <c r="D109" s="24"/>
      <c r="E109" s="24"/>
      <c r="F109" s="24"/>
      <c r="G109" s="24"/>
      <c r="H109" s="24"/>
      <c r="I109" s="24"/>
      <c r="J109" s="24"/>
      <c r="K109" s="24"/>
      <c r="L109" s="24"/>
      <c r="M109" s="24"/>
      <c r="N109" s="24"/>
      <c r="O109" s="82"/>
      <c r="P109" s="82"/>
      <c r="Q109" s="24"/>
      <c r="R109" s="24"/>
      <c r="S109" s="24"/>
      <c r="T109" s="24"/>
      <c r="U109" s="26">
        <f t="shared" si="16"/>
        <v>0</v>
      </c>
      <c r="V109" s="26">
        <f t="shared" si="17"/>
        <v>0</v>
      </c>
      <c r="W109" s="26">
        <f t="shared" si="18"/>
        <v>0</v>
      </c>
      <c r="X109" s="26">
        <f t="shared" si="19"/>
        <v>0</v>
      </c>
      <c r="Y109" s="26">
        <f t="shared" si="20"/>
        <v>0</v>
      </c>
      <c r="Z109" s="26">
        <f t="shared" si="21"/>
        <v>0</v>
      </c>
      <c r="AA109" s="26">
        <f t="shared" si="22"/>
        <v>0</v>
      </c>
      <c r="AB109" s="26">
        <f t="shared" si="23"/>
        <v>0</v>
      </c>
      <c r="AC109" s="26" t="e">
        <f t="shared" si="8"/>
        <v>#DIV/0!</v>
      </c>
      <c r="AD109" s="26" t="e">
        <f t="shared" si="9"/>
        <v>#DIV/0!</v>
      </c>
      <c r="AE109" s="26" t="e">
        <f t="shared" si="10"/>
        <v>#DIV/0!</v>
      </c>
      <c r="AF109" s="26" t="e">
        <f t="shared" si="11"/>
        <v>#DIV/0!</v>
      </c>
      <c r="AG109" s="26" t="e">
        <f t="shared" si="12"/>
        <v>#DIV/0!</v>
      </c>
      <c r="AH109" s="26" t="e">
        <f t="shared" si="13"/>
        <v>#DIV/0!</v>
      </c>
      <c r="AI109" s="26" t="e">
        <f t="shared" si="14"/>
        <v>#DIV/0!</v>
      </c>
    </row>
    <row r="110" spans="1:35" ht="20.100000000000001" customHeight="1">
      <c r="A110" s="24">
        <v>0</v>
      </c>
      <c r="B110" s="26">
        <f>'INTERNAL TEST-1  '!B110</f>
        <v>0</v>
      </c>
      <c r="C110" s="89">
        <f>'INTERNAL TEST-1  '!C110</f>
        <v>0</v>
      </c>
      <c r="D110" s="24"/>
      <c r="E110" s="24"/>
      <c r="F110" s="24"/>
      <c r="G110" s="24"/>
      <c r="H110" s="24"/>
      <c r="I110" s="24"/>
      <c r="J110" s="24"/>
      <c r="K110" s="24"/>
      <c r="L110" s="24"/>
      <c r="M110" s="24"/>
      <c r="N110" s="24"/>
      <c r="O110" s="82"/>
      <c r="P110" s="82"/>
      <c r="Q110" s="24"/>
      <c r="R110" s="24"/>
      <c r="S110" s="24"/>
      <c r="T110" s="24"/>
      <c r="U110" s="26">
        <f t="shared" si="16"/>
        <v>0</v>
      </c>
      <c r="V110" s="26">
        <f t="shared" si="17"/>
        <v>0</v>
      </c>
      <c r="W110" s="26">
        <f t="shared" si="18"/>
        <v>0</v>
      </c>
      <c r="X110" s="26">
        <f t="shared" si="19"/>
        <v>0</v>
      </c>
      <c r="Y110" s="26">
        <f t="shared" si="20"/>
        <v>0</v>
      </c>
      <c r="Z110" s="26">
        <f t="shared" si="21"/>
        <v>0</v>
      </c>
      <c r="AA110" s="26">
        <f t="shared" si="22"/>
        <v>0</v>
      </c>
      <c r="AB110" s="26">
        <f t="shared" si="23"/>
        <v>0</v>
      </c>
      <c r="AC110" s="26" t="e">
        <f t="shared" si="8"/>
        <v>#DIV/0!</v>
      </c>
      <c r="AD110" s="26" t="e">
        <f t="shared" si="9"/>
        <v>#DIV/0!</v>
      </c>
      <c r="AE110" s="26" t="e">
        <f t="shared" si="10"/>
        <v>#DIV/0!</v>
      </c>
      <c r="AF110" s="26" t="e">
        <f t="shared" si="11"/>
        <v>#DIV/0!</v>
      </c>
      <c r="AG110" s="26" t="e">
        <f t="shared" si="12"/>
        <v>#DIV/0!</v>
      </c>
      <c r="AH110" s="26" t="e">
        <f t="shared" si="13"/>
        <v>#DIV/0!</v>
      </c>
      <c r="AI110" s="26" t="e">
        <f t="shared" si="14"/>
        <v>#DIV/0!</v>
      </c>
    </row>
    <row r="111" spans="1:35" ht="20.100000000000001" customHeight="1">
      <c r="A111" s="24">
        <v>0</v>
      </c>
      <c r="B111" s="26">
        <f>'INTERNAL TEST-1  '!B111</f>
        <v>0</v>
      </c>
      <c r="C111" s="89">
        <f>'INTERNAL TEST-1  '!C111</f>
        <v>0</v>
      </c>
      <c r="D111" s="24"/>
      <c r="E111" s="24"/>
      <c r="F111" s="24"/>
      <c r="G111" s="24"/>
      <c r="H111" s="24"/>
      <c r="I111" s="24"/>
      <c r="J111" s="24"/>
      <c r="K111" s="24"/>
      <c r="L111" s="24"/>
      <c r="M111" s="24"/>
      <c r="N111" s="24"/>
      <c r="O111" s="82"/>
      <c r="P111" s="82"/>
      <c r="Q111" s="24"/>
      <c r="R111" s="24"/>
      <c r="S111" s="24"/>
      <c r="T111" s="24"/>
      <c r="U111" s="26">
        <f t="shared" si="16"/>
        <v>0</v>
      </c>
      <c r="V111" s="26">
        <f t="shared" si="17"/>
        <v>0</v>
      </c>
      <c r="W111" s="26">
        <f t="shared" si="18"/>
        <v>0</v>
      </c>
      <c r="X111" s="26">
        <f t="shared" si="19"/>
        <v>0</v>
      </c>
      <c r="Y111" s="26">
        <f t="shared" si="20"/>
        <v>0</v>
      </c>
      <c r="Z111" s="26">
        <f t="shared" si="21"/>
        <v>0</v>
      </c>
      <c r="AA111" s="26">
        <f t="shared" si="22"/>
        <v>0</v>
      </c>
      <c r="AB111" s="26">
        <f t="shared" si="23"/>
        <v>0</v>
      </c>
      <c r="AC111" s="26" t="e">
        <f t="shared" si="8"/>
        <v>#DIV/0!</v>
      </c>
      <c r="AD111" s="26" t="e">
        <f t="shared" si="9"/>
        <v>#DIV/0!</v>
      </c>
      <c r="AE111" s="26" t="e">
        <f t="shared" si="10"/>
        <v>#DIV/0!</v>
      </c>
      <c r="AF111" s="26" t="e">
        <f t="shared" si="11"/>
        <v>#DIV/0!</v>
      </c>
      <c r="AG111" s="26" t="e">
        <f t="shared" si="12"/>
        <v>#DIV/0!</v>
      </c>
      <c r="AH111" s="26" t="e">
        <f t="shared" si="13"/>
        <v>#DIV/0!</v>
      </c>
      <c r="AI111" s="26" t="e">
        <f t="shared" si="14"/>
        <v>#DIV/0!</v>
      </c>
    </row>
    <row r="112" spans="1:35" ht="20.100000000000001" customHeight="1">
      <c r="A112" s="24">
        <v>0</v>
      </c>
      <c r="B112" s="26">
        <f>'INTERNAL TEST-1  '!B112</f>
        <v>0</v>
      </c>
      <c r="C112" s="89">
        <f>'INTERNAL TEST-1  '!C112</f>
        <v>0</v>
      </c>
      <c r="D112" s="24"/>
      <c r="E112" s="24"/>
      <c r="F112" s="24"/>
      <c r="G112" s="24"/>
      <c r="H112" s="24"/>
      <c r="I112" s="24"/>
      <c r="J112" s="24"/>
      <c r="K112" s="24"/>
      <c r="L112" s="24"/>
      <c r="M112" s="24"/>
      <c r="N112" s="24"/>
      <c r="O112" s="82"/>
      <c r="P112" s="82"/>
      <c r="Q112" s="24"/>
      <c r="R112" s="24"/>
      <c r="S112" s="24"/>
      <c r="T112" s="24"/>
      <c r="U112" s="26">
        <f t="shared" si="16"/>
        <v>0</v>
      </c>
      <c r="V112" s="26">
        <f t="shared" si="17"/>
        <v>0</v>
      </c>
      <c r="W112" s="26">
        <f t="shared" si="18"/>
        <v>0</v>
      </c>
      <c r="X112" s="26">
        <f t="shared" si="19"/>
        <v>0</v>
      </c>
      <c r="Y112" s="26">
        <f t="shared" si="20"/>
        <v>0</v>
      </c>
      <c r="Z112" s="26">
        <f t="shared" si="21"/>
        <v>0</v>
      </c>
      <c r="AA112" s="26">
        <f t="shared" si="22"/>
        <v>0</v>
      </c>
      <c r="AB112" s="26">
        <f t="shared" si="23"/>
        <v>0</v>
      </c>
      <c r="AC112" s="26" t="e">
        <f t="shared" si="8"/>
        <v>#DIV/0!</v>
      </c>
      <c r="AD112" s="26" t="e">
        <f t="shared" si="9"/>
        <v>#DIV/0!</v>
      </c>
      <c r="AE112" s="26" t="e">
        <f t="shared" si="10"/>
        <v>#DIV/0!</v>
      </c>
      <c r="AF112" s="26" t="e">
        <f t="shared" si="11"/>
        <v>#DIV/0!</v>
      </c>
      <c r="AG112" s="26" t="e">
        <f t="shared" si="12"/>
        <v>#DIV/0!</v>
      </c>
      <c r="AH112" s="26" t="e">
        <f t="shared" si="13"/>
        <v>#DIV/0!</v>
      </c>
      <c r="AI112" s="26" t="e">
        <f t="shared" si="14"/>
        <v>#DIV/0!</v>
      </c>
    </row>
    <row r="113" spans="1:35" ht="20.100000000000001" customHeight="1">
      <c r="A113" s="24">
        <v>0</v>
      </c>
      <c r="B113" s="26">
        <f>'INTERNAL TEST-1  '!B113</f>
        <v>0</v>
      </c>
      <c r="C113" s="89">
        <f>'INTERNAL TEST-1  '!C113</f>
        <v>0</v>
      </c>
      <c r="D113" s="24"/>
      <c r="E113" s="24"/>
      <c r="F113" s="24"/>
      <c r="G113" s="24"/>
      <c r="H113" s="24"/>
      <c r="I113" s="24"/>
      <c r="J113" s="24"/>
      <c r="K113" s="24"/>
      <c r="L113" s="24"/>
      <c r="M113" s="24"/>
      <c r="N113" s="24"/>
      <c r="O113" s="82"/>
      <c r="P113" s="82"/>
      <c r="Q113" s="24"/>
      <c r="R113" s="24"/>
      <c r="S113" s="24"/>
      <c r="T113" s="24"/>
      <c r="U113" s="26">
        <f t="shared" si="16"/>
        <v>0</v>
      </c>
      <c r="V113" s="26">
        <f t="shared" si="17"/>
        <v>0</v>
      </c>
      <c r="W113" s="26">
        <f t="shared" si="18"/>
        <v>0</v>
      </c>
      <c r="X113" s="26">
        <f t="shared" si="19"/>
        <v>0</v>
      </c>
      <c r="Y113" s="26">
        <f t="shared" si="20"/>
        <v>0</v>
      </c>
      <c r="Z113" s="26">
        <f t="shared" si="21"/>
        <v>0</v>
      </c>
      <c r="AA113" s="26">
        <f t="shared" si="22"/>
        <v>0</v>
      </c>
      <c r="AB113" s="26">
        <f t="shared" si="23"/>
        <v>0</v>
      </c>
      <c r="AC113" s="26" t="e">
        <f t="shared" si="8"/>
        <v>#DIV/0!</v>
      </c>
      <c r="AD113" s="26" t="e">
        <f t="shared" si="9"/>
        <v>#DIV/0!</v>
      </c>
      <c r="AE113" s="26" t="e">
        <f t="shared" si="10"/>
        <v>#DIV/0!</v>
      </c>
      <c r="AF113" s="26" t="e">
        <f t="shared" si="11"/>
        <v>#DIV/0!</v>
      </c>
      <c r="AG113" s="26" t="e">
        <f t="shared" si="12"/>
        <v>#DIV/0!</v>
      </c>
      <c r="AH113" s="26" t="e">
        <f t="shared" si="13"/>
        <v>#DIV/0!</v>
      </c>
      <c r="AI113" s="26" t="e">
        <f t="shared" si="14"/>
        <v>#DIV/0!</v>
      </c>
    </row>
    <row r="114" spans="1:35" ht="20.100000000000001" customHeight="1">
      <c r="A114" s="24">
        <v>0</v>
      </c>
      <c r="B114" s="26">
        <f>'INTERNAL TEST-1  '!B114</f>
        <v>0</v>
      </c>
      <c r="C114" s="89">
        <f>'INTERNAL TEST-1  '!C114</f>
        <v>0</v>
      </c>
      <c r="D114" s="24"/>
      <c r="E114" s="24"/>
      <c r="F114" s="24"/>
      <c r="G114" s="24"/>
      <c r="H114" s="24"/>
      <c r="I114" s="24"/>
      <c r="J114" s="24"/>
      <c r="K114" s="24"/>
      <c r="L114" s="24"/>
      <c r="M114" s="24"/>
      <c r="N114" s="24"/>
      <c r="O114" s="82"/>
      <c r="P114" s="82"/>
      <c r="Q114" s="24"/>
      <c r="R114" s="24"/>
      <c r="S114" s="24"/>
      <c r="T114" s="24"/>
      <c r="U114" s="26">
        <f t="shared" si="16"/>
        <v>0</v>
      </c>
      <c r="V114" s="26">
        <f t="shared" si="17"/>
        <v>0</v>
      </c>
      <c r="W114" s="26">
        <f t="shared" si="18"/>
        <v>0</v>
      </c>
      <c r="X114" s="26">
        <f t="shared" si="19"/>
        <v>0</v>
      </c>
      <c r="Y114" s="26">
        <f t="shared" si="20"/>
        <v>0</v>
      </c>
      <c r="Z114" s="26">
        <f t="shared" si="21"/>
        <v>0</v>
      </c>
      <c r="AA114" s="26">
        <f t="shared" si="22"/>
        <v>0</v>
      </c>
      <c r="AB114" s="26">
        <f t="shared" si="23"/>
        <v>0</v>
      </c>
      <c r="AC114" s="26" t="e">
        <f t="shared" si="8"/>
        <v>#DIV/0!</v>
      </c>
      <c r="AD114" s="26" t="e">
        <f t="shared" si="9"/>
        <v>#DIV/0!</v>
      </c>
      <c r="AE114" s="26" t="e">
        <f t="shared" si="10"/>
        <v>#DIV/0!</v>
      </c>
      <c r="AF114" s="26" t="e">
        <f t="shared" si="11"/>
        <v>#DIV/0!</v>
      </c>
      <c r="AG114" s="26" t="e">
        <f t="shared" si="12"/>
        <v>#DIV/0!</v>
      </c>
      <c r="AH114" s="26" t="e">
        <f t="shared" si="13"/>
        <v>#DIV/0!</v>
      </c>
      <c r="AI114" s="26" t="e">
        <f t="shared" si="14"/>
        <v>#DIV/0!</v>
      </c>
    </row>
    <row r="115" spans="1:35" ht="20.100000000000001" customHeight="1">
      <c r="A115" s="24">
        <v>0</v>
      </c>
      <c r="B115" s="26">
        <f>'INTERNAL TEST-1  '!B115</f>
        <v>0</v>
      </c>
      <c r="C115" s="89">
        <f>'INTERNAL TEST-1  '!C115</f>
        <v>0</v>
      </c>
      <c r="D115" s="24"/>
      <c r="E115" s="24"/>
      <c r="F115" s="24"/>
      <c r="G115" s="24"/>
      <c r="H115" s="24"/>
      <c r="I115" s="24"/>
      <c r="J115" s="24"/>
      <c r="K115" s="24"/>
      <c r="L115" s="24"/>
      <c r="M115" s="24"/>
      <c r="N115" s="24"/>
      <c r="O115" s="82"/>
      <c r="P115" s="82"/>
      <c r="Q115" s="24"/>
      <c r="R115" s="24"/>
      <c r="S115" s="24"/>
      <c r="T115" s="24"/>
      <c r="U115" s="26">
        <f t="shared" si="16"/>
        <v>0</v>
      </c>
      <c r="V115" s="26">
        <f t="shared" si="17"/>
        <v>0</v>
      </c>
      <c r="W115" s="26">
        <f t="shared" si="18"/>
        <v>0</v>
      </c>
      <c r="X115" s="26">
        <f t="shared" si="19"/>
        <v>0</v>
      </c>
      <c r="Y115" s="26">
        <f t="shared" si="20"/>
        <v>0</v>
      </c>
      <c r="Z115" s="26">
        <f t="shared" si="21"/>
        <v>0</v>
      </c>
      <c r="AA115" s="26">
        <f t="shared" si="22"/>
        <v>0</v>
      </c>
      <c r="AB115" s="26">
        <f t="shared" si="23"/>
        <v>0</v>
      </c>
      <c r="AC115" s="26" t="e">
        <f t="shared" si="8"/>
        <v>#DIV/0!</v>
      </c>
      <c r="AD115" s="26" t="e">
        <f t="shared" si="9"/>
        <v>#DIV/0!</v>
      </c>
      <c r="AE115" s="26" t="e">
        <f t="shared" si="10"/>
        <v>#DIV/0!</v>
      </c>
      <c r="AF115" s="26" t="e">
        <f t="shared" si="11"/>
        <v>#DIV/0!</v>
      </c>
      <c r="AG115" s="26" t="e">
        <f t="shared" si="12"/>
        <v>#DIV/0!</v>
      </c>
      <c r="AH115" s="26" t="e">
        <f t="shared" si="13"/>
        <v>#DIV/0!</v>
      </c>
      <c r="AI115" s="26" t="e">
        <f t="shared" si="14"/>
        <v>#DIV/0!</v>
      </c>
    </row>
    <row r="116" spans="1:35" ht="20.100000000000001" customHeight="1">
      <c r="A116" s="24">
        <v>0</v>
      </c>
      <c r="B116" s="26">
        <f>'INTERNAL TEST-1  '!B116</f>
        <v>0</v>
      </c>
      <c r="C116" s="89">
        <f>'INTERNAL TEST-1  '!C116</f>
        <v>0</v>
      </c>
      <c r="D116" s="24"/>
      <c r="E116" s="24"/>
      <c r="F116" s="24"/>
      <c r="G116" s="24"/>
      <c r="H116" s="24"/>
      <c r="I116" s="24"/>
      <c r="J116" s="24"/>
      <c r="K116" s="24"/>
      <c r="L116" s="24"/>
      <c r="M116" s="24"/>
      <c r="N116" s="24"/>
      <c r="O116" s="82"/>
      <c r="P116" s="82"/>
      <c r="Q116" s="24"/>
      <c r="R116" s="24"/>
      <c r="S116" s="24"/>
      <c r="T116" s="24"/>
      <c r="U116" s="26">
        <f t="shared" si="16"/>
        <v>0</v>
      </c>
      <c r="V116" s="26">
        <f t="shared" si="17"/>
        <v>0</v>
      </c>
      <c r="W116" s="26">
        <f t="shared" si="18"/>
        <v>0</v>
      </c>
      <c r="X116" s="26">
        <f t="shared" si="19"/>
        <v>0</v>
      </c>
      <c r="Y116" s="26">
        <f t="shared" si="20"/>
        <v>0</v>
      </c>
      <c r="Z116" s="26">
        <f t="shared" si="21"/>
        <v>0</v>
      </c>
      <c r="AA116" s="26">
        <f t="shared" si="22"/>
        <v>0</v>
      </c>
      <c r="AB116" s="26">
        <f t="shared" si="23"/>
        <v>0</v>
      </c>
      <c r="AC116" s="26" t="e">
        <f t="shared" si="8"/>
        <v>#DIV/0!</v>
      </c>
      <c r="AD116" s="26" t="e">
        <f t="shared" si="9"/>
        <v>#DIV/0!</v>
      </c>
      <c r="AE116" s="26" t="e">
        <f t="shared" si="10"/>
        <v>#DIV/0!</v>
      </c>
      <c r="AF116" s="26" t="e">
        <f t="shared" si="11"/>
        <v>#DIV/0!</v>
      </c>
      <c r="AG116" s="26" t="e">
        <f t="shared" si="12"/>
        <v>#DIV/0!</v>
      </c>
      <c r="AH116" s="26" t="e">
        <f t="shared" si="13"/>
        <v>#DIV/0!</v>
      </c>
      <c r="AI116" s="26" t="e">
        <f t="shared" si="14"/>
        <v>#DIV/0!</v>
      </c>
    </row>
    <row r="117" spans="1:35" ht="20.100000000000001" customHeight="1">
      <c r="A117" s="24">
        <v>0</v>
      </c>
      <c r="B117" s="26">
        <f>'INTERNAL TEST-1  '!B117</f>
        <v>0</v>
      </c>
      <c r="C117" s="89">
        <f>'INTERNAL TEST-1  '!C117</f>
        <v>0</v>
      </c>
      <c r="D117" s="24"/>
      <c r="E117" s="24"/>
      <c r="F117" s="24"/>
      <c r="G117" s="24"/>
      <c r="H117" s="24"/>
      <c r="I117" s="24"/>
      <c r="J117" s="24"/>
      <c r="K117" s="24"/>
      <c r="L117" s="24"/>
      <c r="M117" s="24"/>
      <c r="N117" s="24"/>
      <c r="O117" s="82"/>
      <c r="P117" s="82"/>
      <c r="Q117" s="24"/>
      <c r="R117" s="24"/>
      <c r="S117" s="24"/>
      <c r="T117" s="24"/>
      <c r="U117" s="26">
        <f t="shared" si="16"/>
        <v>0</v>
      </c>
      <c r="V117" s="26">
        <f t="shared" si="17"/>
        <v>0</v>
      </c>
      <c r="W117" s="26">
        <f t="shared" si="18"/>
        <v>0</v>
      </c>
      <c r="X117" s="26">
        <f t="shared" si="19"/>
        <v>0</v>
      </c>
      <c r="Y117" s="26">
        <f t="shared" si="20"/>
        <v>0</v>
      </c>
      <c r="Z117" s="26">
        <f t="shared" si="21"/>
        <v>0</v>
      </c>
      <c r="AA117" s="26">
        <f t="shared" si="22"/>
        <v>0</v>
      </c>
      <c r="AB117" s="26">
        <f t="shared" si="23"/>
        <v>0</v>
      </c>
      <c r="AC117" s="26" t="e">
        <f t="shared" si="8"/>
        <v>#DIV/0!</v>
      </c>
      <c r="AD117" s="26" t="e">
        <f t="shared" si="9"/>
        <v>#DIV/0!</v>
      </c>
      <c r="AE117" s="26" t="e">
        <f t="shared" si="10"/>
        <v>#DIV/0!</v>
      </c>
      <c r="AF117" s="26" t="e">
        <f t="shared" si="11"/>
        <v>#DIV/0!</v>
      </c>
      <c r="AG117" s="26" t="e">
        <f t="shared" si="12"/>
        <v>#DIV/0!</v>
      </c>
      <c r="AH117" s="26" t="e">
        <f t="shared" si="13"/>
        <v>#DIV/0!</v>
      </c>
      <c r="AI117" s="26" t="e">
        <f t="shared" si="14"/>
        <v>#DIV/0!</v>
      </c>
    </row>
    <row r="118" spans="1:35" ht="20.100000000000001" customHeight="1">
      <c r="A118" s="24">
        <v>0</v>
      </c>
      <c r="B118" s="26">
        <f>'INTERNAL TEST-1  '!B118</f>
        <v>0</v>
      </c>
      <c r="C118" s="89">
        <f>'INTERNAL TEST-1  '!C118</f>
        <v>0</v>
      </c>
      <c r="D118" s="24"/>
      <c r="E118" s="24"/>
      <c r="F118" s="24"/>
      <c r="G118" s="24"/>
      <c r="H118" s="24"/>
      <c r="I118" s="24"/>
      <c r="J118" s="24"/>
      <c r="K118" s="24"/>
      <c r="L118" s="24"/>
      <c r="M118" s="24"/>
      <c r="N118" s="24"/>
      <c r="O118" s="82"/>
      <c r="P118" s="82"/>
      <c r="Q118" s="24"/>
      <c r="R118" s="24"/>
      <c r="S118" s="24"/>
      <c r="T118" s="24"/>
      <c r="U118" s="26">
        <f t="shared" si="16"/>
        <v>0</v>
      </c>
      <c r="V118" s="26">
        <f t="shared" si="17"/>
        <v>0</v>
      </c>
      <c r="W118" s="26">
        <f t="shared" si="18"/>
        <v>0</v>
      </c>
      <c r="X118" s="26">
        <f t="shared" si="19"/>
        <v>0</v>
      </c>
      <c r="Y118" s="26">
        <f t="shared" si="20"/>
        <v>0</v>
      </c>
      <c r="Z118" s="26">
        <f t="shared" si="21"/>
        <v>0</v>
      </c>
      <c r="AA118" s="26">
        <f t="shared" si="22"/>
        <v>0</v>
      </c>
      <c r="AB118" s="26">
        <f t="shared" si="23"/>
        <v>0</v>
      </c>
      <c r="AC118" s="26" t="e">
        <f t="shared" si="8"/>
        <v>#DIV/0!</v>
      </c>
      <c r="AD118" s="26" t="e">
        <f t="shared" si="9"/>
        <v>#DIV/0!</v>
      </c>
      <c r="AE118" s="26" t="e">
        <f t="shared" si="10"/>
        <v>#DIV/0!</v>
      </c>
      <c r="AF118" s="26" t="e">
        <f t="shared" si="11"/>
        <v>#DIV/0!</v>
      </c>
      <c r="AG118" s="26" t="e">
        <f t="shared" si="12"/>
        <v>#DIV/0!</v>
      </c>
      <c r="AH118" s="26" t="e">
        <f t="shared" si="13"/>
        <v>#DIV/0!</v>
      </c>
      <c r="AI118" s="26" t="e">
        <f t="shared" si="14"/>
        <v>#DIV/0!</v>
      </c>
    </row>
    <row r="119" spans="1:35" ht="20.100000000000001" customHeight="1">
      <c r="A119" s="24">
        <v>0</v>
      </c>
      <c r="B119" s="26">
        <f>'INTERNAL TEST-1  '!B119</f>
        <v>0</v>
      </c>
      <c r="C119" s="89">
        <f>'INTERNAL TEST-1  '!C119</f>
        <v>0</v>
      </c>
      <c r="D119" s="24"/>
      <c r="E119" s="24"/>
      <c r="F119" s="24"/>
      <c r="G119" s="24"/>
      <c r="H119" s="24"/>
      <c r="I119" s="24"/>
      <c r="J119" s="24"/>
      <c r="K119" s="24"/>
      <c r="L119" s="24"/>
      <c r="M119" s="24"/>
      <c r="N119" s="24"/>
      <c r="O119" s="82"/>
      <c r="P119" s="82"/>
      <c r="Q119" s="24"/>
      <c r="R119" s="24"/>
      <c r="S119" s="24"/>
      <c r="T119" s="24"/>
      <c r="U119" s="26">
        <f t="shared" si="16"/>
        <v>0</v>
      </c>
      <c r="V119" s="26">
        <f t="shared" si="17"/>
        <v>0</v>
      </c>
      <c r="W119" s="26">
        <f t="shared" si="18"/>
        <v>0</v>
      </c>
      <c r="X119" s="26">
        <f t="shared" si="19"/>
        <v>0</v>
      </c>
      <c r="Y119" s="26">
        <f t="shared" si="20"/>
        <v>0</v>
      </c>
      <c r="Z119" s="26">
        <f t="shared" si="21"/>
        <v>0</v>
      </c>
      <c r="AA119" s="26">
        <f t="shared" si="22"/>
        <v>0</v>
      </c>
      <c r="AB119" s="26">
        <f t="shared" si="23"/>
        <v>0</v>
      </c>
      <c r="AC119" s="26" t="e">
        <f t="shared" si="8"/>
        <v>#DIV/0!</v>
      </c>
      <c r="AD119" s="26" t="e">
        <f t="shared" si="9"/>
        <v>#DIV/0!</v>
      </c>
      <c r="AE119" s="26" t="e">
        <f t="shared" si="10"/>
        <v>#DIV/0!</v>
      </c>
      <c r="AF119" s="26" t="e">
        <f t="shared" si="11"/>
        <v>#DIV/0!</v>
      </c>
      <c r="AG119" s="26" t="e">
        <f t="shared" si="12"/>
        <v>#DIV/0!</v>
      </c>
      <c r="AH119" s="26" t="e">
        <f t="shared" si="13"/>
        <v>#DIV/0!</v>
      </c>
      <c r="AI119" s="26" t="e">
        <f t="shared" si="14"/>
        <v>#DIV/0!</v>
      </c>
    </row>
    <row r="120" spans="1:35" ht="20.100000000000001" customHeight="1">
      <c r="A120" s="24">
        <v>0</v>
      </c>
      <c r="B120" s="26">
        <f>'INTERNAL TEST-1  '!B120</f>
        <v>0</v>
      </c>
      <c r="C120" s="89">
        <f>'INTERNAL TEST-1  '!C120</f>
        <v>0</v>
      </c>
      <c r="D120" s="24"/>
      <c r="E120" s="24"/>
      <c r="F120" s="24"/>
      <c r="G120" s="24"/>
      <c r="H120" s="24"/>
      <c r="I120" s="24"/>
      <c r="J120" s="24"/>
      <c r="K120" s="24"/>
      <c r="L120" s="24"/>
      <c r="M120" s="24"/>
      <c r="N120" s="24"/>
      <c r="O120" s="82"/>
      <c r="P120" s="82"/>
      <c r="Q120" s="24"/>
      <c r="R120" s="24"/>
      <c r="S120" s="24"/>
      <c r="T120" s="24"/>
      <c r="U120" s="26">
        <f t="shared" si="16"/>
        <v>0</v>
      </c>
      <c r="V120" s="26">
        <f t="shared" si="17"/>
        <v>0</v>
      </c>
      <c r="W120" s="26">
        <f t="shared" si="18"/>
        <v>0</v>
      </c>
      <c r="X120" s="26">
        <f t="shared" si="19"/>
        <v>0</v>
      </c>
      <c r="Y120" s="26">
        <f t="shared" si="20"/>
        <v>0</v>
      </c>
      <c r="Z120" s="26">
        <f t="shared" si="21"/>
        <v>0</v>
      </c>
      <c r="AA120" s="26">
        <f t="shared" si="22"/>
        <v>0</v>
      </c>
      <c r="AB120" s="26">
        <f t="shared" si="23"/>
        <v>0</v>
      </c>
      <c r="AC120" s="26" t="e">
        <f t="shared" si="8"/>
        <v>#DIV/0!</v>
      </c>
      <c r="AD120" s="26" t="e">
        <f t="shared" si="9"/>
        <v>#DIV/0!</v>
      </c>
      <c r="AE120" s="26" t="e">
        <f t="shared" si="10"/>
        <v>#DIV/0!</v>
      </c>
      <c r="AF120" s="26" t="e">
        <f t="shared" si="11"/>
        <v>#DIV/0!</v>
      </c>
      <c r="AG120" s="26" t="e">
        <f t="shared" si="12"/>
        <v>#DIV/0!</v>
      </c>
      <c r="AH120" s="26" t="e">
        <f t="shared" si="13"/>
        <v>#DIV/0!</v>
      </c>
      <c r="AI120" s="26" t="e">
        <f t="shared" si="14"/>
        <v>#DIV/0!</v>
      </c>
    </row>
    <row r="121" spans="1:35" ht="20.100000000000001" customHeight="1">
      <c r="A121" s="24">
        <v>0</v>
      </c>
      <c r="B121" s="26">
        <f>'INTERNAL TEST-1  '!B121</f>
        <v>0</v>
      </c>
      <c r="C121" s="89">
        <f>'INTERNAL TEST-1  '!C121</f>
        <v>0</v>
      </c>
      <c r="D121" s="24"/>
      <c r="E121" s="24"/>
      <c r="F121" s="24"/>
      <c r="G121" s="24"/>
      <c r="H121" s="24"/>
      <c r="I121" s="24"/>
      <c r="J121" s="24"/>
      <c r="K121" s="24"/>
      <c r="L121" s="24"/>
      <c r="M121" s="24"/>
      <c r="N121" s="24"/>
      <c r="O121" s="82"/>
      <c r="P121" s="82"/>
      <c r="Q121" s="24"/>
      <c r="R121" s="24"/>
      <c r="S121" s="24"/>
      <c r="T121" s="24"/>
      <c r="U121" s="26">
        <f t="shared" si="16"/>
        <v>0</v>
      </c>
      <c r="V121" s="26">
        <f t="shared" si="17"/>
        <v>0</v>
      </c>
      <c r="W121" s="26">
        <f t="shared" si="18"/>
        <v>0</v>
      </c>
      <c r="X121" s="26">
        <f t="shared" si="19"/>
        <v>0</v>
      </c>
      <c r="Y121" s="26">
        <f t="shared" si="20"/>
        <v>0</v>
      </c>
      <c r="Z121" s="26">
        <f t="shared" si="21"/>
        <v>0</v>
      </c>
      <c r="AA121" s="26">
        <f t="shared" si="22"/>
        <v>0</v>
      </c>
      <c r="AB121" s="26">
        <f t="shared" si="23"/>
        <v>0</v>
      </c>
      <c r="AC121" s="26" t="e">
        <f t="shared" si="8"/>
        <v>#DIV/0!</v>
      </c>
      <c r="AD121" s="26" t="e">
        <f t="shared" si="9"/>
        <v>#DIV/0!</v>
      </c>
      <c r="AE121" s="26" t="e">
        <f t="shared" si="10"/>
        <v>#DIV/0!</v>
      </c>
      <c r="AF121" s="26" t="e">
        <f t="shared" si="11"/>
        <v>#DIV/0!</v>
      </c>
      <c r="AG121" s="26" t="e">
        <f t="shared" si="12"/>
        <v>#DIV/0!</v>
      </c>
      <c r="AH121" s="26" t="e">
        <f t="shared" si="13"/>
        <v>#DIV/0!</v>
      </c>
      <c r="AI121" s="26" t="e">
        <f t="shared" si="14"/>
        <v>#DIV/0!</v>
      </c>
    </row>
    <row r="122" spans="1:35" ht="19.8" customHeight="1">
      <c r="A122" s="24">
        <v>0</v>
      </c>
      <c r="B122" s="26">
        <f>'INTERNAL TEST-1  '!B122</f>
        <v>0</v>
      </c>
      <c r="C122" s="89">
        <f>'INTERNAL TEST-1  '!C122</f>
        <v>0</v>
      </c>
      <c r="D122" s="24"/>
      <c r="E122" s="24"/>
      <c r="F122" s="24"/>
      <c r="G122" s="24"/>
      <c r="H122" s="24"/>
      <c r="I122" s="24"/>
      <c r="J122" s="24"/>
      <c r="K122" s="24"/>
      <c r="L122" s="24"/>
      <c r="M122" s="24"/>
      <c r="N122" s="24"/>
      <c r="O122" s="82"/>
      <c r="P122" s="82"/>
      <c r="Q122" s="24"/>
      <c r="R122" s="24"/>
      <c r="S122" s="24"/>
      <c r="T122" s="24"/>
      <c r="U122" s="26">
        <f t="shared" si="16"/>
        <v>0</v>
      </c>
      <c r="V122" s="26">
        <f t="shared" si="17"/>
        <v>0</v>
      </c>
      <c r="W122" s="26">
        <f t="shared" si="18"/>
        <v>0</v>
      </c>
      <c r="X122" s="26">
        <f t="shared" si="19"/>
        <v>0</v>
      </c>
      <c r="Y122" s="26">
        <f t="shared" si="20"/>
        <v>0</v>
      </c>
      <c r="Z122" s="26">
        <f t="shared" si="21"/>
        <v>0</v>
      </c>
      <c r="AA122" s="26">
        <f t="shared" si="22"/>
        <v>0</v>
      </c>
      <c r="AB122" s="26">
        <f t="shared" si="23"/>
        <v>0</v>
      </c>
      <c r="AC122" s="26" t="e">
        <f t="shared" si="8"/>
        <v>#DIV/0!</v>
      </c>
      <c r="AD122" s="26" t="e">
        <f t="shared" si="9"/>
        <v>#DIV/0!</v>
      </c>
      <c r="AE122" s="26" t="e">
        <f t="shared" si="10"/>
        <v>#DIV/0!</v>
      </c>
      <c r="AF122" s="26" t="e">
        <f t="shared" si="11"/>
        <v>#DIV/0!</v>
      </c>
      <c r="AG122" s="26" t="e">
        <f t="shared" si="12"/>
        <v>#DIV/0!</v>
      </c>
      <c r="AH122" s="26" t="e">
        <f t="shared" si="13"/>
        <v>#DIV/0!</v>
      </c>
      <c r="AI122" s="26" t="e">
        <f t="shared" si="14"/>
        <v>#DIV/0!</v>
      </c>
    </row>
    <row r="123" spans="1:35" ht="20.100000000000001" customHeight="1">
      <c r="A123" s="24">
        <v>0</v>
      </c>
      <c r="B123" s="26">
        <f>'INTERNAL TEST-1  '!B123</f>
        <v>0</v>
      </c>
      <c r="C123" s="89">
        <f>'INTERNAL TEST-1  '!C123</f>
        <v>0</v>
      </c>
      <c r="D123" s="24"/>
      <c r="E123" s="24"/>
      <c r="F123" s="24"/>
      <c r="G123" s="24"/>
      <c r="H123" s="24"/>
      <c r="I123" s="24"/>
      <c r="J123" s="24"/>
      <c r="K123" s="24"/>
      <c r="L123" s="24"/>
      <c r="M123" s="24"/>
      <c r="N123" s="24"/>
      <c r="O123" s="82"/>
      <c r="P123" s="82"/>
      <c r="Q123" s="24"/>
      <c r="R123" s="24"/>
      <c r="S123" s="24"/>
      <c r="T123" s="24"/>
      <c r="U123" s="26">
        <f t="shared" si="16"/>
        <v>0</v>
      </c>
      <c r="V123" s="26">
        <f t="shared" si="17"/>
        <v>0</v>
      </c>
      <c r="W123" s="26">
        <f t="shared" si="18"/>
        <v>0</v>
      </c>
      <c r="X123" s="26">
        <f t="shared" si="19"/>
        <v>0</v>
      </c>
      <c r="Y123" s="26">
        <f t="shared" si="20"/>
        <v>0</v>
      </c>
      <c r="Z123" s="26">
        <f t="shared" si="21"/>
        <v>0</v>
      </c>
      <c r="AA123" s="26">
        <f t="shared" si="22"/>
        <v>0</v>
      </c>
      <c r="AB123" s="26">
        <f t="shared" si="23"/>
        <v>0</v>
      </c>
      <c r="AC123" s="26" t="e">
        <f t="shared" si="8"/>
        <v>#DIV/0!</v>
      </c>
      <c r="AD123" s="26" t="e">
        <f t="shared" si="9"/>
        <v>#DIV/0!</v>
      </c>
      <c r="AE123" s="26" t="e">
        <f t="shared" si="10"/>
        <v>#DIV/0!</v>
      </c>
      <c r="AF123" s="26" t="e">
        <f t="shared" si="11"/>
        <v>#DIV/0!</v>
      </c>
      <c r="AG123" s="26" t="e">
        <f t="shared" si="12"/>
        <v>#DIV/0!</v>
      </c>
      <c r="AH123" s="26" t="e">
        <f t="shared" si="13"/>
        <v>#DIV/0!</v>
      </c>
      <c r="AI123" s="26" t="e">
        <f t="shared" si="14"/>
        <v>#DIV/0!</v>
      </c>
    </row>
    <row r="124" spans="1:35" ht="20.100000000000001" customHeight="1">
      <c r="A124" s="24">
        <v>0</v>
      </c>
      <c r="B124" s="26">
        <f>'INTERNAL TEST-1  '!B124</f>
        <v>0</v>
      </c>
      <c r="C124" s="89">
        <f>'INTERNAL TEST-1  '!C124</f>
        <v>0</v>
      </c>
      <c r="D124" s="24"/>
      <c r="E124" s="24"/>
      <c r="F124" s="24"/>
      <c r="G124" s="24"/>
      <c r="H124" s="24"/>
      <c r="I124" s="24"/>
      <c r="J124" s="24"/>
      <c r="K124" s="24"/>
      <c r="L124" s="24"/>
      <c r="M124" s="24"/>
      <c r="N124" s="24"/>
      <c r="O124" s="82"/>
      <c r="P124" s="82"/>
      <c r="Q124" s="24"/>
      <c r="R124" s="24"/>
      <c r="S124" s="24"/>
      <c r="T124" s="24"/>
      <c r="U124" s="26">
        <f t="shared" si="16"/>
        <v>0</v>
      </c>
      <c r="V124" s="26">
        <f t="shared" si="17"/>
        <v>0</v>
      </c>
      <c r="W124" s="26">
        <f t="shared" si="18"/>
        <v>0</v>
      </c>
      <c r="X124" s="26">
        <f t="shared" si="19"/>
        <v>0</v>
      </c>
      <c r="Y124" s="26">
        <f t="shared" si="20"/>
        <v>0</v>
      </c>
      <c r="Z124" s="26">
        <f t="shared" si="21"/>
        <v>0</v>
      </c>
      <c r="AA124" s="26">
        <f t="shared" si="22"/>
        <v>0</v>
      </c>
      <c r="AB124" s="26">
        <f t="shared" si="23"/>
        <v>0</v>
      </c>
      <c r="AC124" s="26" t="e">
        <f t="shared" si="8"/>
        <v>#DIV/0!</v>
      </c>
      <c r="AD124" s="26" t="e">
        <f t="shared" si="9"/>
        <v>#DIV/0!</v>
      </c>
      <c r="AE124" s="26" t="e">
        <f t="shared" si="10"/>
        <v>#DIV/0!</v>
      </c>
      <c r="AF124" s="26" t="e">
        <f t="shared" si="11"/>
        <v>#DIV/0!</v>
      </c>
      <c r="AG124" s="26" t="e">
        <f t="shared" si="12"/>
        <v>#DIV/0!</v>
      </c>
      <c r="AH124" s="26" t="e">
        <f t="shared" si="13"/>
        <v>#DIV/0!</v>
      </c>
      <c r="AI124" s="26" t="e">
        <f t="shared" si="14"/>
        <v>#DIV/0!</v>
      </c>
    </row>
    <row r="125" spans="1:35" ht="19.8" customHeight="1">
      <c r="A125" s="24">
        <v>0</v>
      </c>
      <c r="B125" s="26">
        <f>'INTERNAL TEST-1  '!B125</f>
        <v>0</v>
      </c>
      <c r="C125" s="89">
        <f>'INTERNAL TEST-1  '!C125</f>
        <v>0</v>
      </c>
      <c r="D125" s="24"/>
      <c r="E125" s="24"/>
      <c r="F125" s="24"/>
      <c r="G125" s="24"/>
      <c r="H125" s="24"/>
      <c r="I125" s="24"/>
      <c r="J125" s="24"/>
      <c r="K125" s="24"/>
      <c r="L125" s="24"/>
      <c r="M125" s="24"/>
      <c r="N125" s="24"/>
      <c r="O125" s="82"/>
      <c r="P125" s="82"/>
      <c r="Q125" s="24"/>
      <c r="R125" s="24"/>
      <c r="S125" s="24"/>
      <c r="T125" s="24"/>
      <c r="U125" s="26">
        <f t="shared" si="16"/>
        <v>0</v>
      </c>
      <c r="V125" s="26">
        <f t="shared" si="17"/>
        <v>0</v>
      </c>
      <c r="W125" s="26">
        <f t="shared" si="18"/>
        <v>0</v>
      </c>
      <c r="X125" s="26">
        <f t="shared" si="19"/>
        <v>0</v>
      </c>
      <c r="Y125" s="26">
        <f t="shared" si="20"/>
        <v>0</v>
      </c>
      <c r="Z125" s="26">
        <f t="shared" si="21"/>
        <v>0</v>
      </c>
      <c r="AA125" s="26">
        <f t="shared" si="22"/>
        <v>0</v>
      </c>
      <c r="AB125" s="26">
        <f t="shared" si="23"/>
        <v>0</v>
      </c>
      <c r="AC125" s="26" t="e">
        <f t="shared" si="8"/>
        <v>#DIV/0!</v>
      </c>
      <c r="AD125" s="26" t="e">
        <f t="shared" si="9"/>
        <v>#DIV/0!</v>
      </c>
      <c r="AE125" s="26" t="e">
        <f t="shared" si="10"/>
        <v>#DIV/0!</v>
      </c>
      <c r="AF125" s="26" t="e">
        <f t="shared" si="11"/>
        <v>#DIV/0!</v>
      </c>
      <c r="AG125" s="26" t="e">
        <f t="shared" si="12"/>
        <v>#DIV/0!</v>
      </c>
      <c r="AH125" s="26" t="e">
        <f t="shared" si="13"/>
        <v>#DIV/0!</v>
      </c>
      <c r="AI125" s="26" t="e">
        <f t="shared" si="14"/>
        <v>#DIV/0!</v>
      </c>
    </row>
    <row r="126" spans="1:35" ht="19.2" customHeight="1">
      <c r="A126" s="24">
        <v>0</v>
      </c>
      <c r="B126" s="26">
        <f>'INTERNAL TEST-1  '!B126</f>
        <v>0</v>
      </c>
      <c r="C126" s="89">
        <f>'INTERNAL TEST-1  '!C126</f>
        <v>0</v>
      </c>
      <c r="D126" s="24"/>
      <c r="E126" s="24"/>
      <c r="F126" s="24"/>
      <c r="G126" s="24"/>
      <c r="H126" s="24"/>
      <c r="I126" s="24"/>
      <c r="J126" s="24"/>
      <c r="K126" s="24"/>
      <c r="L126" s="24"/>
      <c r="M126" s="24"/>
      <c r="N126" s="24"/>
      <c r="O126" s="82"/>
      <c r="P126" s="82"/>
      <c r="Q126" s="24"/>
      <c r="R126" s="24"/>
      <c r="S126" s="24"/>
      <c r="T126" s="24"/>
      <c r="U126" s="26">
        <f t="shared" si="16"/>
        <v>0</v>
      </c>
      <c r="V126" s="26">
        <f t="shared" si="17"/>
        <v>0</v>
      </c>
      <c r="W126" s="26">
        <f t="shared" si="18"/>
        <v>0</v>
      </c>
      <c r="X126" s="26">
        <f t="shared" si="19"/>
        <v>0</v>
      </c>
      <c r="Y126" s="26">
        <f t="shared" si="20"/>
        <v>0</v>
      </c>
      <c r="Z126" s="26">
        <f t="shared" si="21"/>
        <v>0</v>
      </c>
      <c r="AA126" s="26">
        <f t="shared" si="22"/>
        <v>0</v>
      </c>
      <c r="AB126" s="26">
        <f t="shared" si="23"/>
        <v>0</v>
      </c>
      <c r="AC126" s="26" t="e">
        <f t="shared" si="8"/>
        <v>#DIV/0!</v>
      </c>
      <c r="AD126" s="26" t="e">
        <f t="shared" si="9"/>
        <v>#DIV/0!</v>
      </c>
      <c r="AE126" s="26" t="e">
        <f t="shared" si="10"/>
        <v>#DIV/0!</v>
      </c>
      <c r="AF126" s="26" t="e">
        <f t="shared" si="11"/>
        <v>#DIV/0!</v>
      </c>
      <c r="AG126" s="26" t="e">
        <f t="shared" si="12"/>
        <v>#DIV/0!</v>
      </c>
      <c r="AH126" s="26" t="e">
        <f t="shared" si="13"/>
        <v>#DIV/0!</v>
      </c>
      <c r="AI126" s="26" t="e">
        <f t="shared" si="14"/>
        <v>#DIV/0!</v>
      </c>
    </row>
    <row r="127" spans="1:35" ht="19.2" customHeight="1">
      <c r="A127" s="24">
        <v>0</v>
      </c>
      <c r="B127" s="26">
        <f>'INTERNAL TEST-1  '!B127</f>
        <v>0</v>
      </c>
      <c r="C127" s="89">
        <f>'INTERNAL TEST-1  '!C127</f>
        <v>0</v>
      </c>
      <c r="D127" s="24"/>
      <c r="E127" s="24"/>
      <c r="F127" s="24"/>
      <c r="G127" s="24"/>
      <c r="H127" s="24"/>
      <c r="I127" s="24"/>
      <c r="J127" s="24"/>
      <c r="K127" s="24"/>
      <c r="L127" s="24"/>
      <c r="M127" s="24"/>
      <c r="N127" s="24"/>
      <c r="O127" s="24"/>
      <c r="P127" s="24"/>
      <c r="Q127" s="24"/>
      <c r="R127" s="24"/>
      <c r="S127" s="24"/>
      <c r="T127" s="24"/>
      <c r="U127" s="26">
        <f t="shared" si="16"/>
        <v>0</v>
      </c>
      <c r="V127" s="26">
        <f t="shared" si="17"/>
        <v>0</v>
      </c>
      <c r="W127" s="26">
        <f t="shared" si="18"/>
        <v>0</v>
      </c>
      <c r="X127" s="26">
        <f t="shared" si="19"/>
        <v>0</v>
      </c>
      <c r="Y127" s="26">
        <f t="shared" si="20"/>
        <v>0</v>
      </c>
      <c r="Z127" s="26">
        <f t="shared" si="21"/>
        <v>0</v>
      </c>
      <c r="AA127" s="26">
        <f t="shared" si="22"/>
        <v>0</v>
      </c>
      <c r="AB127" s="26">
        <f t="shared" si="23"/>
        <v>0</v>
      </c>
      <c r="AC127" s="26" t="e">
        <f t="shared" si="8"/>
        <v>#DIV/0!</v>
      </c>
      <c r="AD127" s="26" t="e">
        <f t="shared" si="9"/>
        <v>#DIV/0!</v>
      </c>
      <c r="AE127" s="26" t="e">
        <f t="shared" si="10"/>
        <v>#DIV/0!</v>
      </c>
      <c r="AF127" s="26" t="e">
        <f t="shared" si="11"/>
        <v>#DIV/0!</v>
      </c>
      <c r="AG127" s="26" t="e">
        <f t="shared" si="12"/>
        <v>#DIV/0!</v>
      </c>
      <c r="AH127" s="26" t="e">
        <f t="shared" si="13"/>
        <v>#DIV/0!</v>
      </c>
      <c r="AI127" s="26" t="e">
        <f t="shared" si="14"/>
        <v>#DIV/0!</v>
      </c>
    </row>
    <row r="128" spans="1:35" ht="19.2" customHeight="1">
      <c r="A128" s="24">
        <v>0</v>
      </c>
      <c r="B128" s="26">
        <f>'INTERNAL TEST-1  '!B128</f>
        <v>0</v>
      </c>
      <c r="C128" s="89">
        <f>'INTERNAL TEST-1  '!C128</f>
        <v>0</v>
      </c>
      <c r="D128" s="24"/>
      <c r="E128" s="24"/>
      <c r="F128" s="24"/>
      <c r="G128" s="24"/>
      <c r="H128" s="24"/>
      <c r="I128" s="24"/>
      <c r="J128" s="24"/>
      <c r="K128" s="24"/>
      <c r="L128" s="24"/>
      <c r="M128" s="24"/>
      <c r="N128" s="24"/>
      <c r="O128" s="24"/>
      <c r="P128" s="24"/>
      <c r="Q128" s="24"/>
      <c r="R128" s="24"/>
      <c r="S128" s="24"/>
      <c r="T128" s="24"/>
      <c r="U128" s="26">
        <f t="shared" si="16"/>
        <v>0</v>
      </c>
      <c r="V128" s="26">
        <f t="shared" si="17"/>
        <v>0</v>
      </c>
      <c r="W128" s="26">
        <f t="shared" si="18"/>
        <v>0</v>
      </c>
      <c r="X128" s="26">
        <f t="shared" si="19"/>
        <v>0</v>
      </c>
      <c r="Y128" s="26">
        <f t="shared" si="20"/>
        <v>0</v>
      </c>
      <c r="Z128" s="26">
        <f t="shared" si="21"/>
        <v>0</v>
      </c>
      <c r="AA128" s="26">
        <f t="shared" si="22"/>
        <v>0</v>
      </c>
      <c r="AB128" s="26">
        <f t="shared" si="23"/>
        <v>0</v>
      </c>
      <c r="AC128" s="26" t="e">
        <f t="shared" si="8"/>
        <v>#DIV/0!</v>
      </c>
      <c r="AD128" s="26" t="e">
        <f t="shared" si="9"/>
        <v>#DIV/0!</v>
      </c>
      <c r="AE128" s="26" t="e">
        <f t="shared" si="10"/>
        <v>#DIV/0!</v>
      </c>
      <c r="AF128" s="26" t="e">
        <f t="shared" si="11"/>
        <v>#DIV/0!</v>
      </c>
      <c r="AG128" s="26" t="e">
        <f t="shared" si="12"/>
        <v>#DIV/0!</v>
      </c>
      <c r="AH128" s="26" t="e">
        <f t="shared" si="13"/>
        <v>#DIV/0!</v>
      </c>
      <c r="AI128" s="26" t="e">
        <f t="shared" si="14"/>
        <v>#DIV/0!</v>
      </c>
    </row>
    <row r="129" spans="1:35" ht="19.2" customHeight="1">
      <c r="A129" s="24">
        <v>0</v>
      </c>
      <c r="B129" s="26">
        <f>'INTERNAL TEST-1  '!B129</f>
        <v>0</v>
      </c>
      <c r="C129" s="89">
        <f>'INTERNAL TEST-1  '!C129</f>
        <v>0</v>
      </c>
      <c r="D129" s="24"/>
      <c r="E129" s="24"/>
      <c r="F129" s="24"/>
      <c r="G129" s="24"/>
      <c r="H129" s="24"/>
      <c r="I129" s="24"/>
      <c r="J129" s="24"/>
      <c r="K129" s="24"/>
      <c r="L129" s="24"/>
      <c r="M129" s="24"/>
      <c r="N129" s="24"/>
      <c r="O129" s="24"/>
      <c r="P129" s="24"/>
      <c r="Q129" s="24"/>
      <c r="R129" s="24"/>
      <c r="S129" s="24"/>
      <c r="T129" s="24"/>
      <c r="U129" s="26">
        <f t="shared" si="16"/>
        <v>0</v>
      </c>
      <c r="V129" s="26">
        <f t="shared" si="17"/>
        <v>0</v>
      </c>
      <c r="W129" s="26">
        <f t="shared" si="18"/>
        <v>0</v>
      </c>
      <c r="X129" s="26">
        <f t="shared" si="19"/>
        <v>0</v>
      </c>
      <c r="Y129" s="26">
        <f t="shared" si="20"/>
        <v>0</v>
      </c>
      <c r="Z129" s="26">
        <f t="shared" si="21"/>
        <v>0</v>
      </c>
      <c r="AA129" s="26">
        <f t="shared" si="22"/>
        <v>0</v>
      </c>
      <c r="AB129" s="26">
        <f t="shared" si="23"/>
        <v>0</v>
      </c>
      <c r="AC129" s="26" t="e">
        <f t="shared" si="8"/>
        <v>#DIV/0!</v>
      </c>
      <c r="AD129" s="26" t="e">
        <f t="shared" si="9"/>
        <v>#DIV/0!</v>
      </c>
      <c r="AE129" s="26" t="e">
        <f t="shared" si="10"/>
        <v>#DIV/0!</v>
      </c>
      <c r="AF129" s="26" t="e">
        <f t="shared" si="11"/>
        <v>#DIV/0!</v>
      </c>
      <c r="AG129" s="26" t="e">
        <f t="shared" si="12"/>
        <v>#DIV/0!</v>
      </c>
      <c r="AH129" s="26" t="e">
        <f t="shared" si="13"/>
        <v>#DIV/0!</v>
      </c>
      <c r="AI129" s="26" t="e">
        <f t="shared" si="14"/>
        <v>#DIV/0!</v>
      </c>
    </row>
    <row r="130" spans="1:35" ht="19.2" customHeight="1">
      <c r="A130" s="24">
        <v>0</v>
      </c>
      <c r="B130" s="26">
        <f>'INTERNAL TEST-1  '!B130</f>
        <v>0</v>
      </c>
      <c r="C130" s="89">
        <f>'INTERNAL TEST-1  '!C130</f>
        <v>0</v>
      </c>
      <c r="D130" s="24"/>
      <c r="E130" s="24"/>
      <c r="F130" s="24"/>
      <c r="G130" s="24"/>
      <c r="H130" s="24"/>
      <c r="I130" s="24"/>
      <c r="J130" s="24"/>
      <c r="K130" s="24"/>
      <c r="L130" s="24"/>
      <c r="M130" s="24"/>
      <c r="N130" s="24"/>
      <c r="O130" s="24"/>
      <c r="P130" s="24"/>
      <c r="Q130" s="24"/>
      <c r="R130" s="24"/>
      <c r="S130" s="24"/>
      <c r="T130" s="24"/>
      <c r="U130" s="26">
        <f t="shared" si="16"/>
        <v>0</v>
      </c>
      <c r="V130" s="26">
        <f t="shared" si="17"/>
        <v>0</v>
      </c>
      <c r="W130" s="26">
        <f t="shared" si="18"/>
        <v>0</v>
      </c>
      <c r="X130" s="26">
        <f t="shared" si="19"/>
        <v>0</v>
      </c>
      <c r="Y130" s="26">
        <f t="shared" si="20"/>
        <v>0</v>
      </c>
      <c r="Z130" s="26">
        <f t="shared" si="21"/>
        <v>0</v>
      </c>
      <c r="AA130" s="26">
        <f t="shared" si="22"/>
        <v>0</v>
      </c>
      <c r="AB130" s="26">
        <f t="shared" si="23"/>
        <v>0</v>
      </c>
      <c r="AC130" s="26" t="e">
        <f t="shared" si="8"/>
        <v>#DIV/0!</v>
      </c>
      <c r="AD130" s="26" t="e">
        <f t="shared" si="9"/>
        <v>#DIV/0!</v>
      </c>
      <c r="AE130" s="26" t="e">
        <f t="shared" si="10"/>
        <v>#DIV/0!</v>
      </c>
      <c r="AF130" s="26" t="e">
        <f t="shared" si="11"/>
        <v>#DIV/0!</v>
      </c>
      <c r="AG130" s="26" t="e">
        <f t="shared" si="12"/>
        <v>#DIV/0!</v>
      </c>
      <c r="AH130" s="26" t="e">
        <f t="shared" si="13"/>
        <v>#DIV/0!</v>
      </c>
      <c r="AI130" s="26" t="e">
        <f t="shared" si="14"/>
        <v>#DIV/0!</v>
      </c>
    </row>
    <row r="131" spans="1:35" ht="19.2" customHeight="1">
      <c r="A131" s="24">
        <v>0</v>
      </c>
      <c r="B131" s="26">
        <f>'INTERNAL TEST-1  '!B131</f>
        <v>0</v>
      </c>
      <c r="C131" s="89">
        <f>'INTERNAL TEST-1  '!C131</f>
        <v>0</v>
      </c>
      <c r="D131" s="24"/>
      <c r="E131" s="24"/>
      <c r="F131" s="24"/>
      <c r="G131" s="24"/>
      <c r="H131" s="24"/>
      <c r="I131" s="24"/>
      <c r="J131" s="24"/>
      <c r="K131" s="24"/>
      <c r="L131" s="24"/>
      <c r="M131" s="24"/>
      <c r="N131" s="24"/>
      <c r="O131" s="24"/>
      <c r="P131" s="24"/>
      <c r="Q131" s="24"/>
      <c r="R131" s="24"/>
      <c r="S131" s="24"/>
      <c r="T131" s="24"/>
      <c r="U131" s="26">
        <f t="shared" si="16"/>
        <v>0</v>
      </c>
      <c r="V131" s="26">
        <f t="shared" si="17"/>
        <v>0</v>
      </c>
      <c r="W131" s="26">
        <f t="shared" si="18"/>
        <v>0</v>
      </c>
      <c r="X131" s="26">
        <f t="shared" si="19"/>
        <v>0</v>
      </c>
      <c r="Y131" s="26">
        <f t="shared" si="20"/>
        <v>0</v>
      </c>
      <c r="Z131" s="26">
        <f t="shared" si="21"/>
        <v>0</v>
      </c>
      <c r="AA131" s="26">
        <f t="shared" si="22"/>
        <v>0</v>
      </c>
      <c r="AB131" s="26">
        <f t="shared" si="23"/>
        <v>0</v>
      </c>
      <c r="AC131" s="26" t="e">
        <f t="shared" si="8"/>
        <v>#DIV/0!</v>
      </c>
      <c r="AD131" s="26" t="e">
        <f t="shared" si="9"/>
        <v>#DIV/0!</v>
      </c>
      <c r="AE131" s="26" t="e">
        <f t="shared" si="10"/>
        <v>#DIV/0!</v>
      </c>
      <c r="AF131" s="26" t="e">
        <f t="shared" si="11"/>
        <v>#DIV/0!</v>
      </c>
      <c r="AG131" s="26" t="e">
        <f t="shared" si="12"/>
        <v>#DIV/0!</v>
      </c>
      <c r="AH131" s="26" t="e">
        <f t="shared" si="13"/>
        <v>#DIV/0!</v>
      </c>
      <c r="AI131" s="26" t="e">
        <f t="shared" si="14"/>
        <v>#DIV/0!</v>
      </c>
    </row>
    <row r="132" spans="1:35" ht="19.2" customHeight="1">
      <c r="A132" s="24">
        <v>0</v>
      </c>
      <c r="B132" s="26">
        <f>'INTERNAL TEST-1  '!B132</f>
        <v>0</v>
      </c>
      <c r="C132" s="89">
        <f>'INTERNAL TEST-1  '!C132</f>
        <v>0</v>
      </c>
      <c r="D132" s="24"/>
      <c r="E132" s="24"/>
      <c r="F132" s="24"/>
      <c r="G132" s="24"/>
      <c r="H132" s="24"/>
      <c r="I132" s="24"/>
      <c r="J132" s="24"/>
      <c r="K132" s="24"/>
      <c r="L132" s="24"/>
      <c r="M132" s="24"/>
      <c r="N132" s="24"/>
      <c r="O132" s="24"/>
      <c r="P132" s="24"/>
      <c r="Q132" s="24"/>
      <c r="R132" s="24"/>
      <c r="S132" s="24"/>
      <c r="T132" s="24"/>
      <c r="U132" s="26">
        <f t="shared" si="16"/>
        <v>0</v>
      </c>
      <c r="V132" s="26">
        <f t="shared" si="17"/>
        <v>0</v>
      </c>
      <c r="W132" s="26">
        <f t="shared" si="18"/>
        <v>0</v>
      </c>
      <c r="X132" s="26">
        <f t="shared" si="19"/>
        <v>0</v>
      </c>
      <c r="Y132" s="26">
        <f t="shared" si="20"/>
        <v>0</v>
      </c>
      <c r="Z132" s="26">
        <f t="shared" si="21"/>
        <v>0</v>
      </c>
      <c r="AA132" s="26">
        <f t="shared" si="22"/>
        <v>0</v>
      </c>
      <c r="AB132" s="26">
        <f t="shared" si="23"/>
        <v>0</v>
      </c>
      <c r="AC132" s="26" t="e">
        <f t="shared" si="8"/>
        <v>#DIV/0!</v>
      </c>
      <c r="AD132" s="26" t="e">
        <f t="shared" si="9"/>
        <v>#DIV/0!</v>
      </c>
      <c r="AE132" s="26" t="e">
        <f t="shared" si="10"/>
        <v>#DIV/0!</v>
      </c>
      <c r="AF132" s="26" t="e">
        <f t="shared" si="11"/>
        <v>#DIV/0!</v>
      </c>
      <c r="AG132" s="26" t="e">
        <f t="shared" si="12"/>
        <v>#DIV/0!</v>
      </c>
      <c r="AH132" s="26" t="e">
        <f t="shared" si="13"/>
        <v>#DIV/0!</v>
      </c>
      <c r="AI132" s="26" t="e">
        <f t="shared" si="14"/>
        <v>#DIV/0!</v>
      </c>
    </row>
    <row r="133" spans="1:35" ht="19.2" customHeight="1">
      <c r="A133" s="24">
        <v>0</v>
      </c>
      <c r="B133" s="26">
        <f>'INTERNAL TEST-1  '!B133</f>
        <v>0</v>
      </c>
      <c r="C133" s="89">
        <f>'INTERNAL TEST-1  '!C133</f>
        <v>0</v>
      </c>
      <c r="D133" s="24"/>
      <c r="E133" s="24"/>
      <c r="F133" s="24"/>
      <c r="G133" s="24"/>
      <c r="H133" s="24"/>
      <c r="I133" s="24"/>
      <c r="J133" s="24"/>
      <c r="K133" s="24"/>
      <c r="L133" s="24"/>
      <c r="M133" s="24"/>
      <c r="N133" s="24"/>
      <c r="O133" s="24"/>
      <c r="P133" s="24"/>
      <c r="Q133" s="24"/>
      <c r="R133" s="24"/>
      <c r="S133" s="24"/>
      <c r="T133" s="24"/>
      <c r="U133" s="26">
        <f t="shared" si="16"/>
        <v>0</v>
      </c>
      <c r="V133" s="26">
        <f t="shared" si="17"/>
        <v>0</v>
      </c>
      <c r="W133" s="26">
        <f t="shared" si="18"/>
        <v>0</v>
      </c>
      <c r="X133" s="26">
        <f t="shared" si="19"/>
        <v>0</v>
      </c>
      <c r="Y133" s="26">
        <f t="shared" si="20"/>
        <v>0</v>
      </c>
      <c r="Z133" s="26">
        <f t="shared" si="21"/>
        <v>0</v>
      </c>
      <c r="AA133" s="26">
        <f t="shared" si="22"/>
        <v>0</v>
      </c>
      <c r="AB133" s="26">
        <f t="shared" si="23"/>
        <v>0</v>
      </c>
      <c r="AC133" s="26" t="e">
        <f t="shared" si="8"/>
        <v>#DIV/0!</v>
      </c>
      <c r="AD133" s="26" t="e">
        <f t="shared" si="9"/>
        <v>#DIV/0!</v>
      </c>
      <c r="AE133" s="26" t="e">
        <f t="shared" si="10"/>
        <v>#DIV/0!</v>
      </c>
      <c r="AF133" s="26" t="e">
        <f t="shared" si="11"/>
        <v>#DIV/0!</v>
      </c>
      <c r="AG133" s="26" t="e">
        <f t="shared" si="12"/>
        <v>#DIV/0!</v>
      </c>
      <c r="AH133" s="26" t="e">
        <f t="shared" si="13"/>
        <v>#DIV/0!</v>
      </c>
      <c r="AI133" s="26" t="e">
        <f t="shared" si="14"/>
        <v>#DIV/0!</v>
      </c>
    </row>
    <row r="134" spans="1:35" ht="19.2" customHeight="1">
      <c r="A134" s="24">
        <v>0</v>
      </c>
      <c r="B134" s="26">
        <f>'INTERNAL TEST-1  '!B134</f>
        <v>0</v>
      </c>
      <c r="C134" s="89">
        <f>'INTERNAL TEST-1  '!C134</f>
        <v>0</v>
      </c>
      <c r="D134" s="24"/>
      <c r="E134" s="24"/>
      <c r="F134" s="24"/>
      <c r="G134" s="24"/>
      <c r="H134" s="24"/>
      <c r="I134" s="24"/>
      <c r="J134" s="24"/>
      <c r="K134" s="24"/>
      <c r="L134" s="24"/>
      <c r="M134" s="24"/>
      <c r="N134" s="24"/>
      <c r="O134" s="24"/>
      <c r="P134" s="24"/>
      <c r="Q134" s="24"/>
      <c r="R134" s="24"/>
      <c r="S134" s="24"/>
      <c r="T134" s="24"/>
      <c r="U134" s="26">
        <f t="shared" si="16"/>
        <v>0</v>
      </c>
      <c r="V134" s="26">
        <f t="shared" si="17"/>
        <v>0</v>
      </c>
      <c r="W134" s="26">
        <f t="shared" si="18"/>
        <v>0</v>
      </c>
      <c r="X134" s="26">
        <f t="shared" si="19"/>
        <v>0</v>
      </c>
      <c r="Y134" s="26">
        <f t="shared" si="20"/>
        <v>0</v>
      </c>
      <c r="Z134" s="26">
        <f t="shared" si="21"/>
        <v>0</v>
      </c>
      <c r="AA134" s="26">
        <f t="shared" si="22"/>
        <v>0</v>
      </c>
      <c r="AB134" s="26">
        <f t="shared" si="23"/>
        <v>0</v>
      </c>
      <c r="AC134" s="26" t="e">
        <f t="shared" si="8"/>
        <v>#DIV/0!</v>
      </c>
      <c r="AD134" s="26" t="e">
        <f t="shared" si="9"/>
        <v>#DIV/0!</v>
      </c>
      <c r="AE134" s="26" t="e">
        <f t="shared" si="10"/>
        <v>#DIV/0!</v>
      </c>
      <c r="AF134" s="26" t="e">
        <f t="shared" si="11"/>
        <v>#DIV/0!</v>
      </c>
      <c r="AG134" s="26" t="e">
        <f t="shared" si="12"/>
        <v>#DIV/0!</v>
      </c>
      <c r="AH134" s="26" t="e">
        <f t="shared" si="13"/>
        <v>#DIV/0!</v>
      </c>
      <c r="AI134" s="26" t="e">
        <f t="shared" si="14"/>
        <v>#DIV/0!</v>
      </c>
    </row>
    <row r="135" spans="1:35" ht="19.2" customHeight="1">
      <c r="A135" s="24">
        <v>0</v>
      </c>
      <c r="B135" s="26">
        <f>'INTERNAL TEST-1  '!B135</f>
        <v>0</v>
      </c>
      <c r="C135" s="89">
        <f>'INTERNAL TEST-1  '!C135</f>
        <v>0</v>
      </c>
      <c r="D135" s="24"/>
      <c r="E135" s="24"/>
      <c r="F135" s="24"/>
      <c r="G135" s="24"/>
      <c r="H135" s="24"/>
      <c r="I135" s="24"/>
      <c r="J135" s="24"/>
      <c r="K135" s="24"/>
      <c r="L135" s="24"/>
      <c r="M135" s="24"/>
      <c r="N135" s="24"/>
      <c r="O135" s="24"/>
      <c r="P135" s="24"/>
      <c r="Q135" s="24"/>
      <c r="R135" s="24"/>
      <c r="S135" s="24"/>
      <c r="T135" s="24"/>
      <c r="U135" s="26">
        <f t="shared" si="16"/>
        <v>0</v>
      </c>
      <c r="V135" s="26">
        <f t="shared" si="17"/>
        <v>0</v>
      </c>
      <c r="W135" s="26">
        <f t="shared" si="18"/>
        <v>0</v>
      </c>
      <c r="X135" s="26">
        <f t="shared" si="19"/>
        <v>0</v>
      </c>
      <c r="Y135" s="26">
        <f t="shared" si="20"/>
        <v>0</v>
      </c>
      <c r="Z135" s="26">
        <f t="shared" si="21"/>
        <v>0</v>
      </c>
      <c r="AA135" s="26">
        <f t="shared" si="22"/>
        <v>0</v>
      </c>
      <c r="AB135" s="26">
        <f t="shared" si="23"/>
        <v>0</v>
      </c>
      <c r="AC135" s="26" t="e">
        <f t="shared" si="8"/>
        <v>#DIV/0!</v>
      </c>
      <c r="AD135" s="26" t="e">
        <f t="shared" si="9"/>
        <v>#DIV/0!</v>
      </c>
      <c r="AE135" s="26" t="e">
        <f t="shared" si="10"/>
        <v>#DIV/0!</v>
      </c>
      <c r="AF135" s="26" t="e">
        <f t="shared" si="11"/>
        <v>#DIV/0!</v>
      </c>
      <c r="AG135" s="26" t="e">
        <f t="shared" si="12"/>
        <v>#DIV/0!</v>
      </c>
      <c r="AH135" s="26" t="e">
        <f t="shared" si="13"/>
        <v>#DIV/0!</v>
      </c>
      <c r="AI135" s="26" t="e">
        <f t="shared" si="14"/>
        <v>#DIV/0!</v>
      </c>
    </row>
    <row r="136" spans="1:35" ht="19.2" customHeight="1">
      <c r="A136" s="24">
        <v>0</v>
      </c>
      <c r="B136" s="26">
        <f>'INTERNAL TEST-1  '!B136</f>
        <v>0</v>
      </c>
      <c r="C136" s="89">
        <f>'INTERNAL TEST-1  '!C136</f>
        <v>0</v>
      </c>
      <c r="D136" s="24"/>
      <c r="E136" s="24"/>
      <c r="F136" s="24"/>
      <c r="G136" s="24"/>
      <c r="H136" s="24"/>
      <c r="I136" s="24"/>
      <c r="J136" s="24"/>
      <c r="K136" s="24"/>
      <c r="L136" s="24"/>
      <c r="M136" s="24"/>
      <c r="N136" s="24"/>
      <c r="O136" s="24"/>
      <c r="P136" s="24"/>
      <c r="Q136" s="24"/>
      <c r="R136" s="24"/>
      <c r="S136" s="24"/>
      <c r="T136" s="24"/>
      <c r="U136" s="26">
        <f t="shared" si="16"/>
        <v>0</v>
      </c>
      <c r="V136" s="26">
        <f t="shared" si="17"/>
        <v>0</v>
      </c>
      <c r="W136" s="26">
        <f t="shared" si="18"/>
        <v>0</v>
      </c>
      <c r="X136" s="26">
        <f t="shared" si="19"/>
        <v>0</v>
      </c>
      <c r="Y136" s="26">
        <f t="shared" si="20"/>
        <v>0</v>
      </c>
      <c r="Z136" s="26">
        <f t="shared" si="21"/>
        <v>0</v>
      </c>
      <c r="AA136" s="26">
        <f t="shared" si="22"/>
        <v>0</v>
      </c>
      <c r="AB136" s="26">
        <f t="shared" si="23"/>
        <v>0</v>
      </c>
      <c r="AC136" s="26" t="e">
        <f t="shared" si="8"/>
        <v>#DIV/0!</v>
      </c>
      <c r="AD136" s="26" t="e">
        <f t="shared" si="9"/>
        <v>#DIV/0!</v>
      </c>
      <c r="AE136" s="26" t="e">
        <f t="shared" si="10"/>
        <v>#DIV/0!</v>
      </c>
      <c r="AF136" s="26" t="e">
        <f t="shared" si="11"/>
        <v>#DIV/0!</v>
      </c>
      <c r="AG136" s="26" t="e">
        <f t="shared" si="12"/>
        <v>#DIV/0!</v>
      </c>
      <c r="AH136" s="26" t="e">
        <f t="shared" si="13"/>
        <v>#DIV/0!</v>
      </c>
      <c r="AI136" s="26" t="e">
        <f t="shared" si="14"/>
        <v>#DIV/0!</v>
      </c>
    </row>
    <row r="137" spans="1:35" ht="19.2" customHeight="1">
      <c r="A137" s="24">
        <v>0</v>
      </c>
      <c r="B137" s="26">
        <f>'INTERNAL TEST-1  '!B137</f>
        <v>0</v>
      </c>
      <c r="C137" s="89">
        <f>'INTERNAL TEST-1  '!C137</f>
        <v>0</v>
      </c>
      <c r="D137" s="24"/>
      <c r="E137" s="24"/>
      <c r="F137" s="24"/>
      <c r="G137" s="24"/>
      <c r="H137" s="24"/>
      <c r="I137" s="24"/>
      <c r="J137" s="24"/>
      <c r="K137" s="24"/>
      <c r="L137" s="24"/>
      <c r="M137" s="24"/>
      <c r="N137" s="24"/>
      <c r="O137" s="24"/>
      <c r="P137" s="24"/>
      <c r="Q137" s="24"/>
      <c r="R137" s="24"/>
      <c r="S137" s="24"/>
      <c r="T137" s="24"/>
      <c r="U137" s="26">
        <f t="shared" si="16"/>
        <v>0</v>
      </c>
      <c r="V137" s="26">
        <f t="shared" si="17"/>
        <v>0</v>
      </c>
      <c r="W137" s="26">
        <f t="shared" si="18"/>
        <v>0</v>
      </c>
      <c r="X137" s="26">
        <f t="shared" si="19"/>
        <v>0</v>
      </c>
      <c r="Y137" s="26">
        <f t="shared" si="20"/>
        <v>0</v>
      </c>
      <c r="Z137" s="26">
        <f t="shared" si="21"/>
        <v>0</v>
      </c>
      <c r="AA137" s="26">
        <f t="shared" si="22"/>
        <v>0</v>
      </c>
      <c r="AB137" s="26">
        <f t="shared" si="23"/>
        <v>0</v>
      </c>
      <c r="AC137" s="26" t="e">
        <f t="shared" si="8"/>
        <v>#DIV/0!</v>
      </c>
      <c r="AD137" s="26" t="e">
        <f t="shared" si="9"/>
        <v>#DIV/0!</v>
      </c>
      <c r="AE137" s="26" t="e">
        <f t="shared" si="10"/>
        <v>#DIV/0!</v>
      </c>
      <c r="AF137" s="26" t="e">
        <f t="shared" si="11"/>
        <v>#DIV/0!</v>
      </c>
      <c r="AG137" s="26" t="e">
        <f t="shared" si="12"/>
        <v>#DIV/0!</v>
      </c>
      <c r="AH137" s="26" t="e">
        <f t="shared" si="13"/>
        <v>#DIV/0!</v>
      </c>
      <c r="AI137" s="26" t="e">
        <f t="shared" si="14"/>
        <v>#DIV/0!</v>
      </c>
    </row>
    <row r="138" spans="1:35" ht="19.2" customHeight="1">
      <c r="A138" s="24">
        <v>0</v>
      </c>
      <c r="B138" s="26">
        <f>'INTERNAL TEST-1  '!B138</f>
        <v>0</v>
      </c>
      <c r="C138" s="89">
        <f>'INTERNAL TEST-1  '!C138</f>
        <v>0</v>
      </c>
      <c r="D138" s="24"/>
      <c r="E138" s="24"/>
      <c r="F138" s="24"/>
      <c r="G138" s="24"/>
      <c r="H138" s="24"/>
      <c r="I138" s="24"/>
      <c r="J138" s="24"/>
      <c r="K138" s="24"/>
      <c r="L138" s="24"/>
      <c r="M138" s="24"/>
      <c r="N138" s="24"/>
      <c r="O138" s="24"/>
      <c r="P138" s="24"/>
      <c r="Q138" s="24"/>
      <c r="R138" s="24"/>
      <c r="S138" s="24"/>
      <c r="T138" s="24"/>
      <c r="U138" s="26">
        <f t="shared" si="16"/>
        <v>0</v>
      </c>
      <c r="V138" s="26">
        <f t="shared" si="17"/>
        <v>0</v>
      </c>
      <c r="W138" s="26">
        <f t="shared" si="18"/>
        <v>0</v>
      </c>
      <c r="X138" s="26">
        <f t="shared" si="19"/>
        <v>0</v>
      </c>
      <c r="Y138" s="26">
        <f t="shared" si="20"/>
        <v>0</v>
      </c>
      <c r="Z138" s="26">
        <f t="shared" si="21"/>
        <v>0</v>
      </c>
      <c r="AA138" s="26">
        <f t="shared" si="22"/>
        <v>0</v>
      </c>
      <c r="AB138" s="26">
        <f t="shared" si="23"/>
        <v>0</v>
      </c>
      <c r="AC138" s="26" t="e">
        <f t="shared" si="8"/>
        <v>#DIV/0!</v>
      </c>
      <c r="AD138" s="26" t="e">
        <f t="shared" si="9"/>
        <v>#DIV/0!</v>
      </c>
      <c r="AE138" s="26" t="e">
        <f t="shared" si="10"/>
        <v>#DIV/0!</v>
      </c>
      <c r="AF138" s="26" t="e">
        <f t="shared" si="11"/>
        <v>#DIV/0!</v>
      </c>
      <c r="AG138" s="26" t="e">
        <f t="shared" si="12"/>
        <v>#DIV/0!</v>
      </c>
      <c r="AH138" s="26" t="e">
        <f t="shared" si="13"/>
        <v>#DIV/0!</v>
      </c>
      <c r="AI138" s="26" t="e">
        <f t="shared" si="14"/>
        <v>#DIV/0!</v>
      </c>
    </row>
    <row r="139" spans="1:35" ht="19.2" customHeight="1">
      <c r="A139" s="24">
        <v>0</v>
      </c>
      <c r="B139" s="26">
        <f>'INTERNAL TEST-1  '!B139</f>
        <v>0</v>
      </c>
      <c r="C139" s="89">
        <f>'INTERNAL TEST-1  '!C139</f>
        <v>0</v>
      </c>
      <c r="D139" s="24"/>
      <c r="E139" s="24"/>
      <c r="F139" s="24"/>
      <c r="G139" s="24"/>
      <c r="H139" s="24"/>
      <c r="I139" s="24"/>
      <c r="J139" s="24"/>
      <c r="K139" s="24"/>
      <c r="L139" s="24"/>
      <c r="M139" s="24"/>
      <c r="N139" s="24"/>
      <c r="O139" s="24"/>
      <c r="P139" s="24"/>
      <c r="Q139" s="24"/>
      <c r="R139" s="24"/>
      <c r="S139" s="24"/>
      <c r="T139" s="24"/>
      <c r="U139" s="26">
        <f>SUM(D139:T139)</f>
        <v>0</v>
      </c>
      <c r="V139" s="26">
        <f t="shared" si="17"/>
        <v>0</v>
      </c>
      <c r="W139" s="26">
        <f t="shared" si="18"/>
        <v>0</v>
      </c>
      <c r="X139" s="26">
        <f t="shared" si="19"/>
        <v>0</v>
      </c>
      <c r="Y139" s="26">
        <f t="shared" si="20"/>
        <v>0</v>
      </c>
      <c r="Z139" s="26">
        <f t="shared" si="21"/>
        <v>0</v>
      </c>
      <c r="AA139" s="26">
        <f t="shared" si="22"/>
        <v>0</v>
      </c>
      <c r="AB139" s="26">
        <f t="shared" si="23"/>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6" t="e">
        <f>ROUND(X139/(IF($D$12="CO3",$D$13,0)+IF($E$12="CO3",$E$13,0)+IF($F$12="CO3",$F$13,0)+IF($G$12="CO3",$G$13,0)+IF($H$12="CO3",$H$13,0)+IF($I$12="CO3",$I$13,0)+IF($J$12="CO3",$J$13,0)+IF($K$12="CO3",$K$13,0)+IF($L$12="CO3",$L$13,0)+IF($M$12="CO3",$M$13,0)+IF($N$12="CO3",$N$13,0)+IF($O$12="CO3",$O$13,0)+IF($P$12="CO3",$P$13,0)+IF($Q$12="CO3",$Q$13,0)+IF($R$12="CO3",$R$13,0)+IF($S$12="CO3",$S$13,0)+IF($T$12="CO3",$T$13,0))*100,2)</f>
        <v>#DIV/0!</v>
      </c>
      <c r="AF139" s="26" t="e">
        <f>ROUND(Y139/(IF($D$12="CO4",$D$13,0)+IF($E$12="CO4",$E$13,0)+IF($F$12="CO4",$F$13,0)+IF($G$12="CO4",$G$13,0)+IF($H$12="CO4",$H$13,0)+IF($I$12="CO4",$I$13,0)+IF($J$12="CO4",$J$13,0)+IF($K$12="CO4",$K$13,0)+IF($L$12="CO4",$L$13,0)+IF($M$12="CO4",$M$13,0)+IF($N$12="CO4",$N$13,0)+IF($O$12="CO4",$O$13,0)+IF($P$12="CO4",$P$13,0)+IF($Q$12="CO4",$Q$13,0)+IF($R$12="CO4",$R$13,0)+IF($S$12="CO4",$S$13,0)+IF($T$12="CO4",$T$13,0))*100,2)</f>
        <v>#DIV/0!</v>
      </c>
      <c r="AG139" s="26" t="e">
        <f>ROUND(Z139/(IF($D$12="CO5",$D$13,0)+IF($E$12="CO5",$E$13,0)+IF($F$12="CO5",$F$13,0)+IF($G$12="CO5",$G$13,0)+IF($H$12="CO5",$H$13,0)+IF($I$12="CO5",$I$13,0)+IF($J$12="CO5",$J$13,0)+IF($K$12="CO5",$K$13,0)+IF($L$12="CO5",$L$13,0)+IF($M$12="CO5",$M$13,0)+IF($N$12="CO5",$N$13,0)+IF($O$12="CO5",$O$13,0)+IF($P$12="CO5",$P$13,0)+IF($Q$12="CO5",$Q$13,0)+IF($R$12="CO5",$R$13,0)+IF($S$12="CO5",$S$13,0)+IF($T$12="CO5",$T$13,0))*100,2)</f>
        <v>#DIV/0!</v>
      </c>
      <c r="AH139" s="26" t="e">
        <f>ROUND(AA139/(IF($D$12="CO6",$D$13,0)+IF($E$12="CO6",$E$13,0)+IF($F$12="CO6",$F$13,0)+IF($G$12="CO6",$G$13,0)+IF($H$12="CO6",$H$13,0)+IF($I$12="CO6",$I$13,0)+IF($J$12="CO6",$J$13,0)+IF($K$12="CO6",$K$13,0)+IF($L$12="CO6",$L$13,0)+IF($M$12="CO6",$M$13,0)+IF($N$12="CO6",$N$13,0)+IF($O$12="CO6",$O$13,0)+IF($P$12="CO6",$P$13,0)+IF($Q$12="CO6",$Q$13,0)+IF($R$12="CO6",$R$13,0)+IF($S$12="CO6",$S$13,0)+IF($T$12="CO6",$T$13,0))*100,2)</f>
        <v>#DIV/0!</v>
      </c>
      <c r="AI139" s="26" t="e">
        <f>ROUND(AB139/(IF($D$12="CO7",$D$13,0)+IF($E$12="CO7",$E$13,0)+IF($F$12="CO7",$F$13,0)+IF($G$12="CO7",$G$13,0)+IF($H$12="CO7",$H$13,0)+IF($I$12="CO7",$I$13,0)+IF($J$12="CO7",$J$13,0)+IF($K$12="CO7",$K$13,0)+IF($L$12="CO7",$L$13,0)+IF($M$12="CO7",$M$13,0)+IF($N$12="CO7",$N$13,0)+IF($O$12="CO7",$O$13,0)+IF($P$12="CO7",$P$13,0)+IF($Q$12="CO7",$Q$13,0)+IF($R$12="CO7",$R$13,0)+IF($S$12="CO7",$S$13,0)+IF($T$12="CO7",$T$13,0))*100,2)</f>
        <v>#DIV/0!</v>
      </c>
    </row>
    <row r="140" spans="1:35" ht="19.2" customHeigh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7" t="e">
        <f>ROUND(SUM(AE14:AE139)/INPUT!$B$8,2)</f>
        <v>#DIV/0!</v>
      </c>
      <c r="AF140" s="27" t="e">
        <f>ROUND(SUM(AF14:AF139)/INPUT!$B$8,2)</f>
        <v>#DIV/0!</v>
      </c>
      <c r="AG140" s="27" t="e">
        <f>ROUND(SUM(AG14:AG139)/INPUT!$B$8,2)</f>
        <v>#DIV/0!</v>
      </c>
      <c r="AH140" s="27" t="e">
        <f>ROUND(SUM(AH14:AH139)/INPUT!$B$8,2)</f>
        <v>#DIV/0!</v>
      </c>
      <c r="AI140" s="27"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7">
        <f>INPUT!E14</f>
        <v>50</v>
      </c>
      <c r="AF141" s="27">
        <f>INPUT!E15</f>
        <v>50</v>
      </c>
      <c r="AG141" s="27">
        <f>INPUT!E16</f>
        <v>50</v>
      </c>
      <c r="AH141" s="27">
        <f>INPUT!E17</f>
        <v>50</v>
      </c>
      <c r="AI141" s="27"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24">COUNTIF(AC14:AC139,"&gt;="&amp;AC141)</f>
        <v>0</v>
      </c>
      <c r="AD142" s="14">
        <f t="shared" si="24"/>
        <v>0</v>
      </c>
      <c r="AE142" s="14">
        <f t="shared" si="24"/>
        <v>0</v>
      </c>
      <c r="AF142" s="14">
        <f t="shared" si="24"/>
        <v>0</v>
      </c>
      <c r="AG142" s="14">
        <f t="shared" si="24"/>
        <v>0</v>
      </c>
      <c r="AH142" s="14">
        <f t="shared" si="24"/>
        <v>0</v>
      </c>
      <c r="AI142" s="14">
        <f t="shared" si="24"/>
        <v>0</v>
      </c>
    </row>
    <row r="143" spans="1:35" ht="21.9" customHeigh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8" t="e">
        <f>ROUND((AE142/INPUT!$B$8)*100,2)</f>
        <v>#DIV/0!</v>
      </c>
      <c r="AF143" s="28" t="e">
        <f>ROUND((AF142/INPUT!$B$8)*100,2)</f>
        <v>#DIV/0!</v>
      </c>
      <c r="AG143" s="28" t="e">
        <f>ROUND((AG142/INPUT!$B$8)*100,2)</f>
        <v>#DIV/0!</v>
      </c>
      <c r="AH143" s="28" t="e">
        <f>ROUND((AH142/INPUT!$B$8)*100,2)</f>
        <v>#DIV/0!</v>
      </c>
      <c r="AI143" s="28"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mergeCells count="35">
    <mergeCell ref="A144:AB144"/>
    <mergeCell ref="AI10:AI13"/>
    <mergeCell ref="A140:AB140"/>
    <mergeCell ref="A141:AB141"/>
    <mergeCell ref="A142:AB142"/>
    <mergeCell ref="A143:AB143"/>
    <mergeCell ref="AB10:AB13"/>
    <mergeCell ref="AE10:AE13"/>
    <mergeCell ref="AF10:AF13"/>
    <mergeCell ref="AG10:AG13"/>
    <mergeCell ref="AH10:AH13"/>
    <mergeCell ref="AC10:AC13"/>
    <mergeCell ref="AD10:AD13"/>
    <mergeCell ref="A7:B7"/>
    <mergeCell ref="C7:H7"/>
    <mergeCell ref="L7:P7"/>
    <mergeCell ref="R7:AD7"/>
    <mergeCell ref="A10:A13"/>
    <mergeCell ref="B10:B13"/>
    <mergeCell ref="C10:C13"/>
    <mergeCell ref="V10:V13"/>
    <mergeCell ref="W10:W13"/>
    <mergeCell ref="X10:X13"/>
    <mergeCell ref="U11:U13"/>
    <mergeCell ref="Y10:Y13"/>
    <mergeCell ref="Z10:Z13"/>
    <mergeCell ref="AA10:AA13"/>
    <mergeCell ref="A1:AI1"/>
    <mergeCell ref="A2:AI2"/>
    <mergeCell ref="A3:AI3"/>
    <mergeCell ref="A4:AI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40"/>
  <sheetViews>
    <sheetView topLeftCell="A6" workbookViewId="0">
      <selection activeCell="G13" sqref="G13"/>
    </sheetView>
  </sheetViews>
  <sheetFormatPr defaultRowHeight="14.4"/>
  <cols>
    <col min="1" max="1" width="8" customWidth="1"/>
    <col min="2" max="2" width="14" customWidth="1"/>
    <col min="3" max="3" width="22.77734375" customWidth="1"/>
    <col min="4" max="10" width="10.88671875" customWidth="1"/>
    <col min="11" max="17" width="8.88671875" customWidth="1"/>
  </cols>
  <sheetData>
    <row r="1" spans="1:18" ht="20.399999999999999">
      <c r="A1" s="160" t="s">
        <v>0</v>
      </c>
      <c r="B1" s="160"/>
      <c r="C1" s="160"/>
      <c r="D1" s="160"/>
      <c r="E1" s="160"/>
      <c r="F1" s="160"/>
      <c r="G1" s="160"/>
      <c r="H1" s="160"/>
      <c r="I1" s="160"/>
      <c r="J1" s="160"/>
    </row>
    <row r="2" spans="1:18" ht="21">
      <c r="A2" s="161">
        <f>INPUT!B2</f>
        <v>0</v>
      </c>
      <c r="B2" s="161"/>
      <c r="C2" s="161"/>
      <c r="D2" s="161"/>
      <c r="E2" s="161"/>
      <c r="F2" s="161"/>
      <c r="G2" s="161"/>
      <c r="H2" s="161"/>
      <c r="I2" s="161"/>
      <c r="J2" s="161"/>
    </row>
    <row r="3" spans="1:18" ht="21">
      <c r="A3" s="161" t="s">
        <v>48</v>
      </c>
      <c r="B3" s="161"/>
      <c r="C3" s="161"/>
      <c r="D3" s="161"/>
      <c r="E3" s="161"/>
      <c r="F3" s="161"/>
      <c r="G3" s="161"/>
      <c r="H3" s="161"/>
      <c r="I3" s="161"/>
      <c r="J3" s="161"/>
    </row>
    <row r="4" spans="1:18" ht="21">
      <c r="A4" s="161"/>
      <c r="B4" s="161"/>
      <c r="C4" s="161"/>
      <c r="D4" s="161"/>
      <c r="E4" s="161"/>
      <c r="F4" s="161"/>
      <c r="G4" s="161"/>
      <c r="H4" s="161"/>
      <c r="I4" s="161"/>
      <c r="J4" s="161"/>
    </row>
    <row r="5" spans="1:18" ht="21">
      <c r="A5" s="163" t="s">
        <v>62</v>
      </c>
      <c r="B5" s="163"/>
      <c r="C5" s="37">
        <f>INPUT!B3</f>
        <v>0</v>
      </c>
      <c r="D5" s="36" t="s">
        <v>64</v>
      </c>
      <c r="E5" s="37">
        <f>INPUT!B4</f>
        <v>0</v>
      </c>
      <c r="F5" s="32"/>
      <c r="G5" s="163" t="s">
        <v>68</v>
      </c>
      <c r="H5" s="163"/>
      <c r="I5" s="164">
        <f>INPUT!B5</f>
        <v>0</v>
      </c>
      <c r="J5" s="164"/>
    </row>
    <row r="6" spans="1:18" ht="21">
      <c r="A6" s="163" t="s">
        <v>63</v>
      </c>
      <c r="B6" s="163"/>
      <c r="C6" s="37">
        <f>INPUT!B7</f>
        <v>0</v>
      </c>
      <c r="D6" s="32"/>
      <c r="E6" s="32"/>
      <c r="F6" s="32"/>
      <c r="G6" s="163" t="s">
        <v>67</v>
      </c>
      <c r="H6" s="163"/>
      <c r="I6" s="164">
        <f>INPUT!B6</f>
        <v>0</v>
      </c>
      <c r="J6" s="164"/>
    </row>
    <row r="7" spans="1:18" ht="21">
      <c r="A7" s="36"/>
      <c r="B7" s="36"/>
      <c r="C7" s="37"/>
      <c r="D7" s="32"/>
      <c r="E7" s="32"/>
      <c r="F7" s="32"/>
      <c r="G7" s="36"/>
      <c r="H7" s="36"/>
      <c r="I7" s="37"/>
      <c r="J7" s="37"/>
    </row>
    <row r="8" spans="1:18" ht="15.75" customHeight="1">
      <c r="A8" s="165" t="s">
        <v>73</v>
      </c>
      <c r="B8" s="162" t="s">
        <v>55</v>
      </c>
      <c r="C8" s="165" t="s">
        <v>1</v>
      </c>
      <c r="D8" s="165" t="s">
        <v>65</v>
      </c>
      <c r="E8" s="165"/>
      <c r="F8" s="165"/>
      <c r="G8" s="165"/>
      <c r="H8" s="165"/>
      <c r="I8" s="165"/>
      <c r="J8" s="165"/>
      <c r="K8" s="2"/>
      <c r="L8" s="2"/>
      <c r="M8" s="2"/>
      <c r="N8" s="2"/>
      <c r="O8" s="2"/>
      <c r="P8" s="2"/>
      <c r="Q8" s="2"/>
      <c r="R8" s="2"/>
    </row>
    <row r="9" spans="1:18" ht="96" customHeight="1">
      <c r="A9" s="165"/>
      <c r="B9" s="162"/>
      <c r="C9" s="165"/>
      <c r="D9" s="81" t="s">
        <v>4</v>
      </c>
      <c r="E9" s="81" t="s">
        <v>5</v>
      </c>
      <c r="F9" s="81" t="s">
        <v>6</v>
      </c>
      <c r="G9" s="81" t="s">
        <v>7</v>
      </c>
      <c r="H9" s="81" t="s">
        <v>8</v>
      </c>
      <c r="I9" s="81" t="s">
        <v>9</v>
      </c>
      <c r="J9" s="81" t="s">
        <v>10</v>
      </c>
      <c r="K9" s="90" t="s">
        <v>99</v>
      </c>
      <c r="L9" s="90" t="s">
        <v>100</v>
      </c>
      <c r="M9" s="90" t="s">
        <v>101</v>
      </c>
      <c r="N9" s="90" t="s">
        <v>102</v>
      </c>
      <c r="O9" s="90" t="s">
        <v>103</v>
      </c>
      <c r="P9" s="90" t="s">
        <v>104</v>
      </c>
      <c r="Q9" s="90" t="s">
        <v>105</v>
      </c>
      <c r="R9" s="91" t="s">
        <v>78</v>
      </c>
    </row>
    <row r="10" spans="1:18" ht="20.100000000000001" customHeight="1">
      <c r="A10" s="94">
        <f>'INTERNAL TEST-1  '!A14</f>
        <v>0</v>
      </c>
      <c r="B10" s="94">
        <f>'INTERNAL TEST-1  '!B14</f>
        <v>0</v>
      </c>
      <c r="C10" s="95">
        <f>'INTERNAL TEST-1  '!C14</f>
        <v>0</v>
      </c>
      <c r="D10" s="92"/>
      <c r="E10" s="92"/>
      <c r="F10" s="92"/>
      <c r="G10" s="92"/>
      <c r="H10" s="92"/>
      <c r="I10" s="92"/>
      <c r="J10" s="92"/>
      <c r="K10" s="62">
        <f>(D10/3)*100</f>
        <v>0</v>
      </c>
      <c r="L10" s="62">
        <f>(E10/3)*100</f>
        <v>0</v>
      </c>
      <c r="M10" s="62">
        <f>(F10/3)*100</f>
        <v>0</v>
      </c>
      <c r="N10" s="62">
        <f>(G10/3)*100</f>
        <v>0</v>
      </c>
      <c r="O10" s="62">
        <f>(H10/3)*100</f>
        <v>0</v>
      </c>
      <c r="P10" s="62">
        <f>(I10/3)*100</f>
        <v>0</v>
      </c>
      <c r="Q10" s="62">
        <f>(J10/3)*100</f>
        <v>0</v>
      </c>
      <c r="R10" s="62" t="e">
        <f>ROUND((AVERAGE(D10:J10)/5)*100,2)</f>
        <v>#DIV/0!</v>
      </c>
    </row>
    <row r="11" spans="1:18" ht="20.100000000000001" customHeight="1">
      <c r="A11" s="94">
        <f>'INTERNAL TEST-1  '!A15</f>
        <v>0</v>
      </c>
      <c r="B11" s="94">
        <f>'INTERNAL TEST-1  '!B15</f>
        <v>0</v>
      </c>
      <c r="C11" s="95">
        <f>'INTERNAL TEST-1  '!C15</f>
        <v>0</v>
      </c>
      <c r="D11" s="92"/>
      <c r="E11" s="92"/>
      <c r="F11" s="92"/>
      <c r="G11" s="92"/>
      <c r="H11" s="92"/>
      <c r="I11" s="92"/>
      <c r="J11" s="92"/>
      <c r="K11" s="62">
        <f t="shared" ref="K11:K74" si="0">(D11/3)*100</f>
        <v>0</v>
      </c>
      <c r="L11" s="62">
        <f t="shared" ref="L11:L74" si="1">(E11/3)*100</f>
        <v>0</v>
      </c>
      <c r="M11" s="62">
        <f t="shared" ref="M11:M74" si="2">(F11/3)*100</f>
        <v>0</v>
      </c>
      <c r="N11" s="62">
        <f t="shared" ref="N11:N74" si="3">(G11/3)*100</f>
        <v>0</v>
      </c>
      <c r="O11" s="62">
        <f t="shared" ref="O11:O74" si="4">(H11/3)*100</f>
        <v>0</v>
      </c>
      <c r="P11" s="62">
        <f t="shared" ref="P11:P74" si="5">(I11/3)*100</f>
        <v>0</v>
      </c>
      <c r="Q11" s="62">
        <f t="shared" ref="Q11:Q74" si="6">(J11/3)*100</f>
        <v>0</v>
      </c>
      <c r="R11" s="62" t="e">
        <f t="shared" ref="R11:R74" si="7">ROUND((AVERAGE(D11:J11)/5)*100,2)</f>
        <v>#DIV/0!</v>
      </c>
    </row>
    <row r="12" spans="1:18" ht="20.100000000000001" customHeight="1">
      <c r="A12" s="94">
        <f>'INTERNAL TEST-1  '!A16</f>
        <v>0</v>
      </c>
      <c r="B12" s="94">
        <f>'INTERNAL TEST-1  '!B16</f>
        <v>0</v>
      </c>
      <c r="C12" s="95">
        <f>'INTERNAL TEST-1  '!C16</f>
        <v>0</v>
      </c>
      <c r="D12" s="92"/>
      <c r="E12" s="92"/>
      <c r="F12" s="92"/>
      <c r="G12" s="92"/>
      <c r="H12" s="92"/>
      <c r="I12" s="92"/>
      <c r="J12" s="92"/>
      <c r="K12" s="62">
        <f t="shared" si="0"/>
        <v>0</v>
      </c>
      <c r="L12" s="62">
        <f t="shared" si="1"/>
        <v>0</v>
      </c>
      <c r="M12" s="62">
        <f t="shared" si="2"/>
        <v>0</v>
      </c>
      <c r="N12" s="62">
        <f t="shared" si="3"/>
        <v>0</v>
      </c>
      <c r="O12" s="62">
        <f t="shared" si="4"/>
        <v>0</v>
      </c>
      <c r="P12" s="62">
        <f t="shared" si="5"/>
        <v>0</v>
      </c>
      <c r="Q12" s="62">
        <f t="shared" si="6"/>
        <v>0</v>
      </c>
      <c r="R12" s="62" t="e">
        <f t="shared" si="7"/>
        <v>#DIV/0!</v>
      </c>
    </row>
    <row r="13" spans="1:18" ht="20.100000000000001" customHeight="1">
      <c r="A13" s="94">
        <f>'INTERNAL TEST-1  '!A17</f>
        <v>0</v>
      </c>
      <c r="B13" s="94">
        <f>'INTERNAL TEST-1  '!B17</f>
        <v>0</v>
      </c>
      <c r="C13" s="95">
        <f>'INTERNAL TEST-1  '!C17</f>
        <v>0</v>
      </c>
      <c r="D13" s="92"/>
      <c r="E13" s="92"/>
      <c r="F13" s="92"/>
      <c r="G13" s="92"/>
      <c r="H13" s="92"/>
      <c r="I13" s="92"/>
      <c r="J13" s="92"/>
      <c r="K13" s="62">
        <f t="shared" si="0"/>
        <v>0</v>
      </c>
      <c r="L13" s="62">
        <f t="shared" si="1"/>
        <v>0</v>
      </c>
      <c r="M13" s="62">
        <f t="shared" si="2"/>
        <v>0</v>
      </c>
      <c r="N13" s="62">
        <f t="shared" si="3"/>
        <v>0</v>
      </c>
      <c r="O13" s="62">
        <f t="shared" si="4"/>
        <v>0</v>
      </c>
      <c r="P13" s="62">
        <f t="shared" si="5"/>
        <v>0</v>
      </c>
      <c r="Q13" s="62">
        <f t="shared" si="6"/>
        <v>0</v>
      </c>
      <c r="R13" s="62" t="e">
        <f t="shared" si="7"/>
        <v>#DIV/0!</v>
      </c>
    </row>
    <row r="14" spans="1:18" ht="20.100000000000001" customHeight="1">
      <c r="A14" s="94">
        <f>'INTERNAL TEST-1  '!A18</f>
        <v>0</v>
      </c>
      <c r="B14" s="94">
        <f>'INTERNAL TEST-1  '!B18</f>
        <v>0</v>
      </c>
      <c r="C14" s="95">
        <f>'INTERNAL TEST-1  '!C18</f>
        <v>0</v>
      </c>
      <c r="D14" s="92"/>
      <c r="E14" s="92"/>
      <c r="F14" s="92"/>
      <c r="G14" s="92"/>
      <c r="H14" s="92"/>
      <c r="I14" s="92"/>
      <c r="J14" s="92"/>
      <c r="K14" s="62">
        <f t="shared" si="0"/>
        <v>0</v>
      </c>
      <c r="L14" s="62">
        <f t="shared" si="1"/>
        <v>0</v>
      </c>
      <c r="M14" s="62">
        <f t="shared" si="2"/>
        <v>0</v>
      </c>
      <c r="N14" s="62">
        <f t="shared" si="3"/>
        <v>0</v>
      </c>
      <c r="O14" s="62">
        <f t="shared" si="4"/>
        <v>0</v>
      </c>
      <c r="P14" s="62">
        <f t="shared" si="5"/>
        <v>0</v>
      </c>
      <c r="Q14" s="62">
        <f t="shared" si="6"/>
        <v>0</v>
      </c>
      <c r="R14" s="62" t="e">
        <f t="shared" si="7"/>
        <v>#DIV/0!</v>
      </c>
    </row>
    <row r="15" spans="1:18" ht="20.100000000000001" customHeight="1">
      <c r="A15" s="94">
        <f>'INTERNAL TEST-1  '!A19</f>
        <v>0</v>
      </c>
      <c r="B15" s="94">
        <f>'INTERNAL TEST-1  '!B19</f>
        <v>0</v>
      </c>
      <c r="C15" s="95">
        <f>'INTERNAL TEST-1  '!C19</f>
        <v>0</v>
      </c>
      <c r="D15" s="92"/>
      <c r="E15" s="92"/>
      <c r="F15" s="92"/>
      <c r="G15" s="92"/>
      <c r="H15" s="92"/>
      <c r="I15" s="92"/>
      <c r="J15" s="92"/>
      <c r="K15" s="62">
        <f t="shared" si="0"/>
        <v>0</v>
      </c>
      <c r="L15" s="62">
        <f t="shared" si="1"/>
        <v>0</v>
      </c>
      <c r="M15" s="62">
        <f t="shared" si="2"/>
        <v>0</v>
      </c>
      <c r="N15" s="62">
        <f t="shared" si="3"/>
        <v>0</v>
      </c>
      <c r="O15" s="62">
        <f t="shared" si="4"/>
        <v>0</v>
      </c>
      <c r="P15" s="62">
        <f t="shared" si="5"/>
        <v>0</v>
      </c>
      <c r="Q15" s="62">
        <f t="shared" si="6"/>
        <v>0</v>
      </c>
      <c r="R15" s="62" t="e">
        <f t="shared" si="7"/>
        <v>#DIV/0!</v>
      </c>
    </row>
    <row r="16" spans="1:18" ht="20.100000000000001" customHeight="1">
      <c r="A16" s="94">
        <f>'INTERNAL TEST-1  '!A20</f>
        <v>0</v>
      </c>
      <c r="B16" s="94">
        <f>'INTERNAL TEST-1  '!B20</f>
        <v>0</v>
      </c>
      <c r="C16" s="95">
        <f>'INTERNAL TEST-1  '!C20</f>
        <v>0</v>
      </c>
      <c r="D16" s="92"/>
      <c r="E16" s="92"/>
      <c r="F16" s="92"/>
      <c r="G16" s="92"/>
      <c r="H16" s="92"/>
      <c r="I16" s="92"/>
      <c r="J16" s="92"/>
      <c r="K16" s="62">
        <f t="shared" si="0"/>
        <v>0</v>
      </c>
      <c r="L16" s="62">
        <f t="shared" si="1"/>
        <v>0</v>
      </c>
      <c r="M16" s="62">
        <f t="shared" si="2"/>
        <v>0</v>
      </c>
      <c r="N16" s="62">
        <f t="shared" si="3"/>
        <v>0</v>
      </c>
      <c r="O16" s="62">
        <f t="shared" si="4"/>
        <v>0</v>
      </c>
      <c r="P16" s="62">
        <f t="shared" si="5"/>
        <v>0</v>
      </c>
      <c r="Q16" s="62">
        <f t="shared" si="6"/>
        <v>0</v>
      </c>
      <c r="R16" s="62" t="e">
        <f t="shared" si="7"/>
        <v>#DIV/0!</v>
      </c>
    </row>
    <row r="17" spans="1:18" ht="20.100000000000001" customHeight="1">
      <c r="A17" s="94">
        <f>'INTERNAL TEST-1  '!A21</f>
        <v>0</v>
      </c>
      <c r="B17" s="94">
        <f>'INTERNAL TEST-1  '!B21</f>
        <v>0</v>
      </c>
      <c r="C17" s="95">
        <f>'INTERNAL TEST-1  '!C21</f>
        <v>0</v>
      </c>
      <c r="D17" s="92"/>
      <c r="E17" s="92"/>
      <c r="F17" s="92"/>
      <c r="G17" s="92"/>
      <c r="H17" s="92"/>
      <c r="I17" s="92"/>
      <c r="J17" s="92"/>
      <c r="K17" s="62">
        <f t="shared" si="0"/>
        <v>0</v>
      </c>
      <c r="L17" s="62">
        <f t="shared" si="1"/>
        <v>0</v>
      </c>
      <c r="M17" s="62">
        <f t="shared" si="2"/>
        <v>0</v>
      </c>
      <c r="N17" s="62">
        <f t="shared" si="3"/>
        <v>0</v>
      </c>
      <c r="O17" s="62">
        <f t="shared" si="4"/>
        <v>0</v>
      </c>
      <c r="P17" s="62">
        <f t="shared" si="5"/>
        <v>0</v>
      </c>
      <c r="Q17" s="62">
        <f t="shared" si="6"/>
        <v>0</v>
      </c>
      <c r="R17" s="62" t="e">
        <f t="shared" si="7"/>
        <v>#DIV/0!</v>
      </c>
    </row>
    <row r="18" spans="1:18" ht="20.100000000000001" customHeight="1">
      <c r="A18" s="94">
        <f>'INTERNAL TEST-1  '!A22</f>
        <v>0</v>
      </c>
      <c r="B18" s="94">
        <f>'INTERNAL TEST-1  '!B22</f>
        <v>0</v>
      </c>
      <c r="C18" s="95">
        <f>'INTERNAL TEST-1  '!C22</f>
        <v>0</v>
      </c>
      <c r="D18" s="92"/>
      <c r="E18" s="92"/>
      <c r="F18" s="92"/>
      <c r="G18" s="92"/>
      <c r="H18" s="92"/>
      <c r="I18" s="92"/>
      <c r="J18" s="92"/>
      <c r="K18" s="62">
        <f t="shared" si="0"/>
        <v>0</v>
      </c>
      <c r="L18" s="62">
        <f t="shared" si="1"/>
        <v>0</v>
      </c>
      <c r="M18" s="62">
        <f t="shared" si="2"/>
        <v>0</v>
      </c>
      <c r="N18" s="62">
        <f t="shared" si="3"/>
        <v>0</v>
      </c>
      <c r="O18" s="62">
        <f t="shared" si="4"/>
        <v>0</v>
      </c>
      <c r="P18" s="62">
        <f t="shared" si="5"/>
        <v>0</v>
      </c>
      <c r="Q18" s="62">
        <f t="shared" si="6"/>
        <v>0</v>
      </c>
      <c r="R18" s="62" t="e">
        <f t="shared" si="7"/>
        <v>#DIV/0!</v>
      </c>
    </row>
    <row r="19" spans="1:18" ht="20.100000000000001" customHeight="1">
      <c r="A19" s="94">
        <f>'INTERNAL TEST-1  '!A23</f>
        <v>0</v>
      </c>
      <c r="B19" s="94">
        <f>'INTERNAL TEST-1  '!B23</f>
        <v>0</v>
      </c>
      <c r="C19" s="95">
        <f>'INTERNAL TEST-1  '!C23</f>
        <v>0</v>
      </c>
      <c r="D19" s="92"/>
      <c r="E19" s="92"/>
      <c r="F19" s="92"/>
      <c r="G19" s="92"/>
      <c r="H19" s="92"/>
      <c r="I19" s="92"/>
      <c r="J19" s="92"/>
      <c r="K19" s="62">
        <f t="shared" si="0"/>
        <v>0</v>
      </c>
      <c r="L19" s="62">
        <f t="shared" si="1"/>
        <v>0</v>
      </c>
      <c r="M19" s="62">
        <f t="shared" si="2"/>
        <v>0</v>
      </c>
      <c r="N19" s="62">
        <f t="shared" si="3"/>
        <v>0</v>
      </c>
      <c r="O19" s="62">
        <f t="shared" si="4"/>
        <v>0</v>
      </c>
      <c r="P19" s="62">
        <f t="shared" si="5"/>
        <v>0</v>
      </c>
      <c r="Q19" s="62">
        <f t="shared" si="6"/>
        <v>0</v>
      </c>
      <c r="R19" s="62" t="e">
        <f t="shared" si="7"/>
        <v>#DIV/0!</v>
      </c>
    </row>
    <row r="20" spans="1:18" ht="20.100000000000001" hidden="1" customHeight="1">
      <c r="A20" s="94">
        <f>'INTERNAL TEST-1  '!A24</f>
        <v>0</v>
      </c>
      <c r="B20" s="94">
        <f>'INTERNAL TEST-1  '!B24</f>
        <v>0</v>
      </c>
      <c r="C20" s="95">
        <f>'INTERNAL TEST-1  '!C24</f>
        <v>0</v>
      </c>
      <c r="D20" s="92"/>
      <c r="E20" s="92"/>
      <c r="F20" s="92"/>
      <c r="G20" s="92"/>
      <c r="H20" s="92"/>
      <c r="I20" s="92"/>
      <c r="J20" s="92"/>
      <c r="K20" s="62">
        <f t="shared" si="0"/>
        <v>0</v>
      </c>
      <c r="L20" s="62">
        <f t="shared" si="1"/>
        <v>0</v>
      </c>
      <c r="M20" s="62">
        <f t="shared" si="2"/>
        <v>0</v>
      </c>
      <c r="N20" s="62">
        <f t="shared" si="3"/>
        <v>0</v>
      </c>
      <c r="O20" s="62">
        <f t="shared" si="4"/>
        <v>0</v>
      </c>
      <c r="P20" s="62">
        <f t="shared" si="5"/>
        <v>0</v>
      </c>
      <c r="Q20" s="62">
        <f t="shared" si="6"/>
        <v>0</v>
      </c>
      <c r="R20" s="62" t="e">
        <f t="shared" si="7"/>
        <v>#DIV/0!</v>
      </c>
    </row>
    <row r="21" spans="1:18" ht="20.100000000000001" hidden="1" customHeight="1">
      <c r="A21" s="94">
        <f>'INTERNAL TEST-1  '!A25</f>
        <v>0</v>
      </c>
      <c r="B21" s="94">
        <f>'INTERNAL TEST-1  '!B25</f>
        <v>0</v>
      </c>
      <c r="C21" s="95">
        <f>'INTERNAL TEST-1  '!C25</f>
        <v>0</v>
      </c>
      <c r="D21" s="92"/>
      <c r="E21" s="92"/>
      <c r="F21" s="92"/>
      <c r="G21" s="92"/>
      <c r="H21" s="92"/>
      <c r="I21" s="92"/>
      <c r="J21" s="92"/>
      <c r="K21" s="62">
        <f t="shared" si="0"/>
        <v>0</v>
      </c>
      <c r="L21" s="62">
        <f t="shared" si="1"/>
        <v>0</v>
      </c>
      <c r="M21" s="62">
        <f t="shared" si="2"/>
        <v>0</v>
      </c>
      <c r="N21" s="62">
        <f t="shared" si="3"/>
        <v>0</v>
      </c>
      <c r="O21" s="62">
        <f t="shared" si="4"/>
        <v>0</v>
      </c>
      <c r="P21" s="62">
        <f t="shared" si="5"/>
        <v>0</v>
      </c>
      <c r="Q21" s="62">
        <f t="shared" si="6"/>
        <v>0</v>
      </c>
      <c r="R21" s="62" t="e">
        <f t="shared" si="7"/>
        <v>#DIV/0!</v>
      </c>
    </row>
    <row r="22" spans="1:18" ht="20.100000000000001" hidden="1" customHeight="1">
      <c r="A22" s="94">
        <f>'INTERNAL TEST-1  '!A26</f>
        <v>0</v>
      </c>
      <c r="B22" s="94">
        <f>'INTERNAL TEST-1  '!B26</f>
        <v>0</v>
      </c>
      <c r="C22" s="95">
        <f>'INTERNAL TEST-1  '!C26</f>
        <v>0</v>
      </c>
      <c r="D22" s="92"/>
      <c r="E22" s="92"/>
      <c r="F22" s="92"/>
      <c r="G22" s="92"/>
      <c r="H22" s="92"/>
      <c r="I22" s="92"/>
      <c r="J22" s="92"/>
      <c r="K22" s="62">
        <f t="shared" si="0"/>
        <v>0</v>
      </c>
      <c r="L22" s="62">
        <f t="shared" si="1"/>
        <v>0</v>
      </c>
      <c r="M22" s="62">
        <f t="shared" si="2"/>
        <v>0</v>
      </c>
      <c r="N22" s="62">
        <f t="shared" si="3"/>
        <v>0</v>
      </c>
      <c r="O22" s="62">
        <f t="shared" si="4"/>
        <v>0</v>
      </c>
      <c r="P22" s="62">
        <f t="shared" si="5"/>
        <v>0</v>
      </c>
      <c r="Q22" s="62">
        <f t="shared" si="6"/>
        <v>0</v>
      </c>
      <c r="R22" s="62" t="e">
        <f t="shared" si="7"/>
        <v>#DIV/0!</v>
      </c>
    </row>
    <row r="23" spans="1:18" ht="20.100000000000001" hidden="1" customHeight="1">
      <c r="A23" s="94">
        <f>'INTERNAL TEST-1  '!A27</f>
        <v>0</v>
      </c>
      <c r="B23" s="94">
        <f>'INTERNAL TEST-1  '!B27</f>
        <v>0</v>
      </c>
      <c r="C23" s="95">
        <f>'INTERNAL TEST-1  '!C27</f>
        <v>0</v>
      </c>
      <c r="D23" s="92"/>
      <c r="E23" s="92"/>
      <c r="F23" s="92"/>
      <c r="G23" s="92"/>
      <c r="H23" s="92"/>
      <c r="I23" s="92"/>
      <c r="J23" s="92"/>
      <c r="K23" s="62">
        <f t="shared" si="0"/>
        <v>0</v>
      </c>
      <c r="L23" s="62">
        <f t="shared" si="1"/>
        <v>0</v>
      </c>
      <c r="M23" s="62">
        <f t="shared" si="2"/>
        <v>0</v>
      </c>
      <c r="N23" s="62">
        <f t="shared" si="3"/>
        <v>0</v>
      </c>
      <c r="O23" s="62">
        <f t="shared" si="4"/>
        <v>0</v>
      </c>
      <c r="P23" s="62">
        <f t="shared" si="5"/>
        <v>0</v>
      </c>
      <c r="Q23" s="62">
        <f t="shared" si="6"/>
        <v>0</v>
      </c>
      <c r="R23" s="62" t="e">
        <f t="shared" si="7"/>
        <v>#DIV/0!</v>
      </c>
    </row>
    <row r="24" spans="1:18" ht="20.100000000000001" hidden="1" customHeight="1">
      <c r="A24" s="94">
        <f>'INTERNAL TEST-1  '!A28</f>
        <v>0</v>
      </c>
      <c r="B24" s="94">
        <f>'INTERNAL TEST-1  '!B28</f>
        <v>0</v>
      </c>
      <c r="C24" s="95">
        <f>'INTERNAL TEST-1  '!C28</f>
        <v>0</v>
      </c>
      <c r="D24" s="92"/>
      <c r="E24" s="92"/>
      <c r="F24" s="92"/>
      <c r="G24" s="92"/>
      <c r="H24" s="92"/>
      <c r="I24" s="92"/>
      <c r="J24" s="92"/>
      <c r="K24" s="62">
        <f t="shared" si="0"/>
        <v>0</v>
      </c>
      <c r="L24" s="62">
        <f t="shared" si="1"/>
        <v>0</v>
      </c>
      <c r="M24" s="62">
        <f t="shared" si="2"/>
        <v>0</v>
      </c>
      <c r="N24" s="62">
        <f t="shared" si="3"/>
        <v>0</v>
      </c>
      <c r="O24" s="62">
        <f t="shared" si="4"/>
        <v>0</v>
      </c>
      <c r="P24" s="62">
        <f t="shared" si="5"/>
        <v>0</v>
      </c>
      <c r="Q24" s="62">
        <f t="shared" si="6"/>
        <v>0</v>
      </c>
      <c r="R24" s="62" t="e">
        <f t="shared" si="7"/>
        <v>#DIV/0!</v>
      </c>
    </row>
    <row r="25" spans="1:18" ht="20.100000000000001" hidden="1" customHeight="1">
      <c r="A25" s="94">
        <f>'INTERNAL TEST-1  '!A29</f>
        <v>0</v>
      </c>
      <c r="B25" s="94">
        <f>'INTERNAL TEST-1  '!B29</f>
        <v>0</v>
      </c>
      <c r="C25" s="95">
        <f>'INTERNAL TEST-1  '!C29</f>
        <v>0</v>
      </c>
      <c r="D25" s="92"/>
      <c r="E25" s="92"/>
      <c r="F25" s="92"/>
      <c r="G25" s="92"/>
      <c r="H25" s="92"/>
      <c r="I25" s="92"/>
      <c r="J25" s="92"/>
      <c r="K25" s="62">
        <f t="shared" si="0"/>
        <v>0</v>
      </c>
      <c r="L25" s="62">
        <f t="shared" si="1"/>
        <v>0</v>
      </c>
      <c r="M25" s="62">
        <f t="shared" si="2"/>
        <v>0</v>
      </c>
      <c r="N25" s="62">
        <f t="shared" si="3"/>
        <v>0</v>
      </c>
      <c r="O25" s="62">
        <f t="shared" si="4"/>
        <v>0</v>
      </c>
      <c r="P25" s="62">
        <f t="shared" si="5"/>
        <v>0</v>
      </c>
      <c r="Q25" s="62">
        <f t="shared" si="6"/>
        <v>0</v>
      </c>
      <c r="R25" s="62" t="e">
        <f t="shared" si="7"/>
        <v>#DIV/0!</v>
      </c>
    </row>
    <row r="26" spans="1:18" ht="20.100000000000001" hidden="1" customHeight="1">
      <c r="A26" s="94">
        <f>'INTERNAL TEST-1  '!A30</f>
        <v>0</v>
      </c>
      <c r="B26" s="94">
        <f>'INTERNAL TEST-1  '!B30</f>
        <v>0</v>
      </c>
      <c r="C26" s="95">
        <f>'INTERNAL TEST-1  '!C30</f>
        <v>0</v>
      </c>
      <c r="D26" s="92"/>
      <c r="E26" s="92"/>
      <c r="F26" s="92"/>
      <c r="G26" s="92"/>
      <c r="H26" s="92"/>
      <c r="I26" s="92"/>
      <c r="J26" s="92"/>
      <c r="K26" s="62">
        <f t="shared" si="0"/>
        <v>0</v>
      </c>
      <c r="L26" s="62">
        <f t="shared" si="1"/>
        <v>0</v>
      </c>
      <c r="M26" s="62">
        <f t="shared" si="2"/>
        <v>0</v>
      </c>
      <c r="N26" s="62">
        <f t="shared" si="3"/>
        <v>0</v>
      </c>
      <c r="O26" s="62">
        <f t="shared" si="4"/>
        <v>0</v>
      </c>
      <c r="P26" s="62">
        <f t="shared" si="5"/>
        <v>0</v>
      </c>
      <c r="Q26" s="62">
        <f t="shared" si="6"/>
        <v>0</v>
      </c>
      <c r="R26" s="62" t="e">
        <f t="shared" si="7"/>
        <v>#DIV/0!</v>
      </c>
    </row>
    <row r="27" spans="1:18" ht="20.100000000000001" hidden="1" customHeight="1">
      <c r="A27" s="94">
        <f>'INTERNAL TEST-1  '!A31</f>
        <v>0</v>
      </c>
      <c r="B27" s="94">
        <f>'INTERNAL TEST-1  '!B31</f>
        <v>0</v>
      </c>
      <c r="C27" s="95">
        <f>'INTERNAL TEST-1  '!C31</f>
        <v>0</v>
      </c>
      <c r="D27" s="92"/>
      <c r="E27" s="92"/>
      <c r="F27" s="92"/>
      <c r="G27" s="92"/>
      <c r="H27" s="92"/>
      <c r="I27" s="92"/>
      <c r="J27" s="92"/>
      <c r="K27" s="62">
        <f t="shared" si="0"/>
        <v>0</v>
      </c>
      <c r="L27" s="62">
        <f t="shared" si="1"/>
        <v>0</v>
      </c>
      <c r="M27" s="62">
        <f t="shared" si="2"/>
        <v>0</v>
      </c>
      <c r="N27" s="62">
        <f t="shared" si="3"/>
        <v>0</v>
      </c>
      <c r="O27" s="62">
        <f t="shared" si="4"/>
        <v>0</v>
      </c>
      <c r="P27" s="62">
        <f t="shared" si="5"/>
        <v>0</v>
      </c>
      <c r="Q27" s="62">
        <f t="shared" si="6"/>
        <v>0</v>
      </c>
      <c r="R27" s="62" t="e">
        <f t="shared" si="7"/>
        <v>#DIV/0!</v>
      </c>
    </row>
    <row r="28" spans="1:18" ht="20.100000000000001" hidden="1" customHeight="1">
      <c r="A28" s="94">
        <f>'INTERNAL TEST-1  '!A32</f>
        <v>0</v>
      </c>
      <c r="B28" s="94">
        <f>'INTERNAL TEST-1  '!B32</f>
        <v>0</v>
      </c>
      <c r="C28" s="95">
        <f>'INTERNAL TEST-1  '!C32</f>
        <v>0</v>
      </c>
      <c r="D28" s="92"/>
      <c r="E28" s="92"/>
      <c r="F28" s="92"/>
      <c r="G28" s="92"/>
      <c r="H28" s="92"/>
      <c r="I28" s="92"/>
      <c r="J28" s="92"/>
      <c r="K28" s="62">
        <f t="shared" si="0"/>
        <v>0</v>
      </c>
      <c r="L28" s="62">
        <f t="shared" si="1"/>
        <v>0</v>
      </c>
      <c r="M28" s="62">
        <f t="shared" si="2"/>
        <v>0</v>
      </c>
      <c r="N28" s="62">
        <f t="shared" si="3"/>
        <v>0</v>
      </c>
      <c r="O28" s="62">
        <f t="shared" si="4"/>
        <v>0</v>
      </c>
      <c r="P28" s="62">
        <f t="shared" si="5"/>
        <v>0</v>
      </c>
      <c r="Q28" s="62">
        <f t="shared" si="6"/>
        <v>0</v>
      </c>
      <c r="R28" s="62" t="e">
        <f t="shared" si="7"/>
        <v>#DIV/0!</v>
      </c>
    </row>
    <row r="29" spans="1:18" ht="20.100000000000001" hidden="1" customHeight="1">
      <c r="A29" s="94">
        <f>'INTERNAL TEST-1  '!A33</f>
        <v>0</v>
      </c>
      <c r="B29" s="94">
        <f>'INTERNAL TEST-1  '!B33</f>
        <v>0</v>
      </c>
      <c r="C29" s="95">
        <f>'INTERNAL TEST-1  '!C33</f>
        <v>0</v>
      </c>
      <c r="D29" s="92"/>
      <c r="E29" s="92"/>
      <c r="F29" s="92"/>
      <c r="G29" s="92"/>
      <c r="H29" s="92"/>
      <c r="I29" s="92"/>
      <c r="J29" s="92"/>
      <c r="K29" s="62">
        <f t="shared" si="0"/>
        <v>0</v>
      </c>
      <c r="L29" s="62">
        <f t="shared" si="1"/>
        <v>0</v>
      </c>
      <c r="M29" s="62">
        <f t="shared" si="2"/>
        <v>0</v>
      </c>
      <c r="N29" s="62">
        <f t="shared" si="3"/>
        <v>0</v>
      </c>
      <c r="O29" s="62">
        <f t="shared" si="4"/>
        <v>0</v>
      </c>
      <c r="P29" s="62">
        <f t="shared" si="5"/>
        <v>0</v>
      </c>
      <c r="Q29" s="62">
        <f t="shared" si="6"/>
        <v>0</v>
      </c>
      <c r="R29" s="62" t="e">
        <f t="shared" si="7"/>
        <v>#DIV/0!</v>
      </c>
    </row>
    <row r="30" spans="1:18" ht="20.100000000000001" hidden="1" customHeight="1">
      <c r="A30" s="94">
        <f>'INTERNAL TEST-1  '!A34</f>
        <v>0</v>
      </c>
      <c r="B30" s="94">
        <f>'INTERNAL TEST-1  '!B34</f>
        <v>0</v>
      </c>
      <c r="C30" s="95">
        <f>'INTERNAL TEST-1  '!C34</f>
        <v>0</v>
      </c>
      <c r="D30" s="92"/>
      <c r="E30" s="92"/>
      <c r="F30" s="92"/>
      <c r="G30" s="92"/>
      <c r="H30" s="92"/>
      <c r="I30" s="92"/>
      <c r="J30" s="92"/>
      <c r="K30" s="62">
        <f t="shared" si="0"/>
        <v>0</v>
      </c>
      <c r="L30" s="62">
        <f t="shared" si="1"/>
        <v>0</v>
      </c>
      <c r="M30" s="62">
        <f t="shared" si="2"/>
        <v>0</v>
      </c>
      <c r="N30" s="62">
        <f t="shared" si="3"/>
        <v>0</v>
      </c>
      <c r="O30" s="62">
        <f t="shared" si="4"/>
        <v>0</v>
      </c>
      <c r="P30" s="62">
        <f t="shared" si="5"/>
        <v>0</v>
      </c>
      <c r="Q30" s="62">
        <f t="shared" si="6"/>
        <v>0</v>
      </c>
      <c r="R30" s="62" t="e">
        <f t="shared" si="7"/>
        <v>#DIV/0!</v>
      </c>
    </row>
    <row r="31" spans="1:18" ht="20.100000000000001" hidden="1" customHeight="1">
      <c r="A31" s="94">
        <f>'INTERNAL TEST-1  '!A35</f>
        <v>0</v>
      </c>
      <c r="B31" s="94">
        <f>'INTERNAL TEST-1  '!B35</f>
        <v>0</v>
      </c>
      <c r="C31" s="95">
        <f>'INTERNAL TEST-1  '!C35</f>
        <v>0</v>
      </c>
      <c r="D31" s="92"/>
      <c r="E31" s="92"/>
      <c r="F31" s="92"/>
      <c r="G31" s="92"/>
      <c r="H31" s="92"/>
      <c r="I31" s="92"/>
      <c r="J31" s="92"/>
      <c r="K31" s="62">
        <f t="shared" si="0"/>
        <v>0</v>
      </c>
      <c r="L31" s="62">
        <f t="shared" si="1"/>
        <v>0</v>
      </c>
      <c r="M31" s="62">
        <f t="shared" si="2"/>
        <v>0</v>
      </c>
      <c r="N31" s="62">
        <f t="shared" si="3"/>
        <v>0</v>
      </c>
      <c r="O31" s="62">
        <f t="shared" si="4"/>
        <v>0</v>
      </c>
      <c r="P31" s="62">
        <f t="shared" si="5"/>
        <v>0</v>
      </c>
      <c r="Q31" s="62">
        <f t="shared" si="6"/>
        <v>0</v>
      </c>
      <c r="R31" s="62" t="e">
        <f t="shared" si="7"/>
        <v>#DIV/0!</v>
      </c>
    </row>
    <row r="32" spans="1:18" ht="20.100000000000001" hidden="1" customHeight="1">
      <c r="A32" s="94">
        <f>'INTERNAL TEST-1  '!A36</f>
        <v>0</v>
      </c>
      <c r="B32" s="94">
        <f>'INTERNAL TEST-1  '!B36</f>
        <v>0</v>
      </c>
      <c r="C32" s="95">
        <f>'INTERNAL TEST-1  '!C36</f>
        <v>0</v>
      </c>
      <c r="D32" s="92"/>
      <c r="E32" s="92"/>
      <c r="F32" s="92"/>
      <c r="G32" s="92"/>
      <c r="H32" s="92"/>
      <c r="I32" s="92"/>
      <c r="J32" s="92"/>
      <c r="K32" s="62">
        <f t="shared" si="0"/>
        <v>0</v>
      </c>
      <c r="L32" s="62">
        <f t="shared" si="1"/>
        <v>0</v>
      </c>
      <c r="M32" s="62">
        <f t="shared" si="2"/>
        <v>0</v>
      </c>
      <c r="N32" s="62">
        <f t="shared" si="3"/>
        <v>0</v>
      </c>
      <c r="O32" s="62">
        <f t="shared" si="4"/>
        <v>0</v>
      </c>
      <c r="P32" s="62">
        <f t="shared" si="5"/>
        <v>0</v>
      </c>
      <c r="Q32" s="62">
        <f t="shared" si="6"/>
        <v>0</v>
      </c>
      <c r="R32" s="62" t="e">
        <f t="shared" si="7"/>
        <v>#DIV/0!</v>
      </c>
    </row>
    <row r="33" spans="1:18" ht="20.100000000000001" hidden="1" customHeight="1">
      <c r="A33" s="94">
        <f>'INTERNAL TEST-1  '!A37</f>
        <v>0</v>
      </c>
      <c r="B33" s="94">
        <f>'INTERNAL TEST-1  '!B37</f>
        <v>0</v>
      </c>
      <c r="C33" s="95">
        <f>'INTERNAL TEST-1  '!C37</f>
        <v>0</v>
      </c>
      <c r="D33" s="92"/>
      <c r="E33" s="92"/>
      <c r="F33" s="92"/>
      <c r="G33" s="92"/>
      <c r="H33" s="92"/>
      <c r="I33" s="92"/>
      <c r="J33" s="92"/>
      <c r="K33" s="62">
        <f t="shared" si="0"/>
        <v>0</v>
      </c>
      <c r="L33" s="62">
        <f t="shared" si="1"/>
        <v>0</v>
      </c>
      <c r="M33" s="62">
        <f t="shared" si="2"/>
        <v>0</v>
      </c>
      <c r="N33" s="62">
        <f t="shared" si="3"/>
        <v>0</v>
      </c>
      <c r="O33" s="62">
        <f t="shared" si="4"/>
        <v>0</v>
      </c>
      <c r="P33" s="62">
        <f t="shared" si="5"/>
        <v>0</v>
      </c>
      <c r="Q33" s="62">
        <f t="shared" si="6"/>
        <v>0</v>
      </c>
      <c r="R33" s="62" t="e">
        <f t="shared" si="7"/>
        <v>#DIV/0!</v>
      </c>
    </row>
    <row r="34" spans="1:18" ht="20.100000000000001" hidden="1" customHeight="1">
      <c r="A34" s="94">
        <f>'INTERNAL TEST-1  '!A38</f>
        <v>0</v>
      </c>
      <c r="B34" s="94">
        <f>'INTERNAL TEST-1  '!B38</f>
        <v>0</v>
      </c>
      <c r="C34" s="95">
        <f>'INTERNAL TEST-1  '!C38</f>
        <v>0</v>
      </c>
      <c r="D34" s="92"/>
      <c r="E34" s="92"/>
      <c r="F34" s="92"/>
      <c r="G34" s="92"/>
      <c r="H34" s="92"/>
      <c r="I34" s="92"/>
      <c r="J34" s="92"/>
      <c r="K34" s="62">
        <f t="shared" si="0"/>
        <v>0</v>
      </c>
      <c r="L34" s="62">
        <f t="shared" si="1"/>
        <v>0</v>
      </c>
      <c r="M34" s="62">
        <f t="shared" si="2"/>
        <v>0</v>
      </c>
      <c r="N34" s="62">
        <f t="shared" si="3"/>
        <v>0</v>
      </c>
      <c r="O34" s="62">
        <f t="shared" si="4"/>
        <v>0</v>
      </c>
      <c r="P34" s="62">
        <f t="shared" si="5"/>
        <v>0</v>
      </c>
      <c r="Q34" s="62">
        <f t="shared" si="6"/>
        <v>0</v>
      </c>
      <c r="R34" s="62" t="e">
        <f t="shared" si="7"/>
        <v>#DIV/0!</v>
      </c>
    </row>
    <row r="35" spans="1:18" ht="20.100000000000001" hidden="1" customHeight="1">
      <c r="A35" s="94">
        <f>'INTERNAL TEST-1  '!A39</f>
        <v>0</v>
      </c>
      <c r="B35" s="94">
        <f>'INTERNAL TEST-1  '!B39</f>
        <v>0</v>
      </c>
      <c r="C35" s="95">
        <f>'INTERNAL TEST-1  '!C39</f>
        <v>0</v>
      </c>
      <c r="D35" s="92"/>
      <c r="E35" s="92"/>
      <c r="F35" s="92"/>
      <c r="G35" s="92"/>
      <c r="H35" s="92"/>
      <c r="I35" s="92"/>
      <c r="J35" s="92"/>
      <c r="K35" s="62">
        <f t="shared" si="0"/>
        <v>0</v>
      </c>
      <c r="L35" s="62">
        <f t="shared" si="1"/>
        <v>0</v>
      </c>
      <c r="M35" s="62">
        <f t="shared" si="2"/>
        <v>0</v>
      </c>
      <c r="N35" s="62">
        <f t="shared" si="3"/>
        <v>0</v>
      </c>
      <c r="O35" s="62">
        <f t="shared" si="4"/>
        <v>0</v>
      </c>
      <c r="P35" s="62">
        <f t="shared" si="5"/>
        <v>0</v>
      </c>
      <c r="Q35" s="62">
        <f t="shared" si="6"/>
        <v>0</v>
      </c>
      <c r="R35" s="62" t="e">
        <f t="shared" si="7"/>
        <v>#DIV/0!</v>
      </c>
    </row>
    <row r="36" spans="1:18" ht="20.100000000000001" hidden="1" customHeight="1">
      <c r="A36" s="94">
        <f>'INTERNAL TEST-1  '!A40</f>
        <v>0</v>
      </c>
      <c r="B36" s="94">
        <f>'INTERNAL TEST-1  '!B40</f>
        <v>0</v>
      </c>
      <c r="C36" s="95">
        <f>'INTERNAL TEST-1  '!C40</f>
        <v>0</v>
      </c>
      <c r="D36" s="92"/>
      <c r="E36" s="92"/>
      <c r="F36" s="92"/>
      <c r="G36" s="92"/>
      <c r="H36" s="92"/>
      <c r="I36" s="92"/>
      <c r="J36" s="92"/>
      <c r="K36" s="62">
        <f t="shared" si="0"/>
        <v>0</v>
      </c>
      <c r="L36" s="62">
        <f t="shared" si="1"/>
        <v>0</v>
      </c>
      <c r="M36" s="62">
        <f t="shared" si="2"/>
        <v>0</v>
      </c>
      <c r="N36" s="62">
        <f t="shared" si="3"/>
        <v>0</v>
      </c>
      <c r="O36" s="62">
        <f t="shared" si="4"/>
        <v>0</v>
      </c>
      <c r="P36" s="62">
        <f t="shared" si="5"/>
        <v>0</v>
      </c>
      <c r="Q36" s="62">
        <f t="shared" si="6"/>
        <v>0</v>
      </c>
      <c r="R36" s="62" t="e">
        <f t="shared" si="7"/>
        <v>#DIV/0!</v>
      </c>
    </row>
    <row r="37" spans="1:18" ht="20.100000000000001" hidden="1" customHeight="1">
      <c r="A37" s="94">
        <f>'INTERNAL TEST-1  '!A41</f>
        <v>0</v>
      </c>
      <c r="B37" s="94">
        <f>'INTERNAL TEST-1  '!B41</f>
        <v>0</v>
      </c>
      <c r="C37" s="95">
        <f>'INTERNAL TEST-1  '!C41</f>
        <v>0</v>
      </c>
      <c r="D37" s="92"/>
      <c r="E37" s="92"/>
      <c r="F37" s="92"/>
      <c r="G37" s="92"/>
      <c r="H37" s="92"/>
      <c r="I37" s="92"/>
      <c r="J37" s="92"/>
      <c r="K37" s="62">
        <f t="shared" si="0"/>
        <v>0</v>
      </c>
      <c r="L37" s="62">
        <f t="shared" si="1"/>
        <v>0</v>
      </c>
      <c r="M37" s="62">
        <f t="shared" si="2"/>
        <v>0</v>
      </c>
      <c r="N37" s="62">
        <f t="shared" si="3"/>
        <v>0</v>
      </c>
      <c r="O37" s="62">
        <f t="shared" si="4"/>
        <v>0</v>
      </c>
      <c r="P37" s="62">
        <f t="shared" si="5"/>
        <v>0</v>
      </c>
      <c r="Q37" s="62">
        <f t="shared" si="6"/>
        <v>0</v>
      </c>
      <c r="R37" s="62" t="e">
        <f t="shared" si="7"/>
        <v>#DIV/0!</v>
      </c>
    </row>
    <row r="38" spans="1:18" ht="20.100000000000001" hidden="1" customHeight="1">
      <c r="A38" s="94">
        <f>'INTERNAL TEST-1  '!A42</f>
        <v>0</v>
      </c>
      <c r="B38" s="94">
        <f>'INTERNAL TEST-1  '!B42</f>
        <v>0</v>
      </c>
      <c r="C38" s="95">
        <f>'INTERNAL TEST-1  '!C42</f>
        <v>0</v>
      </c>
      <c r="D38" s="92"/>
      <c r="E38" s="92"/>
      <c r="F38" s="92"/>
      <c r="G38" s="92"/>
      <c r="H38" s="92"/>
      <c r="I38" s="92"/>
      <c r="J38" s="92"/>
      <c r="K38" s="62">
        <f t="shared" si="0"/>
        <v>0</v>
      </c>
      <c r="L38" s="62">
        <f t="shared" si="1"/>
        <v>0</v>
      </c>
      <c r="M38" s="62">
        <f t="shared" si="2"/>
        <v>0</v>
      </c>
      <c r="N38" s="62">
        <f t="shared" si="3"/>
        <v>0</v>
      </c>
      <c r="O38" s="62">
        <f t="shared" si="4"/>
        <v>0</v>
      </c>
      <c r="P38" s="62">
        <f t="shared" si="5"/>
        <v>0</v>
      </c>
      <c r="Q38" s="62">
        <f t="shared" si="6"/>
        <v>0</v>
      </c>
      <c r="R38" s="62" t="e">
        <f t="shared" si="7"/>
        <v>#DIV/0!</v>
      </c>
    </row>
    <row r="39" spans="1:18" ht="20.100000000000001" hidden="1" customHeight="1">
      <c r="A39" s="94">
        <f>'INTERNAL TEST-1  '!A43</f>
        <v>0</v>
      </c>
      <c r="B39" s="94">
        <f>'INTERNAL TEST-1  '!B43</f>
        <v>0</v>
      </c>
      <c r="C39" s="95">
        <f>'INTERNAL TEST-1  '!C43</f>
        <v>0</v>
      </c>
      <c r="D39" s="92"/>
      <c r="E39" s="92"/>
      <c r="F39" s="92"/>
      <c r="G39" s="92"/>
      <c r="H39" s="92"/>
      <c r="I39" s="92"/>
      <c r="J39" s="92"/>
      <c r="K39" s="62">
        <f t="shared" si="0"/>
        <v>0</v>
      </c>
      <c r="L39" s="62">
        <f t="shared" si="1"/>
        <v>0</v>
      </c>
      <c r="M39" s="62">
        <f t="shared" si="2"/>
        <v>0</v>
      </c>
      <c r="N39" s="62">
        <f t="shared" si="3"/>
        <v>0</v>
      </c>
      <c r="O39" s="62">
        <f t="shared" si="4"/>
        <v>0</v>
      </c>
      <c r="P39" s="62">
        <f t="shared" si="5"/>
        <v>0</v>
      </c>
      <c r="Q39" s="62">
        <f t="shared" si="6"/>
        <v>0</v>
      </c>
      <c r="R39" s="62" t="e">
        <f t="shared" si="7"/>
        <v>#DIV/0!</v>
      </c>
    </row>
    <row r="40" spans="1:18" ht="20.100000000000001" hidden="1" customHeight="1">
      <c r="A40" s="94">
        <f>'INTERNAL TEST-1  '!A44</f>
        <v>0</v>
      </c>
      <c r="B40" s="94">
        <f>'INTERNAL TEST-1  '!B44</f>
        <v>0</v>
      </c>
      <c r="C40" s="95">
        <f>'INTERNAL TEST-1  '!C44</f>
        <v>0</v>
      </c>
      <c r="D40" s="92"/>
      <c r="E40" s="92"/>
      <c r="F40" s="92"/>
      <c r="G40" s="92"/>
      <c r="H40" s="92"/>
      <c r="I40" s="92"/>
      <c r="J40" s="92"/>
      <c r="K40" s="62">
        <f t="shared" si="0"/>
        <v>0</v>
      </c>
      <c r="L40" s="62">
        <f t="shared" si="1"/>
        <v>0</v>
      </c>
      <c r="M40" s="62">
        <f t="shared" si="2"/>
        <v>0</v>
      </c>
      <c r="N40" s="62">
        <f t="shared" si="3"/>
        <v>0</v>
      </c>
      <c r="O40" s="62">
        <f t="shared" si="4"/>
        <v>0</v>
      </c>
      <c r="P40" s="62">
        <f t="shared" si="5"/>
        <v>0</v>
      </c>
      <c r="Q40" s="62">
        <f t="shared" si="6"/>
        <v>0</v>
      </c>
      <c r="R40" s="62" t="e">
        <f t="shared" si="7"/>
        <v>#DIV/0!</v>
      </c>
    </row>
    <row r="41" spans="1:18" ht="20.100000000000001" hidden="1" customHeight="1">
      <c r="A41" s="94">
        <f>'INTERNAL TEST-1  '!A45</f>
        <v>0</v>
      </c>
      <c r="B41" s="94">
        <f>'INTERNAL TEST-1  '!B45</f>
        <v>0</v>
      </c>
      <c r="C41" s="95">
        <f>'INTERNAL TEST-1  '!C45</f>
        <v>0</v>
      </c>
      <c r="D41" s="92"/>
      <c r="E41" s="92"/>
      <c r="F41" s="92"/>
      <c r="G41" s="92"/>
      <c r="H41" s="92"/>
      <c r="I41" s="92"/>
      <c r="J41" s="92"/>
      <c r="K41" s="62">
        <f t="shared" si="0"/>
        <v>0</v>
      </c>
      <c r="L41" s="62">
        <f t="shared" si="1"/>
        <v>0</v>
      </c>
      <c r="M41" s="62">
        <f t="shared" si="2"/>
        <v>0</v>
      </c>
      <c r="N41" s="62">
        <f t="shared" si="3"/>
        <v>0</v>
      </c>
      <c r="O41" s="62">
        <f t="shared" si="4"/>
        <v>0</v>
      </c>
      <c r="P41" s="62">
        <f t="shared" si="5"/>
        <v>0</v>
      </c>
      <c r="Q41" s="62">
        <f t="shared" si="6"/>
        <v>0</v>
      </c>
      <c r="R41" s="62" t="e">
        <f t="shared" si="7"/>
        <v>#DIV/0!</v>
      </c>
    </row>
    <row r="42" spans="1:18" ht="20.100000000000001" hidden="1" customHeight="1">
      <c r="A42" s="94">
        <f>'INTERNAL TEST-1  '!A46</f>
        <v>0</v>
      </c>
      <c r="B42" s="94">
        <f>'INTERNAL TEST-1  '!B46</f>
        <v>0</v>
      </c>
      <c r="C42" s="95">
        <f>'INTERNAL TEST-1  '!C46</f>
        <v>0</v>
      </c>
      <c r="D42" s="92"/>
      <c r="E42" s="92"/>
      <c r="F42" s="92"/>
      <c r="G42" s="92"/>
      <c r="H42" s="92"/>
      <c r="I42" s="92"/>
      <c r="J42" s="92"/>
      <c r="K42" s="62">
        <f t="shared" si="0"/>
        <v>0</v>
      </c>
      <c r="L42" s="62">
        <f t="shared" si="1"/>
        <v>0</v>
      </c>
      <c r="M42" s="62">
        <f t="shared" si="2"/>
        <v>0</v>
      </c>
      <c r="N42" s="62">
        <f t="shared" si="3"/>
        <v>0</v>
      </c>
      <c r="O42" s="62">
        <f t="shared" si="4"/>
        <v>0</v>
      </c>
      <c r="P42" s="62">
        <f t="shared" si="5"/>
        <v>0</v>
      </c>
      <c r="Q42" s="62">
        <f t="shared" si="6"/>
        <v>0</v>
      </c>
      <c r="R42" s="62" t="e">
        <f t="shared" si="7"/>
        <v>#DIV/0!</v>
      </c>
    </row>
    <row r="43" spans="1:18" hidden="1">
      <c r="A43" s="94">
        <f>'INTERNAL TEST-1  '!A47</f>
        <v>0</v>
      </c>
      <c r="B43" s="94">
        <f>'INTERNAL TEST-1  '!B47</f>
        <v>0</v>
      </c>
      <c r="C43" s="95">
        <f>'INTERNAL TEST-1  '!C47</f>
        <v>0</v>
      </c>
      <c r="D43" s="92"/>
      <c r="E43" s="92"/>
      <c r="F43" s="92"/>
      <c r="G43" s="92"/>
      <c r="H43" s="92"/>
      <c r="I43" s="92"/>
      <c r="J43" s="92"/>
      <c r="K43" s="62">
        <f t="shared" si="0"/>
        <v>0</v>
      </c>
      <c r="L43" s="62">
        <f t="shared" si="1"/>
        <v>0</v>
      </c>
      <c r="M43" s="62">
        <f t="shared" si="2"/>
        <v>0</v>
      </c>
      <c r="N43" s="62">
        <f t="shared" si="3"/>
        <v>0</v>
      </c>
      <c r="O43" s="62">
        <f t="shared" si="4"/>
        <v>0</v>
      </c>
      <c r="P43" s="62">
        <f t="shared" si="5"/>
        <v>0</v>
      </c>
      <c r="Q43" s="62">
        <f t="shared" si="6"/>
        <v>0</v>
      </c>
      <c r="R43" s="62" t="e">
        <f t="shared" si="7"/>
        <v>#DIV/0!</v>
      </c>
    </row>
    <row r="44" spans="1:18" ht="20.100000000000001" hidden="1" customHeight="1">
      <c r="A44" s="94">
        <f>'INTERNAL TEST-1  '!A48</f>
        <v>0</v>
      </c>
      <c r="B44" s="94">
        <f>'INTERNAL TEST-1  '!B48</f>
        <v>0</v>
      </c>
      <c r="C44" s="95">
        <f>'INTERNAL TEST-1  '!C48</f>
        <v>0</v>
      </c>
      <c r="D44" s="92"/>
      <c r="E44" s="92"/>
      <c r="F44" s="92"/>
      <c r="G44" s="92"/>
      <c r="H44" s="92"/>
      <c r="I44" s="92"/>
      <c r="J44" s="92"/>
      <c r="K44" s="62">
        <f t="shared" si="0"/>
        <v>0</v>
      </c>
      <c r="L44" s="62">
        <f t="shared" si="1"/>
        <v>0</v>
      </c>
      <c r="M44" s="62">
        <f t="shared" si="2"/>
        <v>0</v>
      </c>
      <c r="N44" s="62">
        <f t="shared" si="3"/>
        <v>0</v>
      </c>
      <c r="O44" s="62">
        <f t="shared" si="4"/>
        <v>0</v>
      </c>
      <c r="P44" s="62">
        <f t="shared" si="5"/>
        <v>0</v>
      </c>
      <c r="Q44" s="62">
        <f t="shared" si="6"/>
        <v>0</v>
      </c>
      <c r="R44" s="62" t="e">
        <f t="shared" si="7"/>
        <v>#DIV/0!</v>
      </c>
    </row>
    <row r="45" spans="1:18" ht="20.100000000000001" hidden="1" customHeight="1">
      <c r="A45" s="94">
        <f>'INTERNAL TEST-1  '!A49</f>
        <v>0</v>
      </c>
      <c r="B45" s="94">
        <f>'INTERNAL TEST-1  '!B49</f>
        <v>0</v>
      </c>
      <c r="C45" s="95">
        <f>'INTERNAL TEST-1  '!C49</f>
        <v>0</v>
      </c>
      <c r="D45" s="92"/>
      <c r="E45" s="92"/>
      <c r="F45" s="92"/>
      <c r="G45" s="92"/>
      <c r="H45" s="92"/>
      <c r="I45" s="92"/>
      <c r="J45" s="92"/>
      <c r="K45" s="62">
        <f t="shared" si="0"/>
        <v>0</v>
      </c>
      <c r="L45" s="62">
        <f t="shared" si="1"/>
        <v>0</v>
      </c>
      <c r="M45" s="62">
        <f t="shared" si="2"/>
        <v>0</v>
      </c>
      <c r="N45" s="62">
        <f t="shared" si="3"/>
        <v>0</v>
      </c>
      <c r="O45" s="62">
        <f t="shared" si="4"/>
        <v>0</v>
      </c>
      <c r="P45" s="62">
        <f t="shared" si="5"/>
        <v>0</v>
      </c>
      <c r="Q45" s="62">
        <f t="shared" si="6"/>
        <v>0</v>
      </c>
      <c r="R45" s="62" t="e">
        <f t="shared" si="7"/>
        <v>#DIV/0!</v>
      </c>
    </row>
    <row r="46" spans="1:18" ht="20.100000000000001" hidden="1" customHeight="1">
      <c r="A46" s="94">
        <f>'INTERNAL TEST-1  '!A50</f>
        <v>0</v>
      </c>
      <c r="B46" s="94">
        <f>'INTERNAL TEST-1  '!B50</f>
        <v>0</v>
      </c>
      <c r="C46" s="95">
        <f>'INTERNAL TEST-1  '!C50</f>
        <v>0</v>
      </c>
      <c r="D46" s="92"/>
      <c r="E46" s="92"/>
      <c r="F46" s="92"/>
      <c r="G46" s="92"/>
      <c r="H46" s="92"/>
      <c r="I46" s="92"/>
      <c r="J46" s="92"/>
      <c r="K46" s="62">
        <f t="shared" si="0"/>
        <v>0</v>
      </c>
      <c r="L46" s="62">
        <f t="shared" si="1"/>
        <v>0</v>
      </c>
      <c r="M46" s="62">
        <f t="shared" si="2"/>
        <v>0</v>
      </c>
      <c r="N46" s="62">
        <f t="shared" si="3"/>
        <v>0</v>
      </c>
      <c r="O46" s="62">
        <f t="shared" si="4"/>
        <v>0</v>
      </c>
      <c r="P46" s="62">
        <f t="shared" si="5"/>
        <v>0</v>
      </c>
      <c r="Q46" s="62">
        <f t="shared" si="6"/>
        <v>0</v>
      </c>
      <c r="R46" s="62" t="e">
        <f t="shared" si="7"/>
        <v>#DIV/0!</v>
      </c>
    </row>
    <row r="47" spans="1:18" ht="20.100000000000001" hidden="1" customHeight="1">
      <c r="A47" s="94">
        <f>'INTERNAL TEST-1  '!A51</f>
        <v>0</v>
      </c>
      <c r="B47" s="94">
        <f>'INTERNAL TEST-1  '!B51</f>
        <v>0</v>
      </c>
      <c r="C47" s="95">
        <f>'INTERNAL TEST-1  '!C51</f>
        <v>0</v>
      </c>
      <c r="D47" s="92"/>
      <c r="E47" s="92"/>
      <c r="F47" s="92"/>
      <c r="G47" s="92"/>
      <c r="H47" s="92"/>
      <c r="I47" s="92"/>
      <c r="J47" s="92"/>
      <c r="K47" s="62">
        <f t="shared" si="0"/>
        <v>0</v>
      </c>
      <c r="L47" s="62">
        <f t="shared" si="1"/>
        <v>0</v>
      </c>
      <c r="M47" s="62">
        <f t="shared" si="2"/>
        <v>0</v>
      </c>
      <c r="N47" s="62">
        <f t="shared" si="3"/>
        <v>0</v>
      </c>
      <c r="O47" s="62">
        <f t="shared" si="4"/>
        <v>0</v>
      </c>
      <c r="P47" s="62">
        <f t="shared" si="5"/>
        <v>0</v>
      </c>
      <c r="Q47" s="62">
        <f t="shared" si="6"/>
        <v>0</v>
      </c>
      <c r="R47" s="62" t="e">
        <f t="shared" si="7"/>
        <v>#DIV/0!</v>
      </c>
    </row>
    <row r="48" spans="1:18" ht="20.100000000000001" hidden="1" customHeight="1">
      <c r="A48" s="94">
        <f>'INTERNAL TEST-1  '!A52</f>
        <v>0</v>
      </c>
      <c r="B48" s="94">
        <f>'INTERNAL TEST-1  '!B52</f>
        <v>0</v>
      </c>
      <c r="C48" s="95">
        <f>'INTERNAL TEST-1  '!C52</f>
        <v>0</v>
      </c>
      <c r="D48" s="92"/>
      <c r="E48" s="92"/>
      <c r="F48" s="92"/>
      <c r="G48" s="92"/>
      <c r="H48" s="92"/>
      <c r="I48" s="92"/>
      <c r="J48" s="92"/>
      <c r="K48" s="62">
        <f t="shared" si="0"/>
        <v>0</v>
      </c>
      <c r="L48" s="62">
        <f t="shared" si="1"/>
        <v>0</v>
      </c>
      <c r="M48" s="62">
        <f t="shared" si="2"/>
        <v>0</v>
      </c>
      <c r="N48" s="62">
        <f t="shared" si="3"/>
        <v>0</v>
      </c>
      <c r="O48" s="62">
        <f t="shared" si="4"/>
        <v>0</v>
      </c>
      <c r="P48" s="62">
        <f t="shared" si="5"/>
        <v>0</v>
      </c>
      <c r="Q48" s="62">
        <f t="shared" si="6"/>
        <v>0</v>
      </c>
      <c r="R48" s="62" t="e">
        <f t="shared" si="7"/>
        <v>#DIV/0!</v>
      </c>
    </row>
    <row r="49" spans="1:18" ht="20.100000000000001" hidden="1" customHeight="1">
      <c r="A49" s="94">
        <f>'INTERNAL TEST-1  '!A53</f>
        <v>0</v>
      </c>
      <c r="B49" s="94">
        <f>'INTERNAL TEST-1  '!B53</f>
        <v>0</v>
      </c>
      <c r="C49" s="95">
        <f>'INTERNAL TEST-1  '!C53</f>
        <v>0</v>
      </c>
      <c r="D49" s="92"/>
      <c r="E49" s="92"/>
      <c r="F49" s="92"/>
      <c r="G49" s="92"/>
      <c r="H49" s="92"/>
      <c r="I49" s="92"/>
      <c r="J49" s="92"/>
      <c r="K49" s="62">
        <f t="shared" si="0"/>
        <v>0</v>
      </c>
      <c r="L49" s="62">
        <f t="shared" si="1"/>
        <v>0</v>
      </c>
      <c r="M49" s="62">
        <f t="shared" si="2"/>
        <v>0</v>
      </c>
      <c r="N49" s="62">
        <f t="shared" si="3"/>
        <v>0</v>
      </c>
      <c r="O49" s="62">
        <f t="shared" si="4"/>
        <v>0</v>
      </c>
      <c r="P49" s="62">
        <f t="shared" si="5"/>
        <v>0</v>
      </c>
      <c r="Q49" s="62">
        <f t="shared" si="6"/>
        <v>0</v>
      </c>
      <c r="R49" s="62" t="e">
        <f t="shared" si="7"/>
        <v>#DIV/0!</v>
      </c>
    </row>
    <row r="50" spans="1:18" ht="20.100000000000001" hidden="1" customHeight="1">
      <c r="A50" s="94">
        <f>'INTERNAL TEST-1  '!A54</f>
        <v>0</v>
      </c>
      <c r="B50" s="94">
        <f>'INTERNAL TEST-1  '!B54</f>
        <v>0</v>
      </c>
      <c r="C50" s="95">
        <f>'INTERNAL TEST-1  '!C54</f>
        <v>0</v>
      </c>
      <c r="D50" s="92"/>
      <c r="E50" s="92"/>
      <c r="F50" s="92"/>
      <c r="G50" s="92"/>
      <c r="H50" s="92"/>
      <c r="I50" s="92"/>
      <c r="J50" s="92"/>
      <c r="K50" s="62">
        <f t="shared" si="0"/>
        <v>0</v>
      </c>
      <c r="L50" s="62">
        <f t="shared" si="1"/>
        <v>0</v>
      </c>
      <c r="M50" s="62">
        <f t="shared" si="2"/>
        <v>0</v>
      </c>
      <c r="N50" s="62">
        <f t="shared" si="3"/>
        <v>0</v>
      </c>
      <c r="O50" s="62">
        <f t="shared" si="4"/>
        <v>0</v>
      </c>
      <c r="P50" s="62">
        <f t="shared" si="5"/>
        <v>0</v>
      </c>
      <c r="Q50" s="62">
        <f t="shared" si="6"/>
        <v>0</v>
      </c>
      <c r="R50" s="62" t="e">
        <f t="shared" si="7"/>
        <v>#DIV/0!</v>
      </c>
    </row>
    <row r="51" spans="1:18" ht="20.100000000000001" hidden="1" customHeight="1">
      <c r="A51" s="94">
        <f>'INTERNAL TEST-1  '!A55</f>
        <v>0</v>
      </c>
      <c r="B51" s="94">
        <f>'INTERNAL TEST-1  '!B55</f>
        <v>0</v>
      </c>
      <c r="C51" s="95">
        <f>'INTERNAL TEST-1  '!C55</f>
        <v>0</v>
      </c>
      <c r="D51" s="92"/>
      <c r="E51" s="92"/>
      <c r="F51" s="92"/>
      <c r="G51" s="92"/>
      <c r="H51" s="92"/>
      <c r="I51" s="92"/>
      <c r="J51" s="92"/>
      <c r="K51" s="62">
        <f t="shared" si="0"/>
        <v>0</v>
      </c>
      <c r="L51" s="62">
        <f t="shared" si="1"/>
        <v>0</v>
      </c>
      <c r="M51" s="62">
        <f t="shared" si="2"/>
        <v>0</v>
      </c>
      <c r="N51" s="62">
        <f t="shared" si="3"/>
        <v>0</v>
      </c>
      <c r="O51" s="62">
        <f t="shared" si="4"/>
        <v>0</v>
      </c>
      <c r="P51" s="62">
        <f t="shared" si="5"/>
        <v>0</v>
      </c>
      <c r="Q51" s="62">
        <f t="shared" si="6"/>
        <v>0</v>
      </c>
      <c r="R51" s="62" t="e">
        <f t="shared" si="7"/>
        <v>#DIV/0!</v>
      </c>
    </row>
    <row r="52" spans="1:18" ht="20.100000000000001" hidden="1" customHeight="1">
      <c r="A52" s="94">
        <f>'INTERNAL TEST-1  '!A56</f>
        <v>0</v>
      </c>
      <c r="B52" s="94">
        <f>'INTERNAL TEST-1  '!B56</f>
        <v>0</v>
      </c>
      <c r="C52" s="95">
        <f>'INTERNAL TEST-1  '!C56</f>
        <v>0</v>
      </c>
      <c r="D52" s="92"/>
      <c r="E52" s="92"/>
      <c r="F52" s="92"/>
      <c r="G52" s="92"/>
      <c r="H52" s="92"/>
      <c r="I52" s="92"/>
      <c r="J52" s="92"/>
      <c r="K52" s="62">
        <f t="shared" si="0"/>
        <v>0</v>
      </c>
      <c r="L52" s="62">
        <f t="shared" si="1"/>
        <v>0</v>
      </c>
      <c r="M52" s="62">
        <f t="shared" si="2"/>
        <v>0</v>
      </c>
      <c r="N52" s="62">
        <f t="shared" si="3"/>
        <v>0</v>
      </c>
      <c r="O52" s="62">
        <f t="shared" si="4"/>
        <v>0</v>
      </c>
      <c r="P52" s="62">
        <f t="shared" si="5"/>
        <v>0</v>
      </c>
      <c r="Q52" s="62">
        <f t="shared" si="6"/>
        <v>0</v>
      </c>
      <c r="R52" s="62" t="e">
        <f t="shared" si="7"/>
        <v>#DIV/0!</v>
      </c>
    </row>
    <row r="53" spans="1:18" ht="20.100000000000001" hidden="1" customHeight="1">
      <c r="A53" s="94">
        <f>'INTERNAL TEST-1  '!A57</f>
        <v>0</v>
      </c>
      <c r="B53" s="94">
        <f>'INTERNAL TEST-1  '!B57</f>
        <v>0</v>
      </c>
      <c r="C53" s="95">
        <f>'INTERNAL TEST-1  '!C57</f>
        <v>0</v>
      </c>
      <c r="D53" s="92"/>
      <c r="E53" s="92"/>
      <c r="F53" s="92"/>
      <c r="G53" s="92"/>
      <c r="H53" s="92"/>
      <c r="I53" s="92"/>
      <c r="J53" s="92"/>
      <c r="K53" s="62">
        <f t="shared" si="0"/>
        <v>0</v>
      </c>
      <c r="L53" s="62">
        <f t="shared" si="1"/>
        <v>0</v>
      </c>
      <c r="M53" s="62">
        <f t="shared" si="2"/>
        <v>0</v>
      </c>
      <c r="N53" s="62">
        <f t="shared" si="3"/>
        <v>0</v>
      </c>
      <c r="O53" s="62">
        <f t="shared" si="4"/>
        <v>0</v>
      </c>
      <c r="P53" s="62">
        <f t="shared" si="5"/>
        <v>0</v>
      </c>
      <c r="Q53" s="62">
        <f t="shared" si="6"/>
        <v>0</v>
      </c>
      <c r="R53" s="62" t="e">
        <f t="shared" si="7"/>
        <v>#DIV/0!</v>
      </c>
    </row>
    <row r="54" spans="1:18" hidden="1">
      <c r="A54" s="94">
        <f>'INTERNAL TEST-1  '!A58</f>
        <v>0</v>
      </c>
      <c r="B54" s="94">
        <f>'INTERNAL TEST-1  '!B58</f>
        <v>0</v>
      </c>
      <c r="C54" s="95">
        <f>'INTERNAL TEST-1  '!C58</f>
        <v>0</v>
      </c>
      <c r="D54" s="92"/>
      <c r="E54" s="92"/>
      <c r="F54" s="92"/>
      <c r="G54" s="92"/>
      <c r="H54" s="92"/>
      <c r="I54" s="92"/>
      <c r="J54" s="92"/>
      <c r="K54" s="62">
        <f t="shared" si="0"/>
        <v>0</v>
      </c>
      <c r="L54" s="62">
        <f t="shared" si="1"/>
        <v>0</v>
      </c>
      <c r="M54" s="62">
        <f t="shared" si="2"/>
        <v>0</v>
      </c>
      <c r="N54" s="62">
        <f t="shared" si="3"/>
        <v>0</v>
      </c>
      <c r="O54" s="62">
        <f t="shared" si="4"/>
        <v>0</v>
      </c>
      <c r="P54" s="62">
        <f t="shared" si="5"/>
        <v>0</v>
      </c>
      <c r="Q54" s="62">
        <f t="shared" si="6"/>
        <v>0</v>
      </c>
      <c r="R54" s="62" t="e">
        <f t="shared" si="7"/>
        <v>#DIV/0!</v>
      </c>
    </row>
    <row r="55" spans="1:18" ht="20.100000000000001" hidden="1" customHeight="1">
      <c r="A55" s="94">
        <f>'INTERNAL TEST-1  '!A59</f>
        <v>0</v>
      </c>
      <c r="B55" s="94">
        <f>'INTERNAL TEST-1  '!B59</f>
        <v>0</v>
      </c>
      <c r="C55" s="95">
        <f>'INTERNAL TEST-1  '!C59</f>
        <v>0</v>
      </c>
      <c r="D55" s="92"/>
      <c r="E55" s="92"/>
      <c r="F55" s="92"/>
      <c r="G55" s="92"/>
      <c r="H55" s="92"/>
      <c r="I55" s="92"/>
      <c r="J55" s="92"/>
      <c r="K55" s="62">
        <f t="shared" si="0"/>
        <v>0</v>
      </c>
      <c r="L55" s="62">
        <f t="shared" si="1"/>
        <v>0</v>
      </c>
      <c r="M55" s="62">
        <f t="shared" si="2"/>
        <v>0</v>
      </c>
      <c r="N55" s="62">
        <f t="shared" si="3"/>
        <v>0</v>
      </c>
      <c r="O55" s="62">
        <f t="shared" si="4"/>
        <v>0</v>
      </c>
      <c r="P55" s="62">
        <f t="shared" si="5"/>
        <v>0</v>
      </c>
      <c r="Q55" s="62">
        <f t="shared" si="6"/>
        <v>0</v>
      </c>
      <c r="R55" s="62" t="e">
        <f t="shared" si="7"/>
        <v>#DIV/0!</v>
      </c>
    </row>
    <row r="56" spans="1:18" ht="20.100000000000001" hidden="1" customHeight="1">
      <c r="A56" s="94">
        <f>'INTERNAL TEST-1  '!A60</f>
        <v>0</v>
      </c>
      <c r="B56" s="94">
        <f>'INTERNAL TEST-1  '!B60</f>
        <v>0</v>
      </c>
      <c r="C56" s="95">
        <f>'INTERNAL TEST-1  '!C60</f>
        <v>0</v>
      </c>
      <c r="D56" s="92"/>
      <c r="E56" s="92"/>
      <c r="F56" s="92"/>
      <c r="G56" s="92"/>
      <c r="H56" s="92"/>
      <c r="I56" s="92"/>
      <c r="J56" s="92"/>
      <c r="K56" s="62">
        <f t="shared" si="0"/>
        <v>0</v>
      </c>
      <c r="L56" s="62">
        <f t="shared" si="1"/>
        <v>0</v>
      </c>
      <c r="M56" s="62">
        <f t="shared" si="2"/>
        <v>0</v>
      </c>
      <c r="N56" s="62">
        <f t="shared" si="3"/>
        <v>0</v>
      </c>
      <c r="O56" s="62">
        <f t="shared" si="4"/>
        <v>0</v>
      </c>
      <c r="P56" s="62">
        <f t="shared" si="5"/>
        <v>0</v>
      </c>
      <c r="Q56" s="62">
        <f t="shared" si="6"/>
        <v>0</v>
      </c>
      <c r="R56" s="62" t="e">
        <f t="shared" si="7"/>
        <v>#DIV/0!</v>
      </c>
    </row>
    <row r="57" spans="1:18" ht="20.100000000000001" hidden="1" customHeight="1">
      <c r="A57" s="94">
        <f>'INTERNAL TEST-1  '!A61</f>
        <v>0</v>
      </c>
      <c r="B57" s="94">
        <f>'INTERNAL TEST-1  '!B61</f>
        <v>0</v>
      </c>
      <c r="C57" s="95">
        <f>'INTERNAL TEST-1  '!C61</f>
        <v>0</v>
      </c>
      <c r="D57" s="92"/>
      <c r="E57" s="92"/>
      <c r="F57" s="92"/>
      <c r="G57" s="92"/>
      <c r="H57" s="92"/>
      <c r="I57" s="92"/>
      <c r="J57" s="92"/>
      <c r="K57" s="62">
        <f t="shared" si="0"/>
        <v>0</v>
      </c>
      <c r="L57" s="62">
        <f t="shared" si="1"/>
        <v>0</v>
      </c>
      <c r="M57" s="62">
        <f t="shared" si="2"/>
        <v>0</v>
      </c>
      <c r="N57" s="62">
        <f t="shared" si="3"/>
        <v>0</v>
      </c>
      <c r="O57" s="62">
        <f t="shared" si="4"/>
        <v>0</v>
      </c>
      <c r="P57" s="62">
        <f t="shared" si="5"/>
        <v>0</v>
      </c>
      <c r="Q57" s="62">
        <f t="shared" si="6"/>
        <v>0</v>
      </c>
      <c r="R57" s="62" t="e">
        <f t="shared" si="7"/>
        <v>#DIV/0!</v>
      </c>
    </row>
    <row r="58" spans="1:18" ht="20.100000000000001" hidden="1" customHeight="1">
      <c r="A58" s="94">
        <f>'INTERNAL TEST-1  '!A62</f>
        <v>0</v>
      </c>
      <c r="B58" s="94">
        <f>'INTERNAL TEST-1  '!B62</f>
        <v>0</v>
      </c>
      <c r="C58" s="95">
        <f>'INTERNAL TEST-1  '!C62</f>
        <v>0</v>
      </c>
      <c r="D58" s="92"/>
      <c r="E58" s="92"/>
      <c r="F58" s="92"/>
      <c r="G58" s="92"/>
      <c r="H58" s="92"/>
      <c r="I58" s="92"/>
      <c r="J58" s="92"/>
      <c r="K58" s="62">
        <f t="shared" si="0"/>
        <v>0</v>
      </c>
      <c r="L58" s="62">
        <f t="shared" si="1"/>
        <v>0</v>
      </c>
      <c r="M58" s="62">
        <f t="shared" si="2"/>
        <v>0</v>
      </c>
      <c r="N58" s="62">
        <f t="shared" si="3"/>
        <v>0</v>
      </c>
      <c r="O58" s="62">
        <f t="shared" si="4"/>
        <v>0</v>
      </c>
      <c r="P58" s="62">
        <f t="shared" si="5"/>
        <v>0</v>
      </c>
      <c r="Q58" s="62">
        <f t="shared" si="6"/>
        <v>0</v>
      </c>
      <c r="R58" s="62" t="e">
        <f t="shared" si="7"/>
        <v>#DIV/0!</v>
      </c>
    </row>
    <row r="59" spans="1:18" ht="20.100000000000001" hidden="1" customHeight="1">
      <c r="A59" s="94">
        <f>'INTERNAL TEST-1  '!A63</f>
        <v>0</v>
      </c>
      <c r="B59" s="94">
        <f>'INTERNAL TEST-1  '!B63</f>
        <v>0</v>
      </c>
      <c r="C59" s="95">
        <f>'INTERNAL TEST-1  '!C63</f>
        <v>0</v>
      </c>
      <c r="D59" s="92"/>
      <c r="E59" s="92"/>
      <c r="F59" s="92"/>
      <c r="G59" s="92"/>
      <c r="H59" s="92"/>
      <c r="I59" s="92"/>
      <c r="J59" s="92"/>
      <c r="K59" s="62">
        <f t="shared" si="0"/>
        <v>0</v>
      </c>
      <c r="L59" s="62">
        <f t="shared" si="1"/>
        <v>0</v>
      </c>
      <c r="M59" s="62">
        <f t="shared" si="2"/>
        <v>0</v>
      </c>
      <c r="N59" s="62">
        <f t="shared" si="3"/>
        <v>0</v>
      </c>
      <c r="O59" s="62">
        <f t="shared" si="4"/>
        <v>0</v>
      </c>
      <c r="P59" s="62">
        <f t="shared" si="5"/>
        <v>0</v>
      </c>
      <c r="Q59" s="62">
        <f t="shared" si="6"/>
        <v>0</v>
      </c>
      <c r="R59" s="62" t="e">
        <f t="shared" si="7"/>
        <v>#DIV/0!</v>
      </c>
    </row>
    <row r="60" spans="1:18" ht="20.100000000000001" hidden="1" customHeight="1">
      <c r="A60" s="94">
        <f>'INTERNAL TEST-1  '!A64</f>
        <v>0</v>
      </c>
      <c r="B60" s="94">
        <f>'INTERNAL TEST-1  '!B64</f>
        <v>0</v>
      </c>
      <c r="C60" s="95">
        <f>'INTERNAL TEST-1  '!C64</f>
        <v>0</v>
      </c>
      <c r="D60" s="92"/>
      <c r="E60" s="92"/>
      <c r="F60" s="92"/>
      <c r="G60" s="92"/>
      <c r="H60" s="92"/>
      <c r="I60" s="92"/>
      <c r="J60" s="92"/>
      <c r="K60" s="62">
        <f t="shared" si="0"/>
        <v>0</v>
      </c>
      <c r="L60" s="62">
        <f t="shared" si="1"/>
        <v>0</v>
      </c>
      <c r="M60" s="62">
        <f t="shared" si="2"/>
        <v>0</v>
      </c>
      <c r="N60" s="62">
        <f t="shared" si="3"/>
        <v>0</v>
      </c>
      <c r="O60" s="62">
        <f t="shared" si="4"/>
        <v>0</v>
      </c>
      <c r="P60" s="62">
        <f t="shared" si="5"/>
        <v>0</v>
      </c>
      <c r="Q60" s="62">
        <f t="shared" si="6"/>
        <v>0</v>
      </c>
      <c r="R60" s="62" t="e">
        <f t="shared" si="7"/>
        <v>#DIV/0!</v>
      </c>
    </row>
    <row r="61" spans="1:18" ht="20.100000000000001" hidden="1" customHeight="1">
      <c r="A61" s="94">
        <f>'INTERNAL TEST-1  '!A65</f>
        <v>0</v>
      </c>
      <c r="B61" s="94">
        <f>'INTERNAL TEST-1  '!B65</f>
        <v>0</v>
      </c>
      <c r="C61" s="95">
        <f>'INTERNAL TEST-1  '!C65</f>
        <v>0</v>
      </c>
      <c r="D61" s="92"/>
      <c r="E61" s="92"/>
      <c r="F61" s="92"/>
      <c r="G61" s="92"/>
      <c r="H61" s="92"/>
      <c r="I61" s="92"/>
      <c r="J61" s="92"/>
      <c r="K61" s="62">
        <f t="shared" si="0"/>
        <v>0</v>
      </c>
      <c r="L61" s="62">
        <f t="shared" si="1"/>
        <v>0</v>
      </c>
      <c r="M61" s="62">
        <f t="shared" si="2"/>
        <v>0</v>
      </c>
      <c r="N61" s="62">
        <f t="shared" si="3"/>
        <v>0</v>
      </c>
      <c r="O61" s="62">
        <f t="shared" si="4"/>
        <v>0</v>
      </c>
      <c r="P61" s="62">
        <f t="shared" si="5"/>
        <v>0</v>
      </c>
      <c r="Q61" s="62">
        <f t="shared" si="6"/>
        <v>0</v>
      </c>
      <c r="R61" s="62" t="e">
        <f t="shared" si="7"/>
        <v>#DIV/0!</v>
      </c>
    </row>
    <row r="62" spans="1:18" ht="20.100000000000001" hidden="1" customHeight="1">
      <c r="A62" s="94">
        <f>'INTERNAL TEST-1  '!A66</f>
        <v>0</v>
      </c>
      <c r="B62" s="94">
        <f>'INTERNAL TEST-1  '!B66</f>
        <v>0</v>
      </c>
      <c r="C62" s="95">
        <f>'INTERNAL TEST-1  '!C66</f>
        <v>0</v>
      </c>
      <c r="D62" s="92"/>
      <c r="E62" s="92"/>
      <c r="F62" s="92"/>
      <c r="G62" s="92"/>
      <c r="H62" s="92"/>
      <c r="I62" s="92"/>
      <c r="J62" s="92"/>
      <c r="K62" s="62">
        <f t="shared" si="0"/>
        <v>0</v>
      </c>
      <c r="L62" s="62">
        <f t="shared" si="1"/>
        <v>0</v>
      </c>
      <c r="M62" s="62">
        <f t="shared" si="2"/>
        <v>0</v>
      </c>
      <c r="N62" s="62">
        <f t="shared" si="3"/>
        <v>0</v>
      </c>
      <c r="O62" s="62">
        <f t="shared" si="4"/>
        <v>0</v>
      </c>
      <c r="P62" s="62">
        <f t="shared" si="5"/>
        <v>0</v>
      </c>
      <c r="Q62" s="62">
        <f t="shared" si="6"/>
        <v>0</v>
      </c>
      <c r="R62" s="62" t="e">
        <f t="shared" si="7"/>
        <v>#DIV/0!</v>
      </c>
    </row>
    <row r="63" spans="1:18" ht="20.100000000000001" hidden="1" customHeight="1">
      <c r="A63" s="94">
        <f>'INTERNAL TEST-1  '!A67</f>
        <v>0</v>
      </c>
      <c r="B63" s="94">
        <f>'INTERNAL TEST-1  '!B67</f>
        <v>0</v>
      </c>
      <c r="C63" s="95">
        <f>'INTERNAL TEST-1  '!C67</f>
        <v>0</v>
      </c>
      <c r="D63" s="92"/>
      <c r="E63" s="92"/>
      <c r="F63" s="92"/>
      <c r="G63" s="92"/>
      <c r="H63" s="92"/>
      <c r="I63" s="92"/>
      <c r="J63" s="92"/>
      <c r="K63" s="62">
        <f t="shared" si="0"/>
        <v>0</v>
      </c>
      <c r="L63" s="62">
        <f t="shared" si="1"/>
        <v>0</v>
      </c>
      <c r="M63" s="62">
        <f t="shared" si="2"/>
        <v>0</v>
      </c>
      <c r="N63" s="62">
        <f t="shared" si="3"/>
        <v>0</v>
      </c>
      <c r="O63" s="62">
        <f t="shared" si="4"/>
        <v>0</v>
      </c>
      <c r="P63" s="62">
        <f t="shared" si="5"/>
        <v>0</v>
      </c>
      <c r="Q63" s="62">
        <f t="shared" si="6"/>
        <v>0</v>
      </c>
      <c r="R63" s="62" t="e">
        <f t="shared" si="7"/>
        <v>#DIV/0!</v>
      </c>
    </row>
    <row r="64" spans="1:18" ht="20.100000000000001" hidden="1" customHeight="1">
      <c r="A64" s="94">
        <f>'INTERNAL TEST-1  '!A68</f>
        <v>0</v>
      </c>
      <c r="B64" s="94">
        <f>'INTERNAL TEST-1  '!B68</f>
        <v>0</v>
      </c>
      <c r="C64" s="95">
        <f>'INTERNAL TEST-1  '!C68</f>
        <v>0</v>
      </c>
      <c r="D64" s="92"/>
      <c r="E64" s="92"/>
      <c r="F64" s="92"/>
      <c r="G64" s="92"/>
      <c r="H64" s="92"/>
      <c r="I64" s="92"/>
      <c r="J64" s="92"/>
      <c r="K64" s="62">
        <f t="shared" si="0"/>
        <v>0</v>
      </c>
      <c r="L64" s="62">
        <f t="shared" si="1"/>
        <v>0</v>
      </c>
      <c r="M64" s="62">
        <f t="shared" si="2"/>
        <v>0</v>
      </c>
      <c r="N64" s="62">
        <f t="shared" si="3"/>
        <v>0</v>
      </c>
      <c r="O64" s="62">
        <f t="shared" si="4"/>
        <v>0</v>
      </c>
      <c r="P64" s="62">
        <f t="shared" si="5"/>
        <v>0</v>
      </c>
      <c r="Q64" s="62">
        <f t="shared" si="6"/>
        <v>0</v>
      </c>
      <c r="R64" s="62" t="e">
        <f t="shared" si="7"/>
        <v>#DIV/0!</v>
      </c>
    </row>
    <row r="65" spans="1:18" ht="20.100000000000001" hidden="1" customHeight="1">
      <c r="A65" s="94">
        <f>'INTERNAL TEST-1  '!A69</f>
        <v>0</v>
      </c>
      <c r="B65" s="94">
        <f>'INTERNAL TEST-1  '!B69</f>
        <v>0</v>
      </c>
      <c r="C65" s="95">
        <f>'INTERNAL TEST-1  '!C69</f>
        <v>0</v>
      </c>
      <c r="D65" s="92"/>
      <c r="E65" s="92"/>
      <c r="F65" s="92"/>
      <c r="G65" s="92"/>
      <c r="H65" s="92"/>
      <c r="I65" s="92"/>
      <c r="J65" s="92"/>
      <c r="K65" s="62">
        <f t="shared" si="0"/>
        <v>0</v>
      </c>
      <c r="L65" s="62">
        <f t="shared" si="1"/>
        <v>0</v>
      </c>
      <c r="M65" s="62">
        <f t="shared" si="2"/>
        <v>0</v>
      </c>
      <c r="N65" s="62">
        <f t="shared" si="3"/>
        <v>0</v>
      </c>
      <c r="O65" s="62">
        <f t="shared" si="4"/>
        <v>0</v>
      </c>
      <c r="P65" s="62">
        <f t="shared" si="5"/>
        <v>0</v>
      </c>
      <c r="Q65" s="62">
        <f t="shared" si="6"/>
        <v>0</v>
      </c>
      <c r="R65" s="62" t="e">
        <f t="shared" si="7"/>
        <v>#DIV/0!</v>
      </c>
    </row>
    <row r="66" spans="1:18" ht="20.100000000000001" hidden="1" customHeight="1">
      <c r="A66" s="94">
        <f>'INTERNAL TEST-1  '!A70</f>
        <v>0</v>
      </c>
      <c r="B66" s="94">
        <f>'INTERNAL TEST-1  '!B70</f>
        <v>0</v>
      </c>
      <c r="C66" s="95">
        <f>'INTERNAL TEST-1  '!C70</f>
        <v>0</v>
      </c>
      <c r="D66" s="92"/>
      <c r="E66" s="92"/>
      <c r="F66" s="92"/>
      <c r="G66" s="92"/>
      <c r="H66" s="92"/>
      <c r="I66" s="92"/>
      <c r="J66" s="92"/>
      <c r="K66" s="62">
        <f t="shared" si="0"/>
        <v>0</v>
      </c>
      <c r="L66" s="62">
        <f t="shared" si="1"/>
        <v>0</v>
      </c>
      <c r="M66" s="62">
        <f t="shared" si="2"/>
        <v>0</v>
      </c>
      <c r="N66" s="62">
        <f t="shared" si="3"/>
        <v>0</v>
      </c>
      <c r="O66" s="62">
        <f t="shared" si="4"/>
        <v>0</v>
      </c>
      <c r="P66" s="62">
        <f t="shared" si="5"/>
        <v>0</v>
      </c>
      <c r="Q66" s="62">
        <f t="shared" si="6"/>
        <v>0</v>
      </c>
      <c r="R66" s="62" t="e">
        <f t="shared" si="7"/>
        <v>#DIV/0!</v>
      </c>
    </row>
    <row r="67" spans="1:18" ht="20.100000000000001" hidden="1" customHeight="1">
      <c r="A67" s="94">
        <f>'INTERNAL TEST-1  '!A71</f>
        <v>0</v>
      </c>
      <c r="B67" s="94">
        <f>'INTERNAL TEST-1  '!B71</f>
        <v>0</v>
      </c>
      <c r="C67" s="95">
        <f>'INTERNAL TEST-1  '!C71</f>
        <v>0</v>
      </c>
      <c r="D67" s="92"/>
      <c r="E67" s="92"/>
      <c r="F67" s="92"/>
      <c r="G67" s="92"/>
      <c r="H67" s="92"/>
      <c r="I67" s="92"/>
      <c r="J67" s="92"/>
      <c r="K67" s="62">
        <f t="shared" si="0"/>
        <v>0</v>
      </c>
      <c r="L67" s="62">
        <f t="shared" si="1"/>
        <v>0</v>
      </c>
      <c r="M67" s="62">
        <f t="shared" si="2"/>
        <v>0</v>
      </c>
      <c r="N67" s="62">
        <f t="shared" si="3"/>
        <v>0</v>
      </c>
      <c r="O67" s="62">
        <f t="shared" si="4"/>
        <v>0</v>
      </c>
      <c r="P67" s="62">
        <f t="shared" si="5"/>
        <v>0</v>
      </c>
      <c r="Q67" s="62">
        <f t="shared" si="6"/>
        <v>0</v>
      </c>
      <c r="R67" s="62" t="e">
        <f t="shared" si="7"/>
        <v>#DIV/0!</v>
      </c>
    </row>
    <row r="68" spans="1:18" ht="20.100000000000001" hidden="1" customHeight="1">
      <c r="A68" s="94">
        <f>'INTERNAL TEST-1  '!A72</f>
        <v>0</v>
      </c>
      <c r="B68" s="94">
        <f>'INTERNAL TEST-1  '!B72</f>
        <v>0</v>
      </c>
      <c r="C68" s="95">
        <f>'INTERNAL TEST-1  '!C72</f>
        <v>0</v>
      </c>
      <c r="D68" s="92"/>
      <c r="E68" s="92"/>
      <c r="F68" s="92"/>
      <c r="G68" s="92"/>
      <c r="H68" s="92"/>
      <c r="I68" s="92"/>
      <c r="J68" s="92"/>
      <c r="K68" s="62">
        <f t="shared" si="0"/>
        <v>0</v>
      </c>
      <c r="L68" s="62">
        <f t="shared" si="1"/>
        <v>0</v>
      </c>
      <c r="M68" s="62">
        <f t="shared" si="2"/>
        <v>0</v>
      </c>
      <c r="N68" s="62">
        <f t="shared" si="3"/>
        <v>0</v>
      </c>
      <c r="O68" s="62">
        <f t="shared" si="4"/>
        <v>0</v>
      </c>
      <c r="P68" s="62">
        <f t="shared" si="5"/>
        <v>0</v>
      </c>
      <c r="Q68" s="62">
        <f t="shared" si="6"/>
        <v>0</v>
      </c>
      <c r="R68" s="62" t="e">
        <f t="shared" si="7"/>
        <v>#DIV/0!</v>
      </c>
    </row>
    <row r="69" spans="1:18" ht="20.100000000000001" hidden="1" customHeight="1">
      <c r="A69" s="94">
        <f>'INTERNAL TEST-1  '!A73</f>
        <v>0</v>
      </c>
      <c r="B69" s="94">
        <f>'INTERNAL TEST-1  '!B73</f>
        <v>0</v>
      </c>
      <c r="C69" s="95">
        <f>'INTERNAL TEST-1  '!C73</f>
        <v>0</v>
      </c>
      <c r="D69" s="92"/>
      <c r="E69" s="92"/>
      <c r="F69" s="92"/>
      <c r="G69" s="92"/>
      <c r="H69" s="92"/>
      <c r="I69" s="92"/>
      <c r="J69" s="92"/>
      <c r="K69" s="62">
        <f t="shared" si="0"/>
        <v>0</v>
      </c>
      <c r="L69" s="62">
        <f t="shared" si="1"/>
        <v>0</v>
      </c>
      <c r="M69" s="62">
        <f t="shared" si="2"/>
        <v>0</v>
      </c>
      <c r="N69" s="62">
        <f t="shared" si="3"/>
        <v>0</v>
      </c>
      <c r="O69" s="62">
        <f t="shared" si="4"/>
        <v>0</v>
      </c>
      <c r="P69" s="62">
        <f t="shared" si="5"/>
        <v>0</v>
      </c>
      <c r="Q69" s="62">
        <f t="shared" si="6"/>
        <v>0</v>
      </c>
      <c r="R69" s="62" t="e">
        <f t="shared" si="7"/>
        <v>#DIV/0!</v>
      </c>
    </row>
    <row r="70" spans="1:18" ht="20.100000000000001" hidden="1" customHeight="1">
      <c r="A70" s="94">
        <f>'INTERNAL TEST-1  '!A74</f>
        <v>0</v>
      </c>
      <c r="B70" s="94">
        <f>'INTERNAL TEST-1  '!B74</f>
        <v>0</v>
      </c>
      <c r="C70" s="95">
        <f>'INTERNAL TEST-1  '!C74</f>
        <v>0</v>
      </c>
      <c r="D70" s="92"/>
      <c r="E70" s="92"/>
      <c r="F70" s="92"/>
      <c r="G70" s="92"/>
      <c r="H70" s="92"/>
      <c r="I70" s="92"/>
      <c r="J70" s="92"/>
      <c r="K70" s="62">
        <f t="shared" si="0"/>
        <v>0</v>
      </c>
      <c r="L70" s="62">
        <f t="shared" si="1"/>
        <v>0</v>
      </c>
      <c r="M70" s="62">
        <f t="shared" si="2"/>
        <v>0</v>
      </c>
      <c r="N70" s="62">
        <f t="shared" si="3"/>
        <v>0</v>
      </c>
      <c r="O70" s="62">
        <f t="shared" si="4"/>
        <v>0</v>
      </c>
      <c r="P70" s="62">
        <f t="shared" si="5"/>
        <v>0</v>
      </c>
      <c r="Q70" s="62">
        <f t="shared" si="6"/>
        <v>0</v>
      </c>
      <c r="R70" s="62" t="e">
        <f t="shared" si="7"/>
        <v>#DIV/0!</v>
      </c>
    </row>
    <row r="71" spans="1:18" ht="20.100000000000001" hidden="1" customHeight="1">
      <c r="A71" s="94">
        <f>'INTERNAL TEST-1  '!A75</f>
        <v>0</v>
      </c>
      <c r="B71" s="94">
        <f>'INTERNAL TEST-1  '!B75</f>
        <v>0</v>
      </c>
      <c r="C71" s="95">
        <f>'INTERNAL TEST-1  '!C75</f>
        <v>0</v>
      </c>
      <c r="D71" s="92"/>
      <c r="E71" s="92"/>
      <c r="F71" s="92"/>
      <c r="G71" s="92"/>
      <c r="H71" s="92"/>
      <c r="I71" s="92"/>
      <c r="J71" s="92"/>
      <c r="K71" s="62">
        <f t="shared" si="0"/>
        <v>0</v>
      </c>
      <c r="L71" s="62">
        <f t="shared" si="1"/>
        <v>0</v>
      </c>
      <c r="M71" s="62">
        <f t="shared" si="2"/>
        <v>0</v>
      </c>
      <c r="N71" s="62">
        <f t="shared" si="3"/>
        <v>0</v>
      </c>
      <c r="O71" s="62">
        <f t="shared" si="4"/>
        <v>0</v>
      </c>
      <c r="P71" s="62">
        <f t="shared" si="5"/>
        <v>0</v>
      </c>
      <c r="Q71" s="62">
        <f t="shared" si="6"/>
        <v>0</v>
      </c>
      <c r="R71" s="62" t="e">
        <f t="shared" si="7"/>
        <v>#DIV/0!</v>
      </c>
    </row>
    <row r="72" spans="1:18" ht="20.100000000000001" hidden="1" customHeight="1">
      <c r="A72" s="94">
        <f>'INTERNAL TEST-1  '!A76</f>
        <v>0</v>
      </c>
      <c r="B72" s="94">
        <f>'INTERNAL TEST-1  '!B76</f>
        <v>0</v>
      </c>
      <c r="C72" s="95">
        <f>'INTERNAL TEST-1  '!C76</f>
        <v>0</v>
      </c>
      <c r="D72" s="92"/>
      <c r="E72" s="92"/>
      <c r="F72" s="92"/>
      <c r="G72" s="92"/>
      <c r="H72" s="92"/>
      <c r="I72" s="92"/>
      <c r="J72" s="92"/>
      <c r="K72" s="62">
        <f t="shared" si="0"/>
        <v>0</v>
      </c>
      <c r="L72" s="62">
        <f t="shared" si="1"/>
        <v>0</v>
      </c>
      <c r="M72" s="62">
        <f t="shared" si="2"/>
        <v>0</v>
      </c>
      <c r="N72" s="62">
        <f t="shared" si="3"/>
        <v>0</v>
      </c>
      <c r="O72" s="62">
        <f t="shared" si="4"/>
        <v>0</v>
      </c>
      <c r="P72" s="62">
        <f t="shared" si="5"/>
        <v>0</v>
      </c>
      <c r="Q72" s="62">
        <f t="shared" si="6"/>
        <v>0</v>
      </c>
      <c r="R72" s="62" t="e">
        <f t="shared" si="7"/>
        <v>#DIV/0!</v>
      </c>
    </row>
    <row r="73" spans="1:18" ht="20.100000000000001" hidden="1" customHeight="1">
      <c r="A73" s="94">
        <f>'INTERNAL TEST-1  '!A77</f>
        <v>0</v>
      </c>
      <c r="B73" s="94">
        <f>'INTERNAL TEST-1  '!B77</f>
        <v>0</v>
      </c>
      <c r="C73" s="95">
        <f>'INTERNAL TEST-1  '!C77</f>
        <v>0</v>
      </c>
      <c r="D73" s="92"/>
      <c r="E73" s="92"/>
      <c r="F73" s="92"/>
      <c r="G73" s="92"/>
      <c r="H73" s="92"/>
      <c r="I73" s="92"/>
      <c r="J73" s="92"/>
      <c r="K73" s="62">
        <f t="shared" si="0"/>
        <v>0</v>
      </c>
      <c r="L73" s="62">
        <f t="shared" si="1"/>
        <v>0</v>
      </c>
      <c r="M73" s="62">
        <f t="shared" si="2"/>
        <v>0</v>
      </c>
      <c r="N73" s="62">
        <f t="shared" si="3"/>
        <v>0</v>
      </c>
      <c r="O73" s="62">
        <f t="shared" si="4"/>
        <v>0</v>
      </c>
      <c r="P73" s="62">
        <f t="shared" si="5"/>
        <v>0</v>
      </c>
      <c r="Q73" s="62">
        <f t="shared" si="6"/>
        <v>0</v>
      </c>
      <c r="R73" s="62" t="e">
        <f t="shared" si="7"/>
        <v>#DIV/0!</v>
      </c>
    </row>
    <row r="74" spans="1:18" ht="20.100000000000001" hidden="1" customHeight="1">
      <c r="A74" s="94">
        <f>'INTERNAL TEST-1  '!A78</f>
        <v>0</v>
      </c>
      <c r="B74" s="94">
        <f>'INTERNAL TEST-1  '!B78</f>
        <v>0</v>
      </c>
      <c r="C74" s="95">
        <f>'INTERNAL TEST-1  '!C78</f>
        <v>0</v>
      </c>
      <c r="D74" s="92"/>
      <c r="E74" s="92"/>
      <c r="F74" s="92"/>
      <c r="G74" s="92"/>
      <c r="H74" s="92"/>
      <c r="I74" s="92"/>
      <c r="J74" s="92"/>
      <c r="K74" s="62">
        <f t="shared" si="0"/>
        <v>0</v>
      </c>
      <c r="L74" s="62">
        <f t="shared" si="1"/>
        <v>0</v>
      </c>
      <c r="M74" s="62">
        <f t="shared" si="2"/>
        <v>0</v>
      </c>
      <c r="N74" s="62">
        <f t="shared" si="3"/>
        <v>0</v>
      </c>
      <c r="O74" s="62">
        <f t="shared" si="4"/>
        <v>0</v>
      </c>
      <c r="P74" s="62">
        <f t="shared" si="5"/>
        <v>0</v>
      </c>
      <c r="Q74" s="62">
        <f t="shared" si="6"/>
        <v>0</v>
      </c>
      <c r="R74" s="62" t="e">
        <f t="shared" si="7"/>
        <v>#DIV/0!</v>
      </c>
    </row>
    <row r="75" spans="1:18" ht="20.100000000000001" hidden="1" customHeight="1">
      <c r="A75" s="94">
        <f>'INTERNAL TEST-1  '!A79</f>
        <v>0</v>
      </c>
      <c r="B75" s="94">
        <f>'INTERNAL TEST-1  '!B79</f>
        <v>0</v>
      </c>
      <c r="C75" s="95">
        <f>'INTERNAL TEST-1  '!C79</f>
        <v>0</v>
      </c>
      <c r="D75" s="92"/>
      <c r="E75" s="92"/>
      <c r="F75" s="92"/>
      <c r="G75" s="92"/>
      <c r="H75" s="92"/>
      <c r="I75" s="92"/>
      <c r="J75" s="92"/>
      <c r="K75" s="62">
        <f t="shared" ref="K75:K135" si="8">(D75/3)*100</f>
        <v>0</v>
      </c>
      <c r="L75" s="62">
        <f t="shared" ref="L75:L135" si="9">(E75/3)*100</f>
        <v>0</v>
      </c>
      <c r="M75" s="62">
        <f t="shared" ref="M75:M135" si="10">(F75/3)*100</f>
        <v>0</v>
      </c>
      <c r="N75" s="62">
        <f t="shared" ref="N75:N135" si="11">(G75/3)*100</f>
        <v>0</v>
      </c>
      <c r="O75" s="62">
        <f t="shared" ref="O75:O135" si="12">(H75/3)*100</f>
        <v>0</v>
      </c>
      <c r="P75" s="62">
        <f t="shared" ref="P75:P135" si="13">(I75/3)*100</f>
        <v>0</v>
      </c>
      <c r="Q75" s="62">
        <f t="shared" ref="Q75:Q135" si="14">(J75/3)*100</f>
        <v>0</v>
      </c>
      <c r="R75" s="62" t="e">
        <f t="shared" ref="R75:R135" si="15">ROUND((AVERAGE(D75:J75)/5)*100,2)</f>
        <v>#DIV/0!</v>
      </c>
    </row>
    <row r="76" spans="1:18" ht="20.100000000000001" hidden="1" customHeight="1">
      <c r="A76" s="94">
        <f>'INTERNAL TEST-1  '!A80</f>
        <v>0</v>
      </c>
      <c r="B76" s="94">
        <f>'INTERNAL TEST-1  '!B80</f>
        <v>0</v>
      </c>
      <c r="C76" s="95">
        <f>'INTERNAL TEST-1  '!C80</f>
        <v>0</v>
      </c>
      <c r="D76" s="92"/>
      <c r="E76" s="92"/>
      <c r="F76" s="92"/>
      <c r="G76" s="92"/>
      <c r="H76" s="92"/>
      <c r="I76" s="92"/>
      <c r="J76" s="92"/>
      <c r="K76" s="62">
        <f t="shared" si="8"/>
        <v>0</v>
      </c>
      <c r="L76" s="62">
        <f t="shared" si="9"/>
        <v>0</v>
      </c>
      <c r="M76" s="62">
        <f t="shared" si="10"/>
        <v>0</v>
      </c>
      <c r="N76" s="62">
        <f t="shared" si="11"/>
        <v>0</v>
      </c>
      <c r="O76" s="62">
        <f t="shared" si="12"/>
        <v>0</v>
      </c>
      <c r="P76" s="62">
        <f t="shared" si="13"/>
        <v>0</v>
      </c>
      <c r="Q76" s="62">
        <f t="shared" si="14"/>
        <v>0</v>
      </c>
      <c r="R76" s="62" t="e">
        <f t="shared" si="15"/>
        <v>#DIV/0!</v>
      </c>
    </row>
    <row r="77" spans="1:18" ht="20.100000000000001" hidden="1" customHeight="1">
      <c r="A77" s="94">
        <f>'INTERNAL TEST-1  '!A81</f>
        <v>0</v>
      </c>
      <c r="B77" s="94">
        <f>'INTERNAL TEST-1  '!B81</f>
        <v>0</v>
      </c>
      <c r="C77" s="95">
        <f>'INTERNAL TEST-1  '!C81</f>
        <v>0</v>
      </c>
      <c r="D77" s="92"/>
      <c r="E77" s="92"/>
      <c r="F77" s="92"/>
      <c r="G77" s="92"/>
      <c r="H77" s="92"/>
      <c r="I77" s="92"/>
      <c r="J77" s="92"/>
      <c r="K77" s="62">
        <f t="shared" si="8"/>
        <v>0</v>
      </c>
      <c r="L77" s="62">
        <f t="shared" si="9"/>
        <v>0</v>
      </c>
      <c r="M77" s="62">
        <f t="shared" si="10"/>
        <v>0</v>
      </c>
      <c r="N77" s="62">
        <f t="shared" si="11"/>
        <v>0</v>
      </c>
      <c r="O77" s="62">
        <f t="shared" si="12"/>
        <v>0</v>
      </c>
      <c r="P77" s="62">
        <f t="shared" si="13"/>
        <v>0</v>
      </c>
      <c r="Q77" s="62">
        <f t="shared" si="14"/>
        <v>0</v>
      </c>
      <c r="R77" s="62" t="e">
        <f t="shared" si="15"/>
        <v>#DIV/0!</v>
      </c>
    </row>
    <row r="78" spans="1:18" ht="20.100000000000001" hidden="1" customHeight="1">
      <c r="A78" s="94">
        <f>'INTERNAL TEST-1  '!A82</f>
        <v>0</v>
      </c>
      <c r="B78" s="94">
        <f>'INTERNAL TEST-1  '!B82</f>
        <v>0</v>
      </c>
      <c r="C78" s="95">
        <f>'INTERNAL TEST-1  '!C82</f>
        <v>0</v>
      </c>
      <c r="D78" s="92"/>
      <c r="E78" s="92"/>
      <c r="F78" s="92"/>
      <c r="G78" s="92"/>
      <c r="H78" s="92"/>
      <c r="I78" s="92"/>
      <c r="J78" s="92"/>
      <c r="K78" s="62">
        <f t="shared" si="8"/>
        <v>0</v>
      </c>
      <c r="L78" s="62">
        <f t="shared" si="9"/>
        <v>0</v>
      </c>
      <c r="M78" s="62">
        <f t="shared" si="10"/>
        <v>0</v>
      </c>
      <c r="N78" s="62">
        <f t="shared" si="11"/>
        <v>0</v>
      </c>
      <c r="O78" s="62">
        <f t="shared" si="12"/>
        <v>0</v>
      </c>
      <c r="P78" s="62">
        <f t="shared" si="13"/>
        <v>0</v>
      </c>
      <c r="Q78" s="62">
        <f t="shared" si="14"/>
        <v>0</v>
      </c>
      <c r="R78" s="62" t="e">
        <f t="shared" si="15"/>
        <v>#DIV/0!</v>
      </c>
    </row>
    <row r="79" spans="1:18" hidden="1">
      <c r="A79" s="94">
        <f>'INTERNAL TEST-1  '!A83</f>
        <v>0</v>
      </c>
      <c r="B79" s="94">
        <f>'INTERNAL TEST-1  '!B83</f>
        <v>0</v>
      </c>
      <c r="C79" s="95">
        <f>'INTERNAL TEST-1  '!C83</f>
        <v>0</v>
      </c>
      <c r="D79" s="92"/>
      <c r="E79" s="92"/>
      <c r="F79" s="92"/>
      <c r="G79" s="92"/>
      <c r="H79" s="92"/>
      <c r="I79" s="92"/>
      <c r="J79" s="92"/>
      <c r="K79" s="62">
        <f t="shared" si="8"/>
        <v>0</v>
      </c>
      <c r="L79" s="62">
        <f t="shared" si="9"/>
        <v>0</v>
      </c>
      <c r="M79" s="62">
        <f t="shared" si="10"/>
        <v>0</v>
      </c>
      <c r="N79" s="62">
        <f t="shared" si="11"/>
        <v>0</v>
      </c>
      <c r="O79" s="62">
        <f t="shared" si="12"/>
        <v>0</v>
      </c>
      <c r="P79" s="62">
        <f t="shared" si="13"/>
        <v>0</v>
      </c>
      <c r="Q79" s="62">
        <f t="shared" si="14"/>
        <v>0</v>
      </c>
      <c r="R79" s="62" t="e">
        <f t="shared" si="15"/>
        <v>#DIV/0!</v>
      </c>
    </row>
    <row r="80" spans="1:18" ht="20.100000000000001" hidden="1" customHeight="1">
      <c r="A80" s="94">
        <f>'INTERNAL TEST-1  '!A84</f>
        <v>0</v>
      </c>
      <c r="B80" s="94">
        <f>'INTERNAL TEST-1  '!B84</f>
        <v>0</v>
      </c>
      <c r="C80" s="95">
        <f>'INTERNAL TEST-1  '!C84</f>
        <v>0</v>
      </c>
      <c r="D80" s="92"/>
      <c r="E80" s="92"/>
      <c r="F80" s="92"/>
      <c r="G80" s="92"/>
      <c r="H80" s="92"/>
      <c r="I80" s="92"/>
      <c r="J80" s="92"/>
      <c r="K80" s="62">
        <f t="shared" si="8"/>
        <v>0</v>
      </c>
      <c r="L80" s="62">
        <f t="shared" si="9"/>
        <v>0</v>
      </c>
      <c r="M80" s="62">
        <f t="shared" si="10"/>
        <v>0</v>
      </c>
      <c r="N80" s="62">
        <f t="shared" si="11"/>
        <v>0</v>
      </c>
      <c r="O80" s="62">
        <f t="shared" si="12"/>
        <v>0</v>
      </c>
      <c r="P80" s="62">
        <f t="shared" si="13"/>
        <v>0</v>
      </c>
      <c r="Q80" s="62">
        <f t="shared" si="14"/>
        <v>0</v>
      </c>
      <c r="R80" s="62" t="e">
        <f t="shared" si="15"/>
        <v>#DIV/0!</v>
      </c>
    </row>
    <row r="81" spans="1:18" ht="20.100000000000001" hidden="1" customHeight="1">
      <c r="A81" s="94">
        <f>'INTERNAL TEST-1  '!A85</f>
        <v>0</v>
      </c>
      <c r="B81" s="94">
        <f>'INTERNAL TEST-1  '!B85</f>
        <v>0</v>
      </c>
      <c r="C81" s="95">
        <f>'INTERNAL TEST-1  '!C85</f>
        <v>0</v>
      </c>
      <c r="D81" s="92"/>
      <c r="E81" s="92"/>
      <c r="F81" s="92"/>
      <c r="G81" s="92"/>
      <c r="H81" s="92"/>
      <c r="I81" s="92"/>
      <c r="J81" s="92"/>
      <c r="K81" s="62">
        <f t="shared" si="8"/>
        <v>0</v>
      </c>
      <c r="L81" s="62">
        <f t="shared" si="9"/>
        <v>0</v>
      </c>
      <c r="M81" s="62">
        <f t="shared" si="10"/>
        <v>0</v>
      </c>
      <c r="N81" s="62">
        <f t="shared" si="11"/>
        <v>0</v>
      </c>
      <c r="O81" s="62">
        <f t="shared" si="12"/>
        <v>0</v>
      </c>
      <c r="P81" s="62">
        <f t="shared" si="13"/>
        <v>0</v>
      </c>
      <c r="Q81" s="62">
        <f t="shared" si="14"/>
        <v>0</v>
      </c>
      <c r="R81" s="62" t="e">
        <f t="shared" si="15"/>
        <v>#DIV/0!</v>
      </c>
    </row>
    <row r="82" spans="1:18" ht="20.100000000000001" hidden="1" customHeight="1">
      <c r="A82" s="94">
        <f>'INTERNAL TEST-1  '!A86</f>
        <v>0</v>
      </c>
      <c r="B82" s="94">
        <f>'INTERNAL TEST-1  '!B86</f>
        <v>0</v>
      </c>
      <c r="C82" s="95">
        <f>'INTERNAL TEST-1  '!C86</f>
        <v>0</v>
      </c>
      <c r="D82" s="92"/>
      <c r="E82" s="92"/>
      <c r="F82" s="92"/>
      <c r="G82" s="92"/>
      <c r="H82" s="92"/>
      <c r="I82" s="92"/>
      <c r="J82" s="92"/>
      <c r="K82" s="62">
        <f t="shared" si="8"/>
        <v>0</v>
      </c>
      <c r="L82" s="62">
        <f t="shared" si="9"/>
        <v>0</v>
      </c>
      <c r="M82" s="62">
        <f t="shared" si="10"/>
        <v>0</v>
      </c>
      <c r="N82" s="62">
        <f t="shared" si="11"/>
        <v>0</v>
      </c>
      <c r="O82" s="62">
        <f t="shared" si="12"/>
        <v>0</v>
      </c>
      <c r="P82" s="62">
        <f t="shared" si="13"/>
        <v>0</v>
      </c>
      <c r="Q82" s="62">
        <f t="shared" si="14"/>
        <v>0</v>
      </c>
      <c r="R82" s="62" t="e">
        <f t="shared" si="15"/>
        <v>#DIV/0!</v>
      </c>
    </row>
    <row r="83" spans="1:18" ht="20.100000000000001" hidden="1" customHeight="1">
      <c r="A83" s="94">
        <f>'INTERNAL TEST-1  '!A87</f>
        <v>0</v>
      </c>
      <c r="B83" s="94">
        <f>'INTERNAL TEST-1  '!B87</f>
        <v>0</v>
      </c>
      <c r="C83" s="95">
        <f>'INTERNAL TEST-1  '!C87</f>
        <v>0</v>
      </c>
      <c r="D83" s="92"/>
      <c r="E83" s="92"/>
      <c r="F83" s="92"/>
      <c r="G83" s="92"/>
      <c r="H83" s="92"/>
      <c r="I83" s="92"/>
      <c r="J83" s="92"/>
      <c r="K83" s="62">
        <f t="shared" si="8"/>
        <v>0</v>
      </c>
      <c r="L83" s="62">
        <f t="shared" si="9"/>
        <v>0</v>
      </c>
      <c r="M83" s="62">
        <f t="shared" si="10"/>
        <v>0</v>
      </c>
      <c r="N83" s="62">
        <f t="shared" si="11"/>
        <v>0</v>
      </c>
      <c r="O83" s="62">
        <f t="shared" si="12"/>
        <v>0</v>
      </c>
      <c r="P83" s="62">
        <f t="shared" si="13"/>
        <v>0</v>
      </c>
      <c r="Q83" s="62">
        <f t="shared" si="14"/>
        <v>0</v>
      </c>
      <c r="R83" s="62" t="e">
        <f t="shared" si="15"/>
        <v>#DIV/0!</v>
      </c>
    </row>
    <row r="84" spans="1:18" ht="20.100000000000001" hidden="1" customHeight="1">
      <c r="A84" s="94">
        <f>'INTERNAL TEST-1  '!A88</f>
        <v>0</v>
      </c>
      <c r="B84" s="94">
        <f>'INTERNAL TEST-1  '!B88</f>
        <v>0</v>
      </c>
      <c r="C84" s="95">
        <f>'INTERNAL TEST-1  '!C88</f>
        <v>0</v>
      </c>
      <c r="D84" s="92"/>
      <c r="E84" s="92"/>
      <c r="F84" s="92"/>
      <c r="G84" s="92"/>
      <c r="H84" s="92"/>
      <c r="I84" s="92"/>
      <c r="J84" s="92"/>
      <c r="K84" s="62">
        <f t="shared" si="8"/>
        <v>0</v>
      </c>
      <c r="L84" s="62">
        <f t="shared" si="9"/>
        <v>0</v>
      </c>
      <c r="M84" s="62">
        <f t="shared" si="10"/>
        <v>0</v>
      </c>
      <c r="N84" s="62">
        <f t="shared" si="11"/>
        <v>0</v>
      </c>
      <c r="O84" s="62">
        <f t="shared" si="12"/>
        <v>0</v>
      </c>
      <c r="P84" s="62">
        <f t="shared" si="13"/>
        <v>0</v>
      </c>
      <c r="Q84" s="62">
        <f t="shared" si="14"/>
        <v>0</v>
      </c>
      <c r="R84" s="62" t="e">
        <f t="shared" si="15"/>
        <v>#DIV/0!</v>
      </c>
    </row>
    <row r="85" spans="1:18" ht="20.100000000000001" hidden="1" customHeight="1">
      <c r="A85" s="94">
        <f>'INTERNAL TEST-1  '!A89</f>
        <v>0</v>
      </c>
      <c r="B85" s="94">
        <f>'INTERNAL TEST-1  '!B89</f>
        <v>0</v>
      </c>
      <c r="C85" s="95">
        <f>'INTERNAL TEST-1  '!C89</f>
        <v>0</v>
      </c>
      <c r="D85" s="92"/>
      <c r="E85" s="92"/>
      <c r="F85" s="92"/>
      <c r="G85" s="92"/>
      <c r="H85" s="92"/>
      <c r="I85" s="92"/>
      <c r="J85" s="92"/>
      <c r="K85" s="62">
        <f t="shared" si="8"/>
        <v>0</v>
      </c>
      <c r="L85" s="62">
        <f t="shared" si="9"/>
        <v>0</v>
      </c>
      <c r="M85" s="62">
        <f t="shared" si="10"/>
        <v>0</v>
      </c>
      <c r="N85" s="62">
        <f t="shared" si="11"/>
        <v>0</v>
      </c>
      <c r="O85" s="62">
        <f t="shared" si="12"/>
        <v>0</v>
      </c>
      <c r="P85" s="62">
        <f t="shared" si="13"/>
        <v>0</v>
      </c>
      <c r="Q85" s="62">
        <f t="shared" si="14"/>
        <v>0</v>
      </c>
      <c r="R85" s="62" t="e">
        <f t="shared" si="15"/>
        <v>#DIV/0!</v>
      </c>
    </row>
    <row r="86" spans="1:18" ht="20.100000000000001" hidden="1" customHeight="1">
      <c r="A86" s="94">
        <f>'INTERNAL TEST-1  '!A90</f>
        <v>0</v>
      </c>
      <c r="B86" s="94">
        <f>'INTERNAL TEST-1  '!B90</f>
        <v>0</v>
      </c>
      <c r="C86" s="95">
        <f>'INTERNAL TEST-1  '!C90</f>
        <v>0</v>
      </c>
      <c r="D86" s="92"/>
      <c r="E86" s="92"/>
      <c r="F86" s="92"/>
      <c r="G86" s="92"/>
      <c r="H86" s="92"/>
      <c r="I86" s="92"/>
      <c r="J86" s="92"/>
      <c r="K86" s="62">
        <f t="shared" si="8"/>
        <v>0</v>
      </c>
      <c r="L86" s="62">
        <f t="shared" si="9"/>
        <v>0</v>
      </c>
      <c r="M86" s="62">
        <f t="shared" si="10"/>
        <v>0</v>
      </c>
      <c r="N86" s="62">
        <f t="shared" si="11"/>
        <v>0</v>
      </c>
      <c r="O86" s="62">
        <f t="shared" si="12"/>
        <v>0</v>
      </c>
      <c r="P86" s="62">
        <f t="shared" si="13"/>
        <v>0</v>
      </c>
      <c r="Q86" s="62">
        <f t="shared" si="14"/>
        <v>0</v>
      </c>
      <c r="R86" s="62" t="e">
        <f t="shared" si="15"/>
        <v>#DIV/0!</v>
      </c>
    </row>
    <row r="87" spans="1:18" ht="20.100000000000001" hidden="1" customHeight="1">
      <c r="A87" s="94">
        <f>'INTERNAL TEST-1  '!A91</f>
        <v>0</v>
      </c>
      <c r="B87" s="94">
        <f>'INTERNAL TEST-1  '!B91</f>
        <v>0</v>
      </c>
      <c r="C87" s="95">
        <f>'INTERNAL TEST-1  '!C91</f>
        <v>0</v>
      </c>
      <c r="D87" s="92"/>
      <c r="E87" s="92"/>
      <c r="F87" s="92"/>
      <c r="G87" s="92"/>
      <c r="H87" s="92"/>
      <c r="I87" s="92"/>
      <c r="J87" s="92"/>
      <c r="K87" s="62">
        <f t="shared" si="8"/>
        <v>0</v>
      </c>
      <c r="L87" s="62">
        <f t="shared" si="9"/>
        <v>0</v>
      </c>
      <c r="M87" s="62">
        <f t="shared" si="10"/>
        <v>0</v>
      </c>
      <c r="N87" s="62">
        <f t="shared" si="11"/>
        <v>0</v>
      </c>
      <c r="O87" s="62">
        <f t="shared" si="12"/>
        <v>0</v>
      </c>
      <c r="P87" s="62">
        <f t="shared" si="13"/>
        <v>0</v>
      </c>
      <c r="Q87" s="62">
        <f t="shared" si="14"/>
        <v>0</v>
      </c>
      <c r="R87" s="62" t="e">
        <f t="shared" si="15"/>
        <v>#DIV/0!</v>
      </c>
    </row>
    <row r="88" spans="1:18" ht="20.100000000000001" hidden="1" customHeight="1">
      <c r="A88" s="94">
        <f>'INTERNAL TEST-1  '!A92</f>
        <v>0</v>
      </c>
      <c r="B88" s="94">
        <f>'INTERNAL TEST-1  '!B92</f>
        <v>0</v>
      </c>
      <c r="C88" s="95">
        <f>'INTERNAL TEST-1  '!C92</f>
        <v>0</v>
      </c>
      <c r="D88" s="92"/>
      <c r="E88" s="92"/>
      <c r="F88" s="92"/>
      <c r="G88" s="92"/>
      <c r="H88" s="92"/>
      <c r="I88" s="92"/>
      <c r="J88" s="92"/>
      <c r="K88" s="62">
        <f t="shared" si="8"/>
        <v>0</v>
      </c>
      <c r="L88" s="62">
        <f t="shared" si="9"/>
        <v>0</v>
      </c>
      <c r="M88" s="62">
        <f t="shared" si="10"/>
        <v>0</v>
      </c>
      <c r="N88" s="62">
        <f t="shared" si="11"/>
        <v>0</v>
      </c>
      <c r="O88" s="62">
        <f t="shared" si="12"/>
        <v>0</v>
      </c>
      <c r="P88" s="62">
        <f t="shared" si="13"/>
        <v>0</v>
      </c>
      <c r="Q88" s="62">
        <f t="shared" si="14"/>
        <v>0</v>
      </c>
      <c r="R88" s="62" t="e">
        <f t="shared" si="15"/>
        <v>#DIV/0!</v>
      </c>
    </row>
    <row r="89" spans="1:18" ht="20.100000000000001" hidden="1" customHeight="1">
      <c r="A89" s="94">
        <f>'INTERNAL TEST-1  '!A93</f>
        <v>0</v>
      </c>
      <c r="B89" s="94">
        <f>'INTERNAL TEST-1  '!B93</f>
        <v>0</v>
      </c>
      <c r="C89" s="95">
        <f>'INTERNAL TEST-1  '!C93</f>
        <v>0</v>
      </c>
      <c r="D89" s="92"/>
      <c r="E89" s="92"/>
      <c r="F89" s="92"/>
      <c r="G89" s="92"/>
      <c r="H89" s="92"/>
      <c r="I89" s="92"/>
      <c r="J89" s="92"/>
      <c r="K89" s="62">
        <f t="shared" si="8"/>
        <v>0</v>
      </c>
      <c r="L89" s="62">
        <f t="shared" si="9"/>
        <v>0</v>
      </c>
      <c r="M89" s="62">
        <f t="shared" si="10"/>
        <v>0</v>
      </c>
      <c r="N89" s="62">
        <f t="shared" si="11"/>
        <v>0</v>
      </c>
      <c r="O89" s="62">
        <f t="shared" si="12"/>
        <v>0</v>
      </c>
      <c r="P89" s="62">
        <f t="shared" si="13"/>
        <v>0</v>
      </c>
      <c r="Q89" s="62">
        <f t="shared" si="14"/>
        <v>0</v>
      </c>
      <c r="R89" s="62" t="e">
        <f t="shared" si="15"/>
        <v>#DIV/0!</v>
      </c>
    </row>
    <row r="90" spans="1:18" ht="20.100000000000001" hidden="1" customHeight="1">
      <c r="A90" s="94">
        <f>'INTERNAL TEST-1  '!A94</f>
        <v>0</v>
      </c>
      <c r="B90" s="94">
        <f>'INTERNAL TEST-1  '!B94</f>
        <v>0</v>
      </c>
      <c r="C90" s="95">
        <f>'INTERNAL TEST-1  '!C94</f>
        <v>0</v>
      </c>
      <c r="D90" s="92"/>
      <c r="E90" s="92"/>
      <c r="F90" s="92"/>
      <c r="G90" s="92"/>
      <c r="H90" s="92"/>
      <c r="I90" s="92"/>
      <c r="J90" s="92"/>
      <c r="K90" s="62">
        <f t="shared" si="8"/>
        <v>0</v>
      </c>
      <c r="L90" s="62">
        <f t="shared" si="9"/>
        <v>0</v>
      </c>
      <c r="M90" s="62">
        <f t="shared" si="10"/>
        <v>0</v>
      </c>
      <c r="N90" s="62">
        <f t="shared" si="11"/>
        <v>0</v>
      </c>
      <c r="O90" s="62">
        <f t="shared" si="12"/>
        <v>0</v>
      </c>
      <c r="P90" s="62">
        <f t="shared" si="13"/>
        <v>0</v>
      </c>
      <c r="Q90" s="62">
        <f t="shared" si="14"/>
        <v>0</v>
      </c>
      <c r="R90" s="62" t="e">
        <f t="shared" si="15"/>
        <v>#DIV/0!</v>
      </c>
    </row>
    <row r="91" spans="1:18" ht="20.100000000000001" hidden="1" customHeight="1">
      <c r="A91" s="94">
        <f>'INTERNAL TEST-1  '!A95</f>
        <v>0</v>
      </c>
      <c r="B91" s="94">
        <f>'INTERNAL TEST-1  '!B95</f>
        <v>0</v>
      </c>
      <c r="C91" s="95">
        <f>'INTERNAL TEST-1  '!C95</f>
        <v>0</v>
      </c>
      <c r="D91" s="92"/>
      <c r="E91" s="92"/>
      <c r="F91" s="92"/>
      <c r="G91" s="92"/>
      <c r="H91" s="92"/>
      <c r="I91" s="92"/>
      <c r="J91" s="92"/>
      <c r="K91" s="62">
        <f t="shared" si="8"/>
        <v>0</v>
      </c>
      <c r="L91" s="62">
        <f t="shared" si="9"/>
        <v>0</v>
      </c>
      <c r="M91" s="62">
        <f t="shared" si="10"/>
        <v>0</v>
      </c>
      <c r="N91" s="62">
        <f t="shared" si="11"/>
        <v>0</v>
      </c>
      <c r="O91" s="62">
        <f t="shared" si="12"/>
        <v>0</v>
      </c>
      <c r="P91" s="62">
        <f t="shared" si="13"/>
        <v>0</v>
      </c>
      <c r="Q91" s="62">
        <f t="shared" si="14"/>
        <v>0</v>
      </c>
      <c r="R91" s="62" t="e">
        <f t="shared" si="15"/>
        <v>#DIV/0!</v>
      </c>
    </row>
    <row r="92" spans="1:18" ht="20.100000000000001" hidden="1" customHeight="1">
      <c r="A92" s="94">
        <f>'INTERNAL TEST-1  '!A96</f>
        <v>0</v>
      </c>
      <c r="B92" s="94">
        <f>'INTERNAL TEST-1  '!B96</f>
        <v>0</v>
      </c>
      <c r="C92" s="95">
        <f>'INTERNAL TEST-1  '!C96</f>
        <v>0</v>
      </c>
      <c r="D92" s="92"/>
      <c r="E92" s="92"/>
      <c r="F92" s="92"/>
      <c r="G92" s="92"/>
      <c r="H92" s="92"/>
      <c r="I92" s="92"/>
      <c r="J92" s="92"/>
      <c r="K92" s="62">
        <f t="shared" si="8"/>
        <v>0</v>
      </c>
      <c r="L92" s="62">
        <f t="shared" si="9"/>
        <v>0</v>
      </c>
      <c r="M92" s="62">
        <f t="shared" si="10"/>
        <v>0</v>
      </c>
      <c r="N92" s="62">
        <f t="shared" si="11"/>
        <v>0</v>
      </c>
      <c r="O92" s="62">
        <f t="shared" si="12"/>
        <v>0</v>
      </c>
      <c r="P92" s="62">
        <f t="shared" si="13"/>
        <v>0</v>
      </c>
      <c r="Q92" s="62">
        <f t="shared" si="14"/>
        <v>0</v>
      </c>
      <c r="R92" s="62" t="e">
        <f t="shared" si="15"/>
        <v>#DIV/0!</v>
      </c>
    </row>
    <row r="93" spans="1:18" ht="20.100000000000001" hidden="1" customHeight="1">
      <c r="A93" s="94">
        <f>'INTERNAL TEST-1  '!A97</f>
        <v>0</v>
      </c>
      <c r="B93" s="94">
        <f>'INTERNAL TEST-1  '!B97</f>
        <v>0</v>
      </c>
      <c r="C93" s="95">
        <f>'INTERNAL TEST-1  '!C97</f>
        <v>0</v>
      </c>
      <c r="D93" s="92"/>
      <c r="E93" s="92"/>
      <c r="F93" s="92"/>
      <c r="G93" s="92"/>
      <c r="H93" s="92"/>
      <c r="I93" s="92"/>
      <c r="J93" s="92"/>
      <c r="K93" s="62">
        <f t="shared" si="8"/>
        <v>0</v>
      </c>
      <c r="L93" s="62">
        <f t="shared" si="9"/>
        <v>0</v>
      </c>
      <c r="M93" s="62">
        <f t="shared" si="10"/>
        <v>0</v>
      </c>
      <c r="N93" s="62">
        <f t="shared" si="11"/>
        <v>0</v>
      </c>
      <c r="O93" s="62">
        <f t="shared" si="12"/>
        <v>0</v>
      </c>
      <c r="P93" s="62">
        <f t="shared" si="13"/>
        <v>0</v>
      </c>
      <c r="Q93" s="62">
        <f t="shared" si="14"/>
        <v>0</v>
      </c>
      <c r="R93" s="62" t="e">
        <f t="shared" si="15"/>
        <v>#DIV/0!</v>
      </c>
    </row>
    <row r="94" spans="1:18" ht="20.100000000000001" hidden="1" customHeight="1">
      <c r="A94" s="94">
        <f>'INTERNAL TEST-1  '!A98</f>
        <v>0</v>
      </c>
      <c r="B94" s="94">
        <f>'INTERNAL TEST-1  '!B98</f>
        <v>0</v>
      </c>
      <c r="C94" s="95">
        <f>'INTERNAL TEST-1  '!C98</f>
        <v>0</v>
      </c>
      <c r="D94" s="92"/>
      <c r="E94" s="92"/>
      <c r="F94" s="92"/>
      <c r="G94" s="92"/>
      <c r="H94" s="92"/>
      <c r="I94" s="92"/>
      <c r="J94" s="92"/>
      <c r="K94" s="62">
        <f t="shared" si="8"/>
        <v>0</v>
      </c>
      <c r="L94" s="62">
        <f t="shared" si="9"/>
        <v>0</v>
      </c>
      <c r="M94" s="62">
        <f t="shared" si="10"/>
        <v>0</v>
      </c>
      <c r="N94" s="62">
        <f t="shared" si="11"/>
        <v>0</v>
      </c>
      <c r="O94" s="62">
        <f t="shared" si="12"/>
        <v>0</v>
      </c>
      <c r="P94" s="62">
        <f t="shared" si="13"/>
        <v>0</v>
      </c>
      <c r="Q94" s="62">
        <f t="shared" si="14"/>
        <v>0</v>
      </c>
      <c r="R94" s="62" t="e">
        <f t="shared" si="15"/>
        <v>#DIV/0!</v>
      </c>
    </row>
    <row r="95" spans="1:18" ht="34.799999999999997" hidden="1" customHeight="1">
      <c r="A95" s="94">
        <f>'INTERNAL TEST-1  '!A99</f>
        <v>0</v>
      </c>
      <c r="B95" s="94">
        <f>'INTERNAL TEST-1  '!B99</f>
        <v>0</v>
      </c>
      <c r="C95" s="95">
        <f>'INTERNAL TEST-1  '!C99</f>
        <v>0</v>
      </c>
      <c r="D95" s="92"/>
      <c r="E95" s="92"/>
      <c r="F95" s="92"/>
      <c r="G95" s="92"/>
      <c r="H95" s="92"/>
      <c r="I95" s="92"/>
      <c r="J95" s="92"/>
      <c r="K95" s="62">
        <f t="shared" si="8"/>
        <v>0</v>
      </c>
      <c r="L95" s="62">
        <f t="shared" si="9"/>
        <v>0</v>
      </c>
      <c r="M95" s="62">
        <f t="shared" si="10"/>
        <v>0</v>
      </c>
      <c r="N95" s="62">
        <f t="shared" si="11"/>
        <v>0</v>
      </c>
      <c r="O95" s="62">
        <f t="shared" si="12"/>
        <v>0</v>
      </c>
      <c r="P95" s="62">
        <f t="shared" si="13"/>
        <v>0</v>
      </c>
      <c r="Q95" s="62">
        <f t="shared" si="14"/>
        <v>0</v>
      </c>
      <c r="R95" s="62" t="e">
        <f t="shared" si="15"/>
        <v>#DIV/0!</v>
      </c>
    </row>
    <row r="96" spans="1:18" ht="20.100000000000001" hidden="1" customHeight="1">
      <c r="A96" s="94">
        <f>'INTERNAL TEST-1  '!A100</f>
        <v>0</v>
      </c>
      <c r="B96" s="94">
        <f>'INTERNAL TEST-1  '!B100</f>
        <v>0</v>
      </c>
      <c r="C96" s="95">
        <f>'INTERNAL TEST-1  '!C100</f>
        <v>0</v>
      </c>
      <c r="D96" s="92"/>
      <c r="E96" s="92"/>
      <c r="F96" s="92"/>
      <c r="G96" s="92"/>
      <c r="H96" s="92"/>
      <c r="I96" s="92"/>
      <c r="J96" s="92"/>
      <c r="K96" s="62">
        <f t="shared" si="8"/>
        <v>0</v>
      </c>
      <c r="L96" s="62">
        <f t="shared" si="9"/>
        <v>0</v>
      </c>
      <c r="M96" s="62">
        <f t="shared" si="10"/>
        <v>0</v>
      </c>
      <c r="N96" s="62">
        <f t="shared" si="11"/>
        <v>0</v>
      </c>
      <c r="O96" s="62">
        <f t="shared" si="12"/>
        <v>0</v>
      </c>
      <c r="P96" s="62">
        <f t="shared" si="13"/>
        <v>0</v>
      </c>
      <c r="Q96" s="62">
        <f t="shared" si="14"/>
        <v>0</v>
      </c>
      <c r="R96" s="62" t="e">
        <f t="shared" si="15"/>
        <v>#DIV/0!</v>
      </c>
    </row>
    <row r="97" spans="1:18" ht="20.100000000000001" hidden="1" customHeight="1">
      <c r="A97" s="94">
        <f>'INTERNAL TEST-1  '!A101</f>
        <v>0</v>
      </c>
      <c r="B97" s="94">
        <f>'INTERNAL TEST-1  '!B101</f>
        <v>0</v>
      </c>
      <c r="C97" s="95">
        <f>'INTERNAL TEST-1  '!C101</f>
        <v>0</v>
      </c>
      <c r="D97" s="92"/>
      <c r="E97" s="92"/>
      <c r="F97" s="92"/>
      <c r="G97" s="92"/>
      <c r="H97" s="92"/>
      <c r="I97" s="92"/>
      <c r="J97" s="92"/>
      <c r="K97" s="62">
        <f t="shared" si="8"/>
        <v>0</v>
      </c>
      <c r="L97" s="62">
        <f t="shared" si="9"/>
        <v>0</v>
      </c>
      <c r="M97" s="62">
        <f t="shared" si="10"/>
        <v>0</v>
      </c>
      <c r="N97" s="62">
        <f t="shared" si="11"/>
        <v>0</v>
      </c>
      <c r="O97" s="62">
        <f t="shared" si="12"/>
        <v>0</v>
      </c>
      <c r="P97" s="62">
        <f t="shared" si="13"/>
        <v>0</v>
      </c>
      <c r="Q97" s="62">
        <f t="shared" si="14"/>
        <v>0</v>
      </c>
      <c r="R97" s="62" t="e">
        <f t="shared" si="15"/>
        <v>#DIV/0!</v>
      </c>
    </row>
    <row r="98" spans="1:18" ht="20.100000000000001" hidden="1" customHeight="1">
      <c r="A98" s="94">
        <f>'INTERNAL TEST-1  '!A102</f>
        <v>0</v>
      </c>
      <c r="B98" s="94">
        <f>'INTERNAL TEST-1  '!B102</f>
        <v>0</v>
      </c>
      <c r="C98" s="95">
        <f>'INTERNAL TEST-1  '!C102</f>
        <v>0</v>
      </c>
      <c r="D98" s="92"/>
      <c r="E98" s="92"/>
      <c r="F98" s="92"/>
      <c r="G98" s="92"/>
      <c r="H98" s="92"/>
      <c r="I98" s="92"/>
      <c r="J98" s="92"/>
      <c r="K98" s="62">
        <f t="shared" si="8"/>
        <v>0</v>
      </c>
      <c r="L98" s="62">
        <f t="shared" si="9"/>
        <v>0</v>
      </c>
      <c r="M98" s="62">
        <f t="shared" si="10"/>
        <v>0</v>
      </c>
      <c r="N98" s="62">
        <f t="shared" si="11"/>
        <v>0</v>
      </c>
      <c r="O98" s="62">
        <f t="shared" si="12"/>
        <v>0</v>
      </c>
      <c r="P98" s="62">
        <f t="shared" si="13"/>
        <v>0</v>
      </c>
      <c r="Q98" s="62">
        <f t="shared" si="14"/>
        <v>0</v>
      </c>
      <c r="R98" s="62" t="e">
        <f t="shared" si="15"/>
        <v>#DIV/0!</v>
      </c>
    </row>
    <row r="99" spans="1:18" ht="20.100000000000001" hidden="1" customHeight="1">
      <c r="A99" s="94">
        <f>'INTERNAL TEST-1  '!A103</f>
        <v>0</v>
      </c>
      <c r="B99" s="94">
        <f>'INTERNAL TEST-1  '!B103</f>
        <v>0</v>
      </c>
      <c r="C99" s="95">
        <f>'INTERNAL TEST-1  '!C103</f>
        <v>0</v>
      </c>
      <c r="D99" s="92"/>
      <c r="E99" s="92"/>
      <c r="F99" s="92"/>
      <c r="G99" s="92"/>
      <c r="H99" s="92"/>
      <c r="I99" s="92"/>
      <c r="J99" s="92"/>
      <c r="K99" s="62">
        <f t="shared" si="8"/>
        <v>0</v>
      </c>
      <c r="L99" s="62">
        <f t="shared" si="9"/>
        <v>0</v>
      </c>
      <c r="M99" s="62">
        <f t="shared" si="10"/>
        <v>0</v>
      </c>
      <c r="N99" s="62">
        <f t="shared" si="11"/>
        <v>0</v>
      </c>
      <c r="O99" s="62">
        <f t="shared" si="12"/>
        <v>0</v>
      </c>
      <c r="P99" s="62">
        <f t="shared" si="13"/>
        <v>0</v>
      </c>
      <c r="Q99" s="62">
        <f t="shared" si="14"/>
        <v>0</v>
      </c>
      <c r="R99" s="62" t="e">
        <f t="shared" si="15"/>
        <v>#DIV/0!</v>
      </c>
    </row>
    <row r="100" spans="1:18" ht="20.100000000000001" hidden="1" customHeight="1">
      <c r="A100" s="94">
        <f>'INTERNAL TEST-1  '!A104</f>
        <v>0</v>
      </c>
      <c r="B100" s="94">
        <f>'INTERNAL TEST-1  '!B104</f>
        <v>0</v>
      </c>
      <c r="C100" s="95">
        <f>'INTERNAL TEST-1  '!C104</f>
        <v>0</v>
      </c>
      <c r="D100" s="92"/>
      <c r="E100" s="92"/>
      <c r="F100" s="92"/>
      <c r="G100" s="92"/>
      <c r="H100" s="92"/>
      <c r="I100" s="92"/>
      <c r="J100" s="92"/>
      <c r="K100" s="62">
        <f t="shared" si="8"/>
        <v>0</v>
      </c>
      <c r="L100" s="62">
        <f t="shared" si="9"/>
        <v>0</v>
      </c>
      <c r="M100" s="62">
        <f t="shared" si="10"/>
        <v>0</v>
      </c>
      <c r="N100" s="62">
        <f t="shared" si="11"/>
        <v>0</v>
      </c>
      <c r="O100" s="62">
        <f t="shared" si="12"/>
        <v>0</v>
      </c>
      <c r="P100" s="62">
        <f t="shared" si="13"/>
        <v>0</v>
      </c>
      <c r="Q100" s="62">
        <f t="shared" si="14"/>
        <v>0</v>
      </c>
      <c r="R100" s="62" t="e">
        <f t="shared" si="15"/>
        <v>#DIV/0!</v>
      </c>
    </row>
    <row r="101" spans="1:18" ht="20.100000000000001" hidden="1" customHeight="1">
      <c r="A101" s="94">
        <f>'INTERNAL TEST-1  '!A105</f>
        <v>0</v>
      </c>
      <c r="B101" s="94">
        <f>'INTERNAL TEST-1  '!B105</f>
        <v>0</v>
      </c>
      <c r="C101" s="95">
        <f>'INTERNAL TEST-1  '!C105</f>
        <v>0</v>
      </c>
      <c r="D101" s="92"/>
      <c r="E101" s="92"/>
      <c r="F101" s="92"/>
      <c r="G101" s="92"/>
      <c r="H101" s="92"/>
      <c r="I101" s="92"/>
      <c r="J101" s="92"/>
      <c r="K101" s="62">
        <f t="shared" si="8"/>
        <v>0</v>
      </c>
      <c r="L101" s="62">
        <f t="shared" si="9"/>
        <v>0</v>
      </c>
      <c r="M101" s="62">
        <f t="shared" si="10"/>
        <v>0</v>
      </c>
      <c r="N101" s="62">
        <f t="shared" si="11"/>
        <v>0</v>
      </c>
      <c r="O101" s="62">
        <f t="shared" si="12"/>
        <v>0</v>
      </c>
      <c r="P101" s="62">
        <f t="shared" si="13"/>
        <v>0</v>
      </c>
      <c r="Q101" s="62">
        <f t="shared" si="14"/>
        <v>0</v>
      </c>
      <c r="R101" s="62" t="e">
        <f t="shared" si="15"/>
        <v>#DIV/0!</v>
      </c>
    </row>
    <row r="102" spans="1:18" ht="20.100000000000001" hidden="1" customHeight="1">
      <c r="A102" s="94">
        <f>'INTERNAL TEST-1  '!A106</f>
        <v>0</v>
      </c>
      <c r="B102" s="94">
        <f>'INTERNAL TEST-1  '!B106</f>
        <v>0</v>
      </c>
      <c r="C102" s="95">
        <f>'INTERNAL TEST-1  '!C106</f>
        <v>0</v>
      </c>
      <c r="D102" s="92"/>
      <c r="E102" s="92"/>
      <c r="F102" s="92"/>
      <c r="G102" s="92"/>
      <c r="H102" s="92"/>
      <c r="I102" s="92"/>
      <c r="J102" s="92"/>
      <c r="K102" s="62">
        <f t="shared" si="8"/>
        <v>0</v>
      </c>
      <c r="L102" s="62">
        <f t="shared" si="9"/>
        <v>0</v>
      </c>
      <c r="M102" s="62">
        <f t="shared" si="10"/>
        <v>0</v>
      </c>
      <c r="N102" s="62">
        <f t="shared" si="11"/>
        <v>0</v>
      </c>
      <c r="O102" s="62">
        <f t="shared" si="12"/>
        <v>0</v>
      </c>
      <c r="P102" s="62">
        <f t="shared" si="13"/>
        <v>0</v>
      </c>
      <c r="Q102" s="62">
        <f t="shared" si="14"/>
        <v>0</v>
      </c>
      <c r="R102" s="62" t="e">
        <f t="shared" si="15"/>
        <v>#DIV/0!</v>
      </c>
    </row>
    <row r="103" spans="1:18" ht="20.100000000000001" hidden="1" customHeight="1">
      <c r="A103" s="94">
        <f>'INTERNAL TEST-1  '!A107</f>
        <v>0</v>
      </c>
      <c r="B103" s="94">
        <f>'INTERNAL TEST-1  '!B107</f>
        <v>0</v>
      </c>
      <c r="C103" s="95">
        <f>'INTERNAL TEST-1  '!C107</f>
        <v>0</v>
      </c>
      <c r="D103" s="92"/>
      <c r="E103" s="92"/>
      <c r="F103" s="92"/>
      <c r="G103" s="92"/>
      <c r="H103" s="92"/>
      <c r="I103" s="92"/>
      <c r="J103" s="92"/>
      <c r="K103" s="62">
        <f t="shared" si="8"/>
        <v>0</v>
      </c>
      <c r="L103" s="62">
        <f t="shared" si="9"/>
        <v>0</v>
      </c>
      <c r="M103" s="62">
        <f t="shared" si="10"/>
        <v>0</v>
      </c>
      <c r="N103" s="62">
        <f t="shared" si="11"/>
        <v>0</v>
      </c>
      <c r="O103" s="62">
        <f t="shared" si="12"/>
        <v>0</v>
      </c>
      <c r="P103" s="62">
        <f t="shared" si="13"/>
        <v>0</v>
      </c>
      <c r="Q103" s="62">
        <f t="shared" si="14"/>
        <v>0</v>
      </c>
      <c r="R103" s="62" t="e">
        <f t="shared" si="15"/>
        <v>#DIV/0!</v>
      </c>
    </row>
    <row r="104" spans="1:18" ht="20.100000000000001" hidden="1" customHeight="1">
      <c r="A104" s="94">
        <f>'INTERNAL TEST-1  '!A108</f>
        <v>0</v>
      </c>
      <c r="B104" s="94">
        <f>'INTERNAL TEST-1  '!B108</f>
        <v>0</v>
      </c>
      <c r="C104" s="95">
        <f>'INTERNAL TEST-1  '!C108</f>
        <v>0</v>
      </c>
      <c r="D104" s="92"/>
      <c r="E104" s="92"/>
      <c r="F104" s="92"/>
      <c r="G104" s="92"/>
      <c r="H104" s="92"/>
      <c r="I104" s="92"/>
      <c r="J104" s="92"/>
      <c r="K104" s="62">
        <f t="shared" si="8"/>
        <v>0</v>
      </c>
      <c r="L104" s="62">
        <f t="shared" si="9"/>
        <v>0</v>
      </c>
      <c r="M104" s="62">
        <f t="shared" si="10"/>
        <v>0</v>
      </c>
      <c r="N104" s="62">
        <f t="shared" si="11"/>
        <v>0</v>
      </c>
      <c r="O104" s="62">
        <f t="shared" si="12"/>
        <v>0</v>
      </c>
      <c r="P104" s="62">
        <f t="shared" si="13"/>
        <v>0</v>
      </c>
      <c r="Q104" s="62">
        <f t="shared" si="14"/>
        <v>0</v>
      </c>
      <c r="R104" s="62" t="e">
        <f t="shared" si="15"/>
        <v>#DIV/0!</v>
      </c>
    </row>
    <row r="105" spans="1:18" ht="20.100000000000001" hidden="1" customHeight="1">
      <c r="A105" s="94">
        <f>'INTERNAL TEST-1  '!A109</f>
        <v>0</v>
      </c>
      <c r="B105" s="94">
        <f>'INTERNAL TEST-1  '!B109</f>
        <v>0</v>
      </c>
      <c r="C105" s="95">
        <f>'INTERNAL TEST-1  '!C109</f>
        <v>0</v>
      </c>
      <c r="D105" s="92"/>
      <c r="E105" s="92"/>
      <c r="F105" s="92"/>
      <c r="G105" s="92"/>
      <c r="H105" s="92"/>
      <c r="I105" s="92"/>
      <c r="J105" s="92"/>
      <c r="K105" s="62">
        <f t="shared" si="8"/>
        <v>0</v>
      </c>
      <c r="L105" s="62">
        <f t="shared" si="9"/>
        <v>0</v>
      </c>
      <c r="M105" s="62">
        <f t="shared" si="10"/>
        <v>0</v>
      </c>
      <c r="N105" s="62">
        <f t="shared" si="11"/>
        <v>0</v>
      </c>
      <c r="O105" s="62">
        <f t="shared" si="12"/>
        <v>0</v>
      </c>
      <c r="P105" s="62">
        <f t="shared" si="13"/>
        <v>0</v>
      </c>
      <c r="Q105" s="62">
        <f t="shared" si="14"/>
        <v>0</v>
      </c>
      <c r="R105" s="62" t="e">
        <f t="shared" si="15"/>
        <v>#DIV/0!</v>
      </c>
    </row>
    <row r="106" spans="1:18" ht="20.100000000000001" hidden="1" customHeight="1">
      <c r="A106" s="94">
        <f>'INTERNAL TEST-1  '!A110</f>
        <v>0</v>
      </c>
      <c r="B106" s="94">
        <f>'INTERNAL TEST-1  '!B110</f>
        <v>0</v>
      </c>
      <c r="C106" s="95">
        <f>'INTERNAL TEST-1  '!C110</f>
        <v>0</v>
      </c>
      <c r="D106" s="92"/>
      <c r="E106" s="92"/>
      <c r="F106" s="92"/>
      <c r="G106" s="92"/>
      <c r="H106" s="92"/>
      <c r="I106" s="92"/>
      <c r="J106" s="92"/>
      <c r="K106" s="62">
        <f t="shared" si="8"/>
        <v>0</v>
      </c>
      <c r="L106" s="62">
        <f t="shared" si="9"/>
        <v>0</v>
      </c>
      <c r="M106" s="62">
        <f t="shared" si="10"/>
        <v>0</v>
      </c>
      <c r="N106" s="62">
        <f t="shared" si="11"/>
        <v>0</v>
      </c>
      <c r="O106" s="62">
        <f t="shared" si="12"/>
        <v>0</v>
      </c>
      <c r="P106" s="62">
        <f t="shared" si="13"/>
        <v>0</v>
      </c>
      <c r="Q106" s="62">
        <f t="shared" si="14"/>
        <v>0</v>
      </c>
      <c r="R106" s="62" t="e">
        <f t="shared" si="15"/>
        <v>#DIV/0!</v>
      </c>
    </row>
    <row r="107" spans="1:18" ht="20.100000000000001" hidden="1" customHeight="1">
      <c r="A107" s="94">
        <f>'INTERNAL TEST-1  '!A111</f>
        <v>0</v>
      </c>
      <c r="B107" s="94">
        <f>'INTERNAL TEST-1  '!B111</f>
        <v>0</v>
      </c>
      <c r="C107" s="95">
        <f>'INTERNAL TEST-1  '!C111</f>
        <v>0</v>
      </c>
      <c r="D107" s="92"/>
      <c r="E107" s="92"/>
      <c r="F107" s="92"/>
      <c r="G107" s="92"/>
      <c r="H107" s="92"/>
      <c r="I107" s="92"/>
      <c r="J107" s="92"/>
      <c r="K107" s="62">
        <f t="shared" si="8"/>
        <v>0</v>
      </c>
      <c r="L107" s="62">
        <f t="shared" si="9"/>
        <v>0</v>
      </c>
      <c r="M107" s="62">
        <f t="shared" si="10"/>
        <v>0</v>
      </c>
      <c r="N107" s="62">
        <f t="shared" si="11"/>
        <v>0</v>
      </c>
      <c r="O107" s="62">
        <f t="shared" si="12"/>
        <v>0</v>
      </c>
      <c r="P107" s="62">
        <f t="shared" si="13"/>
        <v>0</v>
      </c>
      <c r="Q107" s="62">
        <f t="shared" si="14"/>
        <v>0</v>
      </c>
      <c r="R107" s="62" t="e">
        <f t="shared" si="15"/>
        <v>#DIV/0!</v>
      </c>
    </row>
    <row r="108" spans="1:18" ht="20.100000000000001" hidden="1" customHeight="1">
      <c r="A108" s="94">
        <f>'INTERNAL TEST-1  '!A112</f>
        <v>0</v>
      </c>
      <c r="B108" s="94">
        <f>'INTERNAL TEST-1  '!B112</f>
        <v>0</v>
      </c>
      <c r="C108" s="95">
        <f>'INTERNAL TEST-1  '!C112</f>
        <v>0</v>
      </c>
      <c r="D108" s="92"/>
      <c r="E108" s="92"/>
      <c r="F108" s="92"/>
      <c r="G108" s="92"/>
      <c r="H108" s="92"/>
      <c r="I108" s="92"/>
      <c r="J108" s="92"/>
      <c r="K108" s="62">
        <f t="shared" si="8"/>
        <v>0</v>
      </c>
      <c r="L108" s="62">
        <f t="shared" si="9"/>
        <v>0</v>
      </c>
      <c r="M108" s="62">
        <f t="shared" si="10"/>
        <v>0</v>
      </c>
      <c r="N108" s="62">
        <f t="shared" si="11"/>
        <v>0</v>
      </c>
      <c r="O108" s="62">
        <f t="shared" si="12"/>
        <v>0</v>
      </c>
      <c r="P108" s="62">
        <f t="shared" si="13"/>
        <v>0</v>
      </c>
      <c r="Q108" s="62">
        <f t="shared" si="14"/>
        <v>0</v>
      </c>
      <c r="R108" s="62" t="e">
        <f t="shared" si="15"/>
        <v>#DIV/0!</v>
      </c>
    </row>
    <row r="109" spans="1:18" ht="20.100000000000001" hidden="1" customHeight="1">
      <c r="A109" s="94">
        <f>'INTERNAL TEST-1  '!A113</f>
        <v>0</v>
      </c>
      <c r="B109" s="94">
        <f>'INTERNAL TEST-1  '!B113</f>
        <v>0</v>
      </c>
      <c r="C109" s="95">
        <f>'INTERNAL TEST-1  '!C113</f>
        <v>0</v>
      </c>
      <c r="D109" s="92"/>
      <c r="E109" s="92"/>
      <c r="F109" s="92"/>
      <c r="G109" s="92"/>
      <c r="H109" s="92"/>
      <c r="I109" s="92"/>
      <c r="J109" s="92"/>
      <c r="K109" s="62">
        <f t="shared" si="8"/>
        <v>0</v>
      </c>
      <c r="L109" s="62">
        <f t="shared" si="9"/>
        <v>0</v>
      </c>
      <c r="M109" s="62">
        <f t="shared" si="10"/>
        <v>0</v>
      </c>
      <c r="N109" s="62">
        <f t="shared" si="11"/>
        <v>0</v>
      </c>
      <c r="O109" s="62">
        <f t="shared" si="12"/>
        <v>0</v>
      </c>
      <c r="P109" s="62">
        <f t="shared" si="13"/>
        <v>0</v>
      </c>
      <c r="Q109" s="62">
        <f t="shared" si="14"/>
        <v>0</v>
      </c>
      <c r="R109" s="62" t="e">
        <f t="shared" si="15"/>
        <v>#DIV/0!</v>
      </c>
    </row>
    <row r="110" spans="1:18" ht="20.100000000000001" hidden="1" customHeight="1">
      <c r="A110" s="94">
        <f>'INTERNAL TEST-1  '!A114</f>
        <v>0</v>
      </c>
      <c r="B110" s="94">
        <f>'INTERNAL TEST-1  '!B114</f>
        <v>0</v>
      </c>
      <c r="C110" s="95">
        <f>'INTERNAL TEST-1  '!C114</f>
        <v>0</v>
      </c>
      <c r="D110" s="92"/>
      <c r="E110" s="92"/>
      <c r="F110" s="92"/>
      <c r="G110" s="92"/>
      <c r="H110" s="92"/>
      <c r="I110" s="92"/>
      <c r="J110" s="92"/>
      <c r="K110" s="62">
        <f t="shared" si="8"/>
        <v>0</v>
      </c>
      <c r="L110" s="62">
        <f t="shared" si="9"/>
        <v>0</v>
      </c>
      <c r="M110" s="62">
        <f t="shared" si="10"/>
        <v>0</v>
      </c>
      <c r="N110" s="62">
        <f t="shared" si="11"/>
        <v>0</v>
      </c>
      <c r="O110" s="62">
        <f t="shared" si="12"/>
        <v>0</v>
      </c>
      <c r="P110" s="62">
        <f t="shared" si="13"/>
        <v>0</v>
      </c>
      <c r="Q110" s="62">
        <f t="shared" si="14"/>
        <v>0</v>
      </c>
      <c r="R110" s="62" t="e">
        <f t="shared" si="15"/>
        <v>#DIV/0!</v>
      </c>
    </row>
    <row r="111" spans="1:18" ht="20.100000000000001" hidden="1" customHeight="1">
      <c r="A111" s="94">
        <f>'INTERNAL TEST-1  '!A115</f>
        <v>0</v>
      </c>
      <c r="B111" s="94">
        <f>'INTERNAL TEST-1  '!B115</f>
        <v>0</v>
      </c>
      <c r="C111" s="95">
        <f>'INTERNAL TEST-1  '!C115</f>
        <v>0</v>
      </c>
      <c r="D111" s="92"/>
      <c r="E111" s="92"/>
      <c r="F111" s="92"/>
      <c r="G111" s="92"/>
      <c r="H111" s="92"/>
      <c r="I111" s="92"/>
      <c r="J111" s="92"/>
      <c r="K111" s="62">
        <f t="shared" si="8"/>
        <v>0</v>
      </c>
      <c r="L111" s="62">
        <f t="shared" si="9"/>
        <v>0</v>
      </c>
      <c r="M111" s="62">
        <f t="shared" si="10"/>
        <v>0</v>
      </c>
      <c r="N111" s="62">
        <f t="shared" si="11"/>
        <v>0</v>
      </c>
      <c r="O111" s="62">
        <f t="shared" si="12"/>
        <v>0</v>
      </c>
      <c r="P111" s="62">
        <f t="shared" si="13"/>
        <v>0</v>
      </c>
      <c r="Q111" s="62">
        <f t="shared" si="14"/>
        <v>0</v>
      </c>
      <c r="R111" s="62" t="e">
        <f t="shared" si="15"/>
        <v>#DIV/0!</v>
      </c>
    </row>
    <row r="112" spans="1:18" ht="20.100000000000001" hidden="1" customHeight="1">
      <c r="A112" s="94">
        <f>'INTERNAL TEST-1  '!A116</f>
        <v>0</v>
      </c>
      <c r="B112" s="94">
        <f>'INTERNAL TEST-1  '!B116</f>
        <v>0</v>
      </c>
      <c r="C112" s="95">
        <f>'INTERNAL TEST-1  '!C116</f>
        <v>0</v>
      </c>
      <c r="D112" s="92"/>
      <c r="E112" s="92"/>
      <c r="F112" s="92"/>
      <c r="G112" s="92"/>
      <c r="H112" s="92"/>
      <c r="I112" s="92"/>
      <c r="J112" s="92"/>
      <c r="K112" s="62">
        <f t="shared" si="8"/>
        <v>0</v>
      </c>
      <c r="L112" s="62">
        <f t="shared" si="9"/>
        <v>0</v>
      </c>
      <c r="M112" s="62">
        <f t="shared" si="10"/>
        <v>0</v>
      </c>
      <c r="N112" s="62">
        <f t="shared" si="11"/>
        <v>0</v>
      </c>
      <c r="O112" s="62">
        <f t="shared" si="12"/>
        <v>0</v>
      </c>
      <c r="P112" s="62">
        <f t="shared" si="13"/>
        <v>0</v>
      </c>
      <c r="Q112" s="62">
        <f t="shared" si="14"/>
        <v>0</v>
      </c>
      <c r="R112" s="62" t="e">
        <f t="shared" si="15"/>
        <v>#DIV/0!</v>
      </c>
    </row>
    <row r="113" spans="1:18" ht="20.100000000000001" hidden="1" customHeight="1">
      <c r="A113" s="94">
        <f>'INTERNAL TEST-1  '!A117</f>
        <v>0</v>
      </c>
      <c r="B113" s="94">
        <f>'INTERNAL TEST-1  '!B117</f>
        <v>0</v>
      </c>
      <c r="C113" s="95">
        <f>'INTERNAL TEST-1  '!C117</f>
        <v>0</v>
      </c>
      <c r="D113" s="92"/>
      <c r="E113" s="92"/>
      <c r="F113" s="92"/>
      <c r="G113" s="92"/>
      <c r="H113" s="92"/>
      <c r="I113" s="92"/>
      <c r="J113" s="92"/>
      <c r="K113" s="62">
        <f t="shared" si="8"/>
        <v>0</v>
      </c>
      <c r="L113" s="62">
        <f t="shared" si="9"/>
        <v>0</v>
      </c>
      <c r="M113" s="62">
        <f t="shared" si="10"/>
        <v>0</v>
      </c>
      <c r="N113" s="62">
        <f t="shared" si="11"/>
        <v>0</v>
      </c>
      <c r="O113" s="62">
        <f t="shared" si="12"/>
        <v>0</v>
      </c>
      <c r="P113" s="62">
        <f t="shared" si="13"/>
        <v>0</v>
      </c>
      <c r="Q113" s="62">
        <f t="shared" si="14"/>
        <v>0</v>
      </c>
      <c r="R113" s="62" t="e">
        <f t="shared" si="15"/>
        <v>#DIV/0!</v>
      </c>
    </row>
    <row r="114" spans="1:18" ht="20.100000000000001" hidden="1" customHeight="1">
      <c r="A114" s="94">
        <f>'INTERNAL TEST-1  '!A118</f>
        <v>0</v>
      </c>
      <c r="B114" s="94">
        <f>'INTERNAL TEST-1  '!B118</f>
        <v>0</v>
      </c>
      <c r="C114" s="95">
        <f>'INTERNAL TEST-1  '!C118</f>
        <v>0</v>
      </c>
      <c r="D114" s="92"/>
      <c r="E114" s="92"/>
      <c r="F114" s="92"/>
      <c r="G114" s="92"/>
      <c r="H114" s="92"/>
      <c r="I114" s="92"/>
      <c r="J114" s="92"/>
      <c r="K114" s="62">
        <f t="shared" si="8"/>
        <v>0</v>
      </c>
      <c r="L114" s="62">
        <f t="shared" si="9"/>
        <v>0</v>
      </c>
      <c r="M114" s="62">
        <f t="shared" si="10"/>
        <v>0</v>
      </c>
      <c r="N114" s="62">
        <f t="shared" si="11"/>
        <v>0</v>
      </c>
      <c r="O114" s="62">
        <f t="shared" si="12"/>
        <v>0</v>
      </c>
      <c r="P114" s="62">
        <f t="shared" si="13"/>
        <v>0</v>
      </c>
      <c r="Q114" s="62">
        <f t="shared" si="14"/>
        <v>0</v>
      </c>
      <c r="R114" s="62" t="e">
        <f t="shared" si="15"/>
        <v>#DIV/0!</v>
      </c>
    </row>
    <row r="115" spans="1:18" ht="20.100000000000001" hidden="1" customHeight="1">
      <c r="A115" s="94">
        <f>'INTERNAL TEST-1  '!A119</f>
        <v>0</v>
      </c>
      <c r="B115" s="94">
        <f>'INTERNAL TEST-1  '!B119</f>
        <v>0</v>
      </c>
      <c r="C115" s="95">
        <f>'INTERNAL TEST-1  '!C119</f>
        <v>0</v>
      </c>
      <c r="D115" s="92"/>
      <c r="E115" s="92"/>
      <c r="F115" s="92"/>
      <c r="G115" s="92"/>
      <c r="H115" s="92"/>
      <c r="I115" s="92"/>
      <c r="J115" s="92"/>
      <c r="K115" s="62">
        <f t="shared" si="8"/>
        <v>0</v>
      </c>
      <c r="L115" s="62">
        <f t="shared" si="9"/>
        <v>0</v>
      </c>
      <c r="M115" s="62">
        <f t="shared" si="10"/>
        <v>0</v>
      </c>
      <c r="N115" s="62">
        <f t="shared" si="11"/>
        <v>0</v>
      </c>
      <c r="O115" s="62">
        <f t="shared" si="12"/>
        <v>0</v>
      </c>
      <c r="P115" s="62">
        <f t="shared" si="13"/>
        <v>0</v>
      </c>
      <c r="Q115" s="62">
        <f t="shared" si="14"/>
        <v>0</v>
      </c>
      <c r="R115" s="62" t="e">
        <f t="shared" si="15"/>
        <v>#DIV/0!</v>
      </c>
    </row>
    <row r="116" spans="1:18" ht="20.100000000000001" hidden="1" customHeight="1">
      <c r="A116" s="94">
        <f>'INTERNAL TEST-1  '!A120</f>
        <v>0</v>
      </c>
      <c r="B116" s="94">
        <f>'INTERNAL TEST-1  '!B120</f>
        <v>0</v>
      </c>
      <c r="C116" s="95">
        <f>'INTERNAL TEST-1  '!C120</f>
        <v>0</v>
      </c>
      <c r="D116" s="92"/>
      <c r="E116" s="92"/>
      <c r="F116" s="92"/>
      <c r="G116" s="92"/>
      <c r="H116" s="92"/>
      <c r="I116" s="92"/>
      <c r="J116" s="92"/>
      <c r="K116" s="62">
        <f t="shared" si="8"/>
        <v>0</v>
      </c>
      <c r="L116" s="62">
        <f t="shared" si="9"/>
        <v>0</v>
      </c>
      <c r="M116" s="62">
        <f t="shared" si="10"/>
        <v>0</v>
      </c>
      <c r="N116" s="62">
        <f t="shared" si="11"/>
        <v>0</v>
      </c>
      <c r="O116" s="62">
        <f t="shared" si="12"/>
        <v>0</v>
      </c>
      <c r="P116" s="62">
        <f t="shared" si="13"/>
        <v>0</v>
      </c>
      <c r="Q116" s="62">
        <f t="shared" si="14"/>
        <v>0</v>
      </c>
      <c r="R116" s="62" t="e">
        <f t="shared" si="15"/>
        <v>#DIV/0!</v>
      </c>
    </row>
    <row r="117" spans="1:18" ht="20.100000000000001" hidden="1" customHeight="1">
      <c r="A117" s="94">
        <f>'INTERNAL TEST-1  '!A121</f>
        <v>0</v>
      </c>
      <c r="B117" s="94">
        <f>'INTERNAL TEST-1  '!B121</f>
        <v>0</v>
      </c>
      <c r="C117" s="95">
        <f>'INTERNAL TEST-1  '!C121</f>
        <v>0</v>
      </c>
      <c r="D117" s="92"/>
      <c r="E117" s="92"/>
      <c r="F117" s="92"/>
      <c r="G117" s="92"/>
      <c r="H117" s="92"/>
      <c r="I117" s="92"/>
      <c r="J117" s="92"/>
      <c r="K117" s="62">
        <f t="shared" si="8"/>
        <v>0</v>
      </c>
      <c r="L117" s="62">
        <f t="shared" si="9"/>
        <v>0</v>
      </c>
      <c r="M117" s="62">
        <f t="shared" si="10"/>
        <v>0</v>
      </c>
      <c r="N117" s="62">
        <f t="shared" si="11"/>
        <v>0</v>
      </c>
      <c r="O117" s="62">
        <f t="shared" si="12"/>
        <v>0</v>
      </c>
      <c r="P117" s="62">
        <f t="shared" si="13"/>
        <v>0</v>
      </c>
      <c r="Q117" s="62">
        <f t="shared" si="14"/>
        <v>0</v>
      </c>
      <c r="R117" s="62" t="e">
        <f t="shared" si="15"/>
        <v>#DIV/0!</v>
      </c>
    </row>
    <row r="118" spans="1:18" ht="20.100000000000001" hidden="1" customHeight="1">
      <c r="A118" s="94">
        <f>'INTERNAL TEST-1  '!A122</f>
        <v>0</v>
      </c>
      <c r="B118" s="94">
        <f>'INTERNAL TEST-1  '!B122</f>
        <v>0</v>
      </c>
      <c r="C118" s="95">
        <f>'INTERNAL TEST-1  '!C122</f>
        <v>0</v>
      </c>
      <c r="D118" s="92"/>
      <c r="E118" s="92"/>
      <c r="F118" s="92"/>
      <c r="G118" s="92"/>
      <c r="H118" s="92"/>
      <c r="I118" s="92"/>
      <c r="J118" s="92"/>
      <c r="K118" s="62">
        <f t="shared" si="8"/>
        <v>0</v>
      </c>
      <c r="L118" s="62">
        <f t="shared" si="9"/>
        <v>0</v>
      </c>
      <c r="M118" s="62">
        <f t="shared" si="10"/>
        <v>0</v>
      </c>
      <c r="N118" s="62">
        <f t="shared" si="11"/>
        <v>0</v>
      </c>
      <c r="O118" s="62">
        <f t="shared" si="12"/>
        <v>0</v>
      </c>
      <c r="P118" s="62">
        <f t="shared" si="13"/>
        <v>0</v>
      </c>
      <c r="Q118" s="62">
        <f t="shared" si="14"/>
        <v>0</v>
      </c>
      <c r="R118" s="62" t="e">
        <f t="shared" si="15"/>
        <v>#DIV/0!</v>
      </c>
    </row>
    <row r="119" spans="1:18" ht="20.100000000000001" hidden="1" customHeight="1">
      <c r="A119" s="94">
        <f>'INTERNAL TEST-1  '!A123</f>
        <v>0</v>
      </c>
      <c r="B119" s="94">
        <f>'INTERNAL TEST-1  '!B123</f>
        <v>0</v>
      </c>
      <c r="C119" s="95">
        <f>'INTERNAL TEST-1  '!C123</f>
        <v>0</v>
      </c>
      <c r="D119" s="92"/>
      <c r="E119" s="92"/>
      <c r="F119" s="92"/>
      <c r="G119" s="92"/>
      <c r="H119" s="92"/>
      <c r="I119" s="92"/>
      <c r="J119" s="92"/>
      <c r="K119" s="62">
        <f t="shared" si="8"/>
        <v>0</v>
      </c>
      <c r="L119" s="62">
        <f t="shared" si="9"/>
        <v>0</v>
      </c>
      <c r="M119" s="62">
        <f t="shared" si="10"/>
        <v>0</v>
      </c>
      <c r="N119" s="62">
        <f t="shared" si="11"/>
        <v>0</v>
      </c>
      <c r="O119" s="62">
        <f t="shared" si="12"/>
        <v>0</v>
      </c>
      <c r="P119" s="62">
        <f t="shared" si="13"/>
        <v>0</v>
      </c>
      <c r="Q119" s="62">
        <f t="shared" si="14"/>
        <v>0</v>
      </c>
      <c r="R119" s="62" t="e">
        <f t="shared" si="15"/>
        <v>#DIV/0!</v>
      </c>
    </row>
    <row r="120" spans="1:18" ht="20.100000000000001" hidden="1" customHeight="1">
      <c r="A120" s="94">
        <f>'INTERNAL TEST-1  '!A124</f>
        <v>0</v>
      </c>
      <c r="B120" s="94">
        <f>'INTERNAL TEST-1  '!B124</f>
        <v>0</v>
      </c>
      <c r="C120" s="95">
        <f>'INTERNAL TEST-1  '!C124</f>
        <v>0</v>
      </c>
      <c r="D120" s="92"/>
      <c r="E120" s="92"/>
      <c r="F120" s="92"/>
      <c r="G120" s="92"/>
      <c r="H120" s="92"/>
      <c r="I120" s="92"/>
      <c r="J120" s="92"/>
      <c r="K120" s="62">
        <f t="shared" si="8"/>
        <v>0</v>
      </c>
      <c r="L120" s="62">
        <f t="shared" si="9"/>
        <v>0</v>
      </c>
      <c r="M120" s="62">
        <f t="shared" si="10"/>
        <v>0</v>
      </c>
      <c r="N120" s="62">
        <f t="shared" si="11"/>
        <v>0</v>
      </c>
      <c r="O120" s="62">
        <f t="shared" si="12"/>
        <v>0</v>
      </c>
      <c r="P120" s="62">
        <f t="shared" si="13"/>
        <v>0</v>
      </c>
      <c r="Q120" s="62">
        <f t="shared" si="14"/>
        <v>0</v>
      </c>
      <c r="R120" s="62" t="e">
        <f t="shared" si="15"/>
        <v>#DIV/0!</v>
      </c>
    </row>
    <row r="121" spans="1:18" ht="20.100000000000001" hidden="1" customHeight="1">
      <c r="A121" s="94">
        <f>'INTERNAL TEST-1  '!A125</f>
        <v>0</v>
      </c>
      <c r="B121" s="94">
        <f>'INTERNAL TEST-1  '!B125</f>
        <v>0</v>
      </c>
      <c r="C121" s="95">
        <f>'INTERNAL TEST-1  '!C125</f>
        <v>0</v>
      </c>
      <c r="D121" s="92"/>
      <c r="E121" s="92"/>
      <c r="F121" s="92"/>
      <c r="G121" s="92"/>
      <c r="H121" s="92"/>
      <c r="I121" s="92"/>
      <c r="J121" s="92"/>
      <c r="K121" s="62">
        <f t="shared" si="8"/>
        <v>0</v>
      </c>
      <c r="L121" s="62">
        <f t="shared" si="9"/>
        <v>0</v>
      </c>
      <c r="M121" s="62">
        <f t="shared" si="10"/>
        <v>0</v>
      </c>
      <c r="N121" s="62">
        <f t="shared" si="11"/>
        <v>0</v>
      </c>
      <c r="O121" s="62">
        <f t="shared" si="12"/>
        <v>0</v>
      </c>
      <c r="P121" s="62">
        <f t="shared" si="13"/>
        <v>0</v>
      </c>
      <c r="Q121" s="62">
        <f t="shared" si="14"/>
        <v>0</v>
      </c>
      <c r="R121" s="62" t="e">
        <f t="shared" si="15"/>
        <v>#DIV/0!</v>
      </c>
    </row>
    <row r="122" spans="1:18" ht="20.100000000000001" hidden="1" customHeight="1">
      <c r="A122" s="94">
        <f>'INTERNAL TEST-1  '!A126</f>
        <v>0</v>
      </c>
      <c r="B122" s="94">
        <f>'INTERNAL TEST-1  '!B126</f>
        <v>0</v>
      </c>
      <c r="C122" s="95">
        <f>'INTERNAL TEST-1  '!C126</f>
        <v>0</v>
      </c>
      <c r="D122" s="92"/>
      <c r="E122" s="92"/>
      <c r="F122" s="92"/>
      <c r="G122" s="92"/>
      <c r="H122" s="92"/>
      <c r="I122" s="92"/>
      <c r="J122" s="92"/>
      <c r="K122" s="62">
        <f t="shared" si="8"/>
        <v>0</v>
      </c>
      <c r="L122" s="62">
        <f t="shared" si="9"/>
        <v>0</v>
      </c>
      <c r="M122" s="62">
        <f t="shared" si="10"/>
        <v>0</v>
      </c>
      <c r="N122" s="62">
        <f t="shared" si="11"/>
        <v>0</v>
      </c>
      <c r="O122" s="62">
        <f t="shared" si="12"/>
        <v>0</v>
      </c>
      <c r="P122" s="62">
        <f t="shared" si="13"/>
        <v>0</v>
      </c>
      <c r="Q122" s="62">
        <f t="shared" si="14"/>
        <v>0</v>
      </c>
      <c r="R122" s="62" t="e">
        <f t="shared" si="15"/>
        <v>#DIV/0!</v>
      </c>
    </row>
    <row r="123" spans="1:18" ht="20.100000000000001" hidden="1" customHeight="1">
      <c r="A123" s="94">
        <f>'INTERNAL TEST-1  '!A127</f>
        <v>0</v>
      </c>
      <c r="B123" s="94">
        <f>'INTERNAL TEST-1  '!B127</f>
        <v>0</v>
      </c>
      <c r="C123" s="95">
        <f>'INTERNAL TEST-1  '!C127</f>
        <v>0</v>
      </c>
      <c r="D123" s="93"/>
      <c r="E123" s="93"/>
      <c r="F123" s="93"/>
      <c r="G123" s="93"/>
      <c r="H123" s="93"/>
      <c r="I123" s="93"/>
      <c r="J123" s="93"/>
      <c r="K123" s="62">
        <f t="shared" si="8"/>
        <v>0</v>
      </c>
      <c r="L123" s="62">
        <f t="shared" si="9"/>
        <v>0</v>
      </c>
      <c r="M123" s="62">
        <f t="shared" si="10"/>
        <v>0</v>
      </c>
      <c r="N123" s="62">
        <f t="shared" si="11"/>
        <v>0</v>
      </c>
      <c r="O123" s="62">
        <f t="shared" si="12"/>
        <v>0</v>
      </c>
      <c r="P123" s="62">
        <f t="shared" si="13"/>
        <v>0</v>
      </c>
      <c r="Q123" s="62">
        <f t="shared" si="14"/>
        <v>0</v>
      </c>
      <c r="R123" s="62" t="e">
        <f t="shared" si="15"/>
        <v>#DIV/0!</v>
      </c>
    </row>
    <row r="124" spans="1:18" ht="20.100000000000001" hidden="1" customHeight="1">
      <c r="A124" s="94">
        <f>'INTERNAL TEST-1  '!A128</f>
        <v>0</v>
      </c>
      <c r="B124" s="94">
        <f>'INTERNAL TEST-1  '!B128</f>
        <v>0</v>
      </c>
      <c r="C124" s="95">
        <f>'INTERNAL TEST-1  '!C128</f>
        <v>0</v>
      </c>
      <c r="D124" s="93"/>
      <c r="E124" s="93"/>
      <c r="F124" s="93"/>
      <c r="G124" s="93"/>
      <c r="H124" s="93"/>
      <c r="I124" s="93"/>
      <c r="J124" s="93"/>
      <c r="K124" s="62">
        <f t="shared" si="8"/>
        <v>0</v>
      </c>
      <c r="L124" s="62">
        <f t="shared" si="9"/>
        <v>0</v>
      </c>
      <c r="M124" s="62">
        <f t="shared" si="10"/>
        <v>0</v>
      </c>
      <c r="N124" s="62">
        <f t="shared" si="11"/>
        <v>0</v>
      </c>
      <c r="O124" s="62">
        <f t="shared" si="12"/>
        <v>0</v>
      </c>
      <c r="P124" s="62">
        <f t="shared" si="13"/>
        <v>0</v>
      </c>
      <c r="Q124" s="62">
        <f t="shared" si="14"/>
        <v>0</v>
      </c>
      <c r="R124" s="62" t="e">
        <f t="shared" si="15"/>
        <v>#DIV/0!</v>
      </c>
    </row>
    <row r="125" spans="1:18" ht="20.100000000000001" hidden="1" customHeight="1">
      <c r="A125" s="94">
        <f>'INTERNAL TEST-1  '!A129</f>
        <v>0</v>
      </c>
      <c r="B125" s="94">
        <f>'INTERNAL TEST-1  '!B129</f>
        <v>0</v>
      </c>
      <c r="C125" s="95">
        <f>'INTERNAL TEST-1  '!C129</f>
        <v>0</v>
      </c>
      <c r="D125" s="93"/>
      <c r="E125" s="93"/>
      <c r="F125" s="93"/>
      <c r="G125" s="93"/>
      <c r="H125" s="93"/>
      <c r="I125" s="93"/>
      <c r="J125" s="93"/>
      <c r="K125" s="62">
        <f t="shared" si="8"/>
        <v>0</v>
      </c>
      <c r="L125" s="62">
        <f t="shared" si="9"/>
        <v>0</v>
      </c>
      <c r="M125" s="62">
        <f t="shared" si="10"/>
        <v>0</v>
      </c>
      <c r="N125" s="62">
        <f t="shared" si="11"/>
        <v>0</v>
      </c>
      <c r="O125" s="62">
        <f t="shared" si="12"/>
        <v>0</v>
      </c>
      <c r="P125" s="62">
        <f t="shared" si="13"/>
        <v>0</v>
      </c>
      <c r="Q125" s="62">
        <f t="shared" si="14"/>
        <v>0</v>
      </c>
      <c r="R125" s="62" t="e">
        <f t="shared" si="15"/>
        <v>#DIV/0!</v>
      </c>
    </row>
    <row r="126" spans="1:18" ht="20.100000000000001" hidden="1" customHeight="1">
      <c r="A126" s="94">
        <f>'INTERNAL TEST-1  '!A130</f>
        <v>0</v>
      </c>
      <c r="B126" s="94">
        <f>'INTERNAL TEST-1  '!B130</f>
        <v>0</v>
      </c>
      <c r="C126" s="95">
        <f>'INTERNAL TEST-1  '!C130</f>
        <v>0</v>
      </c>
      <c r="D126" s="93"/>
      <c r="E126" s="93"/>
      <c r="F126" s="93"/>
      <c r="G126" s="93"/>
      <c r="H126" s="93"/>
      <c r="I126" s="93"/>
      <c r="J126" s="93"/>
      <c r="K126" s="62">
        <f t="shared" si="8"/>
        <v>0</v>
      </c>
      <c r="L126" s="62">
        <f t="shared" si="9"/>
        <v>0</v>
      </c>
      <c r="M126" s="62">
        <f t="shared" si="10"/>
        <v>0</v>
      </c>
      <c r="N126" s="62">
        <f t="shared" si="11"/>
        <v>0</v>
      </c>
      <c r="O126" s="62">
        <f t="shared" si="12"/>
        <v>0</v>
      </c>
      <c r="P126" s="62">
        <f t="shared" si="13"/>
        <v>0</v>
      </c>
      <c r="Q126" s="62">
        <f t="shared" si="14"/>
        <v>0</v>
      </c>
      <c r="R126" s="62" t="e">
        <f t="shared" si="15"/>
        <v>#DIV/0!</v>
      </c>
    </row>
    <row r="127" spans="1:18" ht="20.100000000000001" hidden="1" customHeight="1">
      <c r="A127" s="94">
        <f>'INTERNAL TEST-1  '!A131</f>
        <v>0</v>
      </c>
      <c r="B127" s="94">
        <f>'INTERNAL TEST-1  '!B131</f>
        <v>0</v>
      </c>
      <c r="C127" s="95">
        <f>'INTERNAL TEST-1  '!C131</f>
        <v>0</v>
      </c>
      <c r="D127" s="93"/>
      <c r="E127" s="93"/>
      <c r="F127" s="93"/>
      <c r="G127" s="93"/>
      <c r="H127" s="93"/>
      <c r="I127" s="93"/>
      <c r="J127" s="93"/>
      <c r="K127" s="62">
        <f t="shared" si="8"/>
        <v>0</v>
      </c>
      <c r="L127" s="62">
        <f t="shared" si="9"/>
        <v>0</v>
      </c>
      <c r="M127" s="62">
        <f t="shared" si="10"/>
        <v>0</v>
      </c>
      <c r="N127" s="62">
        <f t="shared" si="11"/>
        <v>0</v>
      </c>
      <c r="O127" s="62">
        <f t="shared" si="12"/>
        <v>0</v>
      </c>
      <c r="P127" s="62">
        <f t="shared" si="13"/>
        <v>0</v>
      </c>
      <c r="Q127" s="62">
        <f t="shared" si="14"/>
        <v>0</v>
      </c>
      <c r="R127" s="62" t="e">
        <f t="shared" si="15"/>
        <v>#DIV/0!</v>
      </c>
    </row>
    <row r="128" spans="1:18" ht="20.100000000000001" hidden="1" customHeight="1">
      <c r="A128" s="94">
        <f>'INTERNAL TEST-1  '!A132</f>
        <v>0</v>
      </c>
      <c r="B128" s="94">
        <f>'INTERNAL TEST-1  '!B132</f>
        <v>0</v>
      </c>
      <c r="C128" s="95">
        <f>'INTERNAL TEST-1  '!C132</f>
        <v>0</v>
      </c>
      <c r="D128" s="93"/>
      <c r="E128" s="93"/>
      <c r="F128" s="93"/>
      <c r="G128" s="93"/>
      <c r="H128" s="93"/>
      <c r="I128" s="93"/>
      <c r="J128" s="93"/>
      <c r="K128" s="62">
        <f t="shared" si="8"/>
        <v>0</v>
      </c>
      <c r="L128" s="62">
        <f t="shared" si="9"/>
        <v>0</v>
      </c>
      <c r="M128" s="62">
        <f t="shared" si="10"/>
        <v>0</v>
      </c>
      <c r="N128" s="62">
        <f t="shared" si="11"/>
        <v>0</v>
      </c>
      <c r="O128" s="62">
        <f t="shared" si="12"/>
        <v>0</v>
      </c>
      <c r="P128" s="62">
        <f t="shared" si="13"/>
        <v>0</v>
      </c>
      <c r="Q128" s="62">
        <f t="shared" si="14"/>
        <v>0</v>
      </c>
      <c r="R128" s="62" t="e">
        <f t="shared" si="15"/>
        <v>#DIV/0!</v>
      </c>
    </row>
    <row r="129" spans="1:18" ht="20.100000000000001" hidden="1" customHeight="1">
      <c r="A129" s="94">
        <f>'INTERNAL TEST-1  '!A133</f>
        <v>0</v>
      </c>
      <c r="B129" s="94">
        <f>'INTERNAL TEST-1  '!B133</f>
        <v>0</v>
      </c>
      <c r="C129" s="95">
        <f>'INTERNAL TEST-1  '!C133</f>
        <v>0</v>
      </c>
      <c r="D129" s="93"/>
      <c r="E129" s="93"/>
      <c r="F129" s="93"/>
      <c r="G129" s="93"/>
      <c r="H129" s="93"/>
      <c r="I129" s="93"/>
      <c r="J129" s="93"/>
      <c r="K129" s="62">
        <f t="shared" si="8"/>
        <v>0</v>
      </c>
      <c r="L129" s="62">
        <f t="shared" si="9"/>
        <v>0</v>
      </c>
      <c r="M129" s="62">
        <f t="shared" si="10"/>
        <v>0</v>
      </c>
      <c r="N129" s="62">
        <f t="shared" si="11"/>
        <v>0</v>
      </c>
      <c r="O129" s="62">
        <f t="shared" si="12"/>
        <v>0</v>
      </c>
      <c r="P129" s="62">
        <f t="shared" si="13"/>
        <v>0</v>
      </c>
      <c r="Q129" s="62">
        <f t="shared" si="14"/>
        <v>0</v>
      </c>
      <c r="R129" s="62" t="e">
        <f t="shared" si="15"/>
        <v>#DIV/0!</v>
      </c>
    </row>
    <row r="130" spans="1:18" ht="20.100000000000001" hidden="1" customHeight="1">
      <c r="A130" s="94">
        <f>'INTERNAL TEST-1  '!A134</f>
        <v>0</v>
      </c>
      <c r="B130" s="94">
        <f>'INTERNAL TEST-1  '!B134</f>
        <v>0</v>
      </c>
      <c r="C130" s="95">
        <f>'INTERNAL TEST-1  '!C134</f>
        <v>0</v>
      </c>
      <c r="D130" s="93"/>
      <c r="E130" s="93"/>
      <c r="F130" s="93"/>
      <c r="G130" s="93"/>
      <c r="H130" s="93"/>
      <c r="I130" s="93"/>
      <c r="J130" s="93"/>
      <c r="K130" s="62">
        <f t="shared" si="8"/>
        <v>0</v>
      </c>
      <c r="L130" s="62">
        <f t="shared" si="9"/>
        <v>0</v>
      </c>
      <c r="M130" s="62">
        <f t="shared" si="10"/>
        <v>0</v>
      </c>
      <c r="N130" s="62">
        <f t="shared" si="11"/>
        <v>0</v>
      </c>
      <c r="O130" s="62">
        <f t="shared" si="12"/>
        <v>0</v>
      </c>
      <c r="P130" s="62">
        <f t="shared" si="13"/>
        <v>0</v>
      </c>
      <c r="Q130" s="62">
        <f t="shared" si="14"/>
        <v>0</v>
      </c>
      <c r="R130" s="62" t="e">
        <f t="shared" si="15"/>
        <v>#DIV/0!</v>
      </c>
    </row>
    <row r="131" spans="1:18" ht="20.100000000000001" hidden="1" customHeight="1">
      <c r="A131" s="94">
        <f>'INTERNAL TEST-1  '!A135</f>
        <v>0</v>
      </c>
      <c r="B131" s="94">
        <f>'INTERNAL TEST-1  '!B135</f>
        <v>0</v>
      </c>
      <c r="C131" s="95">
        <f>'INTERNAL TEST-1  '!C135</f>
        <v>0</v>
      </c>
      <c r="D131" s="93"/>
      <c r="E131" s="93"/>
      <c r="F131" s="93"/>
      <c r="G131" s="93"/>
      <c r="H131" s="93"/>
      <c r="I131" s="93"/>
      <c r="J131" s="93"/>
      <c r="K131" s="62">
        <f t="shared" si="8"/>
        <v>0</v>
      </c>
      <c r="L131" s="62">
        <f t="shared" si="9"/>
        <v>0</v>
      </c>
      <c r="M131" s="62">
        <f t="shared" si="10"/>
        <v>0</v>
      </c>
      <c r="N131" s="62">
        <f t="shared" si="11"/>
        <v>0</v>
      </c>
      <c r="O131" s="62">
        <f t="shared" si="12"/>
        <v>0</v>
      </c>
      <c r="P131" s="62">
        <f t="shared" si="13"/>
        <v>0</v>
      </c>
      <c r="Q131" s="62">
        <f t="shared" si="14"/>
        <v>0</v>
      </c>
      <c r="R131" s="62" t="e">
        <f t="shared" si="15"/>
        <v>#DIV/0!</v>
      </c>
    </row>
    <row r="132" spans="1:18" ht="20.100000000000001" hidden="1" customHeight="1">
      <c r="A132" s="94">
        <f>'INTERNAL TEST-1  '!A136</f>
        <v>0</v>
      </c>
      <c r="B132" s="94">
        <f>'INTERNAL TEST-1  '!B136</f>
        <v>0</v>
      </c>
      <c r="C132" s="95">
        <f>'INTERNAL TEST-1  '!C136</f>
        <v>0</v>
      </c>
      <c r="D132" s="93"/>
      <c r="E132" s="93"/>
      <c r="F132" s="93"/>
      <c r="G132" s="93"/>
      <c r="H132" s="93"/>
      <c r="I132" s="93"/>
      <c r="J132" s="93"/>
      <c r="K132" s="62">
        <f t="shared" si="8"/>
        <v>0</v>
      </c>
      <c r="L132" s="62">
        <f t="shared" si="9"/>
        <v>0</v>
      </c>
      <c r="M132" s="62">
        <f t="shared" si="10"/>
        <v>0</v>
      </c>
      <c r="N132" s="62">
        <f t="shared" si="11"/>
        <v>0</v>
      </c>
      <c r="O132" s="62">
        <f t="shared" si="12"/>
        <v>0</v>
      </c>
      <c r="P132" s="62">
        <f t="shared" si="13"/>
        <v>0</v>
      </c>
      <c r="Q132" s="62">
        <f t="shared" si="14"/>
        <v>0</v>
      </c>
      <c r="R132" s="62" t="e">
        <f t="shared" si="15"/>
        <v>#DIV/0!</v>
      </c>
    </row>
    <row r="133" spans="1:18" ht="20.100000000000001" hidden="1" customHeight="1">
      <c r="A133" s="94">
        <f>'INTERNAL TEST-1  '!A137</f>
        <v>0</v>
      </c>
      <c r="B133" s="94">
        <f>'INTERNAL TEST-1  '!B137</f>
        <v>0</v>
      </c>
      <c r="C133" s="95">
        <f>'INTERNAL TEST-1  '!C137</f>
        <v>0</v>
      </c>
      <c r="D133" s="93"/>
      <c r="E133" s="93"/>
      <c r="F133" s="93"/>
      <c r="G133" s="93"/>
      <c r="H133" s="93"/>
      <c r="I133" s="93"/>
      <c r="J133" s="93"/>
      <c r="K133" s="62">
        <f t="shared" si="8"/>
        <v>0</v>
      </c>
      <c r="L133" s="62">
        <f t="shared" si="9"/>
        <v>0</v>
      </c>
      <c r="M133" s="62">
        <f t="shared" si="10"/>
        <v>0</v>
      </c>
      <c r="N133" s="62">
        <f t="shared" si="11"/>
        <v>0</v>
      </c>
      <c r="O133" s="62">
        <f t="shared" si="12"/>
        <v>0</v>
      </c>
      <c r="P133" s="62">
        <f t="shared" si="13"/>
        <v>0</v>
      </c>
      <c r="Q133" s="62">
        <f t="shared" si="14"/>
        <v>0</v>
      </c>
      <c r="R133" s="62" t="e">
        <f t="shared" si="15"/>
        <v>#DIV/0!</v>
      </c>
    </row>
    <row r="134" spans="1:18" ht="20.100000000000001" hidden="1" customHeight="1">
      <c r="A134" s="94">
        <f>'INTERNAL TEST-1  '!A138</f>
        <v>0</v>
      </c>
      <c r="B134" s="94">
        <f>'INTERNAL TEST-1  '!B138</f>
        <v>0</v>
      </c>
      <c r="C134" s="95">
        <f>'INTERNAL TEST-1  '!C138</f>
        <v>0</v>
      </c>
      <c r="D134" s="93"/>
      <c r="E134" s="93"/>
      <c r="F134" s="93"/>
      <c r="G134" s="93"/>
      <c r="H134" s="93"/>
      <c r="I134" s="93"/>
      <c r="J134" s="93"/>
      <c r="K134" s="62">
        <f t="shared" si="8"/>
        <v>0</v>
      </c>
      <c r="L134" s="62">
        <f t="shared" si="9"/>
        <v>0</v>
      </c>
      <c r="M134" s="62">
        <f t="shared" si="10"/>
        <v>0</v>
      </c>
      <c r="N134" s="62">
        <f t="shared" si="11"/>
        <v>0</v>
      </c>
      <c r="O134" s="62">
        <f t="shared" si="12"/>
        <v>0</v>
      </c>
      <c r="P134" s="62">
        <f t="shared" si="13"/>
        <v>0</v>
      </c>
      <c r="Q134" s="62">
        <f t="shared" si="14"/>
        <v>0</v>
      </c>
      <c r="R134" s="62" t="e">
        <f t="shared" si="15"/>
        <v>#DIV/0!</v>
      </c>
    </row>
    <row r="135" spans="1:18" ht="20.100000000000001" hidden="1" customHeight="1">
      <c r="A135" s="94">
        <f>'INTERNAL TEST-1  '!A139</f>
        <v>0</v>
      </c>
      <c r="B135" s="94">
        <f>'INTERNAL TEST-1  '!B139</f>
        <v>0</v>
      </c>
      <c r="C135" s="95">
        <f>'INTERNAL TEST-1  '!C139</f>
        <v>0</v>
      </c>
      <c r="D135" s="93"/>
      <c r="E135" s="93"/>
      <c r="F135" s="93"/>
      <c r="G135" s="93"/>
      <c r="H135" s="93"/>
      <c r="I135" s="93"/>
      <c r="J135" s="93"/>
      <c r="K135" s="62">
        <f t="shared" si="8"/>
        <v>0</v>
      </c>
      <c r="L135" s="62">
        <f t="shared" si="9"/>
        <v>0</v>
      </c>
      <c r="M135" s="62">
        <f t="shared" si="10"/>
        <v>0</v>
      </c>
      <c r="N135" s="62">
        <f t="shared" si="11"/>
        <v>0</v>
      </c>
      <c r="O135" s="62">
        <f t="shared" si="12"/>
        <v>0</v>
      </c>
      <c r="P135" s="62">
        <f t="shared" si="13"/>
        <v>0</v>
      </c>
      <c r="Q135" s="62">
        <f t="shared" si="14"/>
        <v>0</v>
      </c>
      <c r="R135" s="62" t="e">
        <f t="shared" si="15"/>
        <v>#DIV/0!</v>
      </c>
    </row>
    <row r="136" spans="1:18">
      <c r="A136" s="158" t="s">
        <v>50</v>
      </c>
      <c r="B136" s="158"/>
      <c r="C136" s="158"/>
      <c r="D136" s="159"/>
      <c r="E136" s="159"/>
      <c r="F136" s="159"/>
      <c r="G136" s="159"/>
      <c r="H136" s="159"/>
      <c r="I136" s="159"/>
      <c r="J136" s="159"/>
      <c r="K136" s="96" t="e">
        <f>ROUND((SUM(K10:K135))/INPUT!$B$8,2)</f>
        <v>#DIV/0!</v>
      </c>
      <c r="L136" s="96" t="e">
        <f>ROUND((SUM(L10:L135))/INPUT!$B$8,2)</f>
        <v>#DIV/0!</v>
      </c>
      <c r="M136" s="96" t="e">
        <f>ROUND((SUM(M10:M135))/INPUT!$B$8,2)</f>
        <v>#DIV/0!</v>
      </c>
      <c r="N136" s="96" t="e">
        <f>ROUND((SUM(N10:N135))/INPUT!$B$8,2)</f>
        <v>#DIV/0!</v>
      </c>
      <c r="O136" s="96" t="e">
        <f>ROUND((SUM(O10:O135))/INPUT!$B$8,2)</f>
        <v>#DIV/0!</v>
      </c>
      <c r="P136" s="96" t="e">
        <f>ROUND((SUM(P10:P135))/INPUT!$B$8,2)</f>
        <v>#DIV/0!</v>
      </c>
      <c r="Q136" s="96" t="e">
        <f>ROUND((SUM(Q10:Q135))/INPUT!$B$8,2)</f>
        <v>#DIV/0!</v>
      </c>
      <c r="R136" s="2"/>
    </row>
    <row r="137" spans="1:18">
      <c r="A137" s="158" t="s">
        <v>106</v>
      </c>
      <c r="B137" s="158"/>
      <c r="C137" s="158"/>
      <c r="D137" s="158"/>
      <c r="E137" s="158"/>
      <c r="F137" s="158"/>
      <c r="G137" s="158"/>
      <c r="H137" s="158"/>
      <c r="I137" s="158"/>
      <c r="J137" s="158"/>
      <c r="K137" s="97">
        <f>INPUT!E12</f>
        <v>50</v>
      </c>
      <c r="L137" s="97">
        <f>INPUT!E13</f>
        <v>50</v>
      </c>
      <c r="M137" s="97">
        <f>INPUT!E14</f>
        <v>50</v>
      </c>
      <c r="N137" s="97">
        <f>INPUT!E15</f>
        <v>50</v>
      </c>
      <c r="O137" s="97">
        <f>INPUT!E16</f>
        <v>50</v>
      </c>
      <c r="P137" s="97">
        <f>INPUT!E17</f>
        <v>50</v>
      </c>
      <c r="Q137" s="97" t="str">
        <f>INPUT!E18</f>
        <v>_</v>
      </c>
      <c r="R137" s="2"/>
    </row>
    <row r="138" spans="1:18">
      <c r="A138" s="158" t="s">
        <v>107</v>
      </c>
      <c r="B138" s="158"/>
      <c r="C138" s="158"/>
      <c r="D138" s="158"/>
      <c r="E138" s="158"/>
      <c r="F138" s="158"/>
      <c r="G138" s="158"/>
      <c r="H138" s="158"/>
      <c r="I138" s="158"/>
      <c r="J138" s="158"/>
      <c r="K138" s="97">
        <f>COUNTIF(K10:K122,"&gt;="&amp;K137)</f>
        <v>0</v>
      </c>
      <c r="L138" s="97">
        <f t="shared" ref="L138:Q138" si="16">COUNTIF(L10:L122,"&gt;="&amp;L137)</f>
        <v>0</v>
      </c>
      <c r="M138" s="97">
        <f t="shared" si="16"/>
        <v>0</v>
      </c>
      <c r="N138" s="97">
        <f t="shared" si="16"/>
        <v>0</v>
      </c>
      <c r="O138" s="97">
        <f t="shared" si="16"/>
        <v>0</v>
      </c>
      <c r="P138" s="97">
        <f t="shared" si="16"/>
        <v>0</v>
      </c>
      <c r="Q138" s="97">
        <f t="shared" si="16"/>
        <v>0</v>
      </c>
      <c r="R138" s="2"/>
    </row>
    <row r="139" spans="1:18">
      <c r="A139" s="158" t="s">
        <v>108</v>
      </c>
      <c r="B139" s="158"/>
      <c r="C139" s="158"/>
      <c r="D139" s="158"/>
      <c r="E139" s="158"/>
      <c r="F139" s="158"/>
      <c r="G139" s="158"/>
      <c r="H139" s="158"/>
      <c r="I139" s="158"/>
      <c r="J139" s="158"/>
      <c r="K139" s="97" t="e">
        <f>ROUND((K138/INPUT!$B$8)*100,2)</f>
        <v>#DIV/0!</v>
      </c>
      <c r="L139" s="97" t="e">
        <f>ROUND((L138/INPUT!$B$8)*100,2)</f>
        <v>#DIV/0!</v>
      </c>
      <c r="M139" s="97" t="e">
        <f>ROUND((M138/INPUT!$B$8)*100,2)</f>
        <v>#DIV/0!</v>
      </c>
      <c r="N139" s="97" t="e">
        <f>ROUND((N138/INPUT!$B$8)*100,2)</f>
        <v>#DIV/0!</v>
      </c>
      <c r="O139" s="97" t="e">
        <f>ROUND((O138/INPUT!$B$8)*100,2)</f>
        <v>#DIV/0!</v>
      </c>
      <c r="P139" s="97" t="e">
        <f>ROUND((P138/INPUT!$B$8)*100,2)</f>
        <v>#DIV/0!</v>
      </c>
      <c r="Q139" s="97" t="e">
        <f>ROUND((Q138/INPUT!$B$8)*100,2)</f>
        <v>#DIV/0!</v>
      </c>
      <c r="R139" s="2"/>
    </row>
    <row r="140" spans="1:18">
      <c r="A140" s="158" t="s">
        <v>47</v>
      </c>
      <c r="B140" s="158"/>
      <c r="C140" s="158"/>
      <c r="D140" s="158"/>
      <c r="E140" s="158"/>
      <c r="F140" s="158"/>
      <c r="G140" s="158"/>
      <c r="H140" s="158"/>
      <c r="I140" s="158"/>
      <c r="J140" s="158"/>
      <c r="K140" s="97" t="e">
        <f>IF(K139&gt;=INPUT!A23,3,IF(AND(K139&gt;=INPUT!A24,K139&lt;INPUT!A23),2,IF(AND(K139&gt;=INPUT!A25,K139&lt;INPUT!A24),1,0)))</f>
        <v>#DIV/0!</v>
      </c>
      <c r="L140" s="97" t="e">
        <f>IF(L139&gt;=INPUT!A23,3,IF(AND(L139&gt;=INPUT!A24,L139&lt;INPUT!A23),2,IF(AND(L139&gt;=INPUT!A25,L139&lt;INPUT!A24),1,0)))</f>
        <v>#DIV/0!</v>
      </c>
      <c r="M140" s="97" t="e">
        <f>IF(M139&gt;=INPUT!A23,3,IF(AND(M139&gt;=INPUT!A24,M139&lt;INPUT!A23),2,IF(AND(M139&gt;=INPUT!A25,M139&lt;INPUT!A24),1,0)))</f>
        <v>#DIV/0!</v>
      </c>
      <c r="N140" s="97" t="e">
        <f>IF(N139&gt;=INPUT!A23,3,IF(AND(N139&gt;=INPUT!A24,N139&lt;INPUT!A23),2,IF(AND(N139&gt;=INPUT!A25,N139&lt;INPUT!A24),1,0)))</f>
        <v>#DIV/0!</v>
      </c>
      <c r="O140" s="97" t="e">
        <f>IF(O139&gt;=INPUT!A23,3,IF(AND(O139&gt;=INPUT!A24,O139&lt;INPUT!A23),2,IF(AND(O139&gt;=INPUT!A25,O139&lt;INPUT!A24),1,0)))</f>
        <v>#DIV/0!</v>
      </c>
      <c r="P140" s="97" t="e">
        <f>IF(P139&gt;=INPUT!A23,3,IF(AND(P139&gt;=INPUT!A24,P139&lt;INPUT!A23),2,IF(AND(P139&gt;=INPUT!A25,P139&lt;INPUT!A24),1,0)))</f>
        <v>#DIV/0!</v>
      </c>
      <c r="Q140" s="97" t="e">
        <f>IF(Q139&gt;=INPUT!A23,3,IF(AND(Q139&gt;=INPUT!A24,Q139&lt;INPUT!A23),2,IF(AND(Q139&gt;=INPUT!A25,Q139&lt;INPUT!A24),1,0)))</f>
        <v>#DIV/0!</v>
      </c>
      <c r="R140" s="2"/>
    </row>
  </sheetData>
  <sheetProtection algorithmName="SHA-512" hashValue="Dm45iueBJ26hnXJQNnc+Sl5/ZsuPDCqdDlF/6NrnbJuwAYv+9uedV2hmWQyEv+EpOcf00q5fsALczx8wgViWVQ==" saltValue="nzRINfXgzrvo59wdpAQ6sg==" spinCount="100000" sheet="1" objects="1" scenarios="1"/>
  <mergeCells count="19">
    <mergeCell ref="A1:J1"/>
    <mergeCell ref="A2:J2"/>
    <mergeCell ref="A3:J3"/>
    <mergeCell ref="A4:J4"/>
    <mergeCell ref="B8:B9"/>
    <mergeCell ref="A5:B5"/>
    <mergeCell ref="I5:J5"/>
    <mergeCell ref="I6:J6"/>
    <mergeCell ref="G5:H5"/>
    <mergeCell ref="G6:H6"/>
    <mergeCell ref="A6:B6"/>
    <mergeCell ref="A8:A9"/>
    <mergeCell ref="C8:C9"/>
    <mergeCell ref="D8:J8"/>
    <mergeCell ref="A136:J136"/>
    <mergeCell ref="A137:J137"/>
    <mergeCell ref="A138:J138"/>
    <mergeCell ref="A139:J139"/>
    <mergeCell ref="A140:J140"/>
  </mergeCells>
  <pageMargins left="0.70866141732283472" right="0.70866141732283472" top="0.35433070866141736" bottom="0.24" header="0.31496062992125984" footer="0.14000000000000001"/>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3"/>
  <sheetViews>
    <sheetView topLeftCell="A4" workbookViewId="0">
      <selection activeCell="K11" sqref="K11"/>
    </sheetView>
  </sheetViews>
  <sheetFormatPr defaultRowHeight="14.4"/>
  <cols>
    <col min="1" max="1" width="12.77734375" customWidth="1"/>
    <col min="2" max="2" width="17.6640625" customWidth="1"/>
    <col min="3" max="3" width="28" bestFit="1" customWidth="1"/>
    <col min="4" max="4" width="10" bestFit="1" customWidth="1"/>
    <col min="5" max="5" width="14.44140625" customWidth="1"/>
  </cols>
  <sheetData>
    <row r="2" spans="1:12" ht="15">
      <c r="A2" s="170" t="s">
        <v>0</v>
      </c>
      <c r="B2" s="171"/>
      <c r="C2" s="171"/>
      <c r="D2" s="171"/>
      <c r="E2" s="171"/>
    </row>
    <row r="3" spans="1:12" ht="18">
      <c r="A3" s="168">
        <f>INPUT!B2</f>
        <v>0</v>
      </c>
      <c r="B3" s="169"/>
      <c r="C3" s="169"/>
      <c r="D3" s="169"/>
      <c r="E3" s="169"/>
    </row>
    <row r="4" spans="1:12" ht="18">
      <c r="A4" s="168" t="s">
        <v>66</v>
      </c>
      <c r="B4" s="169"/>
      <c r="C4" s="169"/>
      <c r="D4" s="169"/>
      <c r="E4" s="169"/>
      <c r="H4" s="166" t="s">
        <v>94</v>
      </c>
      <c r="I4" s="166"/>
      <c r="J4" s="166"/>
      <c r="K4" s="1" t="s">
        <v>25</v>
      </c>
      <c r="L4" s="1">
        <f>IF(K4="S",95,IF(K4="O",95,IF(K4="A+",87,IF(K4="A",82,IF(K4="B+",IF($E$8="R_2015",75,77),IF(K4="B",IF($E$8="R_2015",65,72),IF(K4="C+",67,IF(K4="C",IF($E$8="R_2015",55,62),IF(K4="D",57,IF(K4="P",IF($E$8="R_2015",45,50),0))))))))))</f>
        <v>62</v>
      </c>
    </row>
    <row r="5" spans="1:12" ht="21">
      <c r="A5" s="172"/>
      <c r="B5" s="161"/>
      <c r="C5" s="161"/>
    </row>
    <row r="6" spans="1:12" ht="31.2">
      <c r="A6" s="49" t="s">
        <v>62</v>
      </c>
      <c r="B6" s="50">
        <f>INPUT!B3</f>
        <v>0</v>
      </c>
      <c r="C6" s="38" t="s">
        <v>68</v>
      </c>
      <c r="D6" s="175">
        <f>INPUT!B5</f>
        <v>0</v>
      </c>
      <c r="E6" s="175"/>
    </row>
    <row r="7" spans="1:12" ht="15.6">
      <c r="A7" s="47" t="s">
        <v>57</v>
      </c>
      <c r="B7" s="48">
        <f>INPUT!B4</f>
        <v>0</v>
      </c>
      <c r="C7" s="38" t="s">
        <v>67</v>
      </c>
      <c r="D7" s="175">
        <f>INPUT!B6</f>
        <v>0</v>
      </c>
      <c r="E7" s="175"/>
    </row>
    <row r="8" spans="1:12" ht="32.4">
      <c r="A8" s="47" t="s">
        <v>63</v>
      </c>
      <c r="B8" s="48">
        <f>INPUT!B7</f>
        <v>0</v>
      </c>
      <c r="C8" s="43"/>
      <c r="D8" s="3" t="s">
        <v>31</v>
      </c>
      <c r="E8" s="3" t="s">
        <v>34</v>
      </c>
    </row>
    <row r="9" spans="1:12" ht="21">
      <c r="A9" s="48"/>
      <c r="B9" s="48"/>
      <c r="C9" s="43"/>
      <c r="D9" s="3"/>
      <c r="E9" s="3"/>
    </row>
    <row r="10" spans="1:12" ht="15.75" customHeight="1">
      <c r="A10" s="173" t="s">
        <v>73</v>
      </c>
      <c r="B10" s="174" t="s">
        <v>55</v>
      </c>
      <c r="C10" s="173" t="s">
        <v>1</v>
      </c>
      <c r="D10" s="173" t="s">
        <v>71</v>
      </c>
      <c r="E10" s="174" t="s">
        <v>72</v>
      </c>
    </row>
    <row r="11" spans="1:12">
      <c r="A11" s="173"/>
      <c r="B11" s="174"/>
      <c r="C11" s="173"/>
      <c r="D11" s="173"/>
      <c r="E11" s="174"/>
    </row>
    <row r="12" spans="1:12">
      <c r="A12" s="173"/>
      <c r="B12" s="174"/>
      <c r="C12" s="173"/>
      <c r="D12" s="173"/>
      <c r="E12" s="174"/>
    </row>
    <row r="13" spans="1:12">
      <c r="A13" s="173"/>
      <c r="B13" s="174"/>
      <c r="C13" s="173"/>
      <c r="D13" s="173"/>
      <c r="E13" s="174"/>
    </row>
    <row r="14" spans="1:12">
      <c r="A14" s="173"/>
      <c r="B14" s="174"/>
      <c r="C14" s="173"/>
      <c r="D14" s="173"/>
      <c r="E14" s="174"/>
    </row>
    <row r="15" spans="1:12" ht="20.100000000000001" hidden="1" customHeight="1">
      <c r="A15" s="35">
        <f>'INTERNAL TEST-1  '!A14</f>
        <v>0</v>
      </c>
      <c r="B15" s="35">
        <f>'INTERNAL TEST-1  '!B14</f>
        <v>0</v>
      </c>
      <c r="C15" s="4">
        <f>'INTERNAL TEST-1  '!C14</f>
        <v>0</v>
      </c>
      <c r="D15" s="35"/>
      <c r="E15" s="35">
        <f t="shared" ref="E15:E46" si="0">IF(D15="S",95,IF(D15="O",95,IF(D15="A+",87,IF(D15="A",82,IF(D15="B+",IF($E$8="R_2015",75,77),IF(D15="B",IF($E$8="R_2015",65,72),IF(D15="C+",67,IF(D15="C",IF($E$8="R_2015",55,62),IF(D15="D",57,IF(D15="P",IF($E$8="R_2015",45,50),0))))))))))</f>
        <v>0</v>
      </c>
    </row>
    <row r="16" spans="1:12" ht="20.100000000000001" hidden="1" customHeight="1">
      <c r="A16" s="35">
        <f>'INTERNAL TEST-1  '!A15</f>
        <v>0</v>
      </c>
      <c r="B16" s="35">
        <f>'INTERNAL TEST-1  '!B15</f>
        <v>0</v>
      </c>
      <c r="C16" s="4">
        <f>'INTERNAL TEST-1  '!C15</f>
        <v>0</v>
      </c>
      <c r="D16" s="35"/>
      <c r="E16" s="35">
        <f t="shared" si="0"/>
        <v>0</v>
      </c>
      <c r="L16" s="45"/>
    </row>
    <row r="17" spans="1:5" ht="20.100000000000001" hidden="1" customHeight="1">
      <c r="A17" s="35">
        <f>'INTERNAL TEST-1  '!A16</f>
        <v>0</v>
      </c>
      <c r="B17" s="35">
        <f>'INTERNAL TEST-1  '!B16</f>
        <v>0</v>
      </c>
      <c r="C17" s="4">
        <f>'INTERNAL TEST-1  '!C16</f>
        <v>0</v>
      </c>
      <c r="D17" s="35"/>
      <c r="E17" s="35">
        <f t="shared" si="0"/>
        <v>0</v>
      </c>
    </row>
    <row r="18" spans="1:5" ht="20.100000000000001" hidden="1" customHeight="1">
      <c r="A18" s="35">
        <f>'INTERNAL TEST-1  '!A17</f>
        <v>0</v>
      </c>
      <c r="B18" s="35">
        <f>'INTERNAL TEST-1  '!B17</f>
        <v>0</v>
      </c>
      <c r="C18" s="4">
        <f>'INTERNAL TEST-1  '!C17</f>
        <v>0</v>
      </c>
      <c r="D18" s="35"/>
      <c r="E18" s="35">
        <f t="shared" si="0"/>
        <v>0</v>
      </c>
    </row>
    <row r="19" spans="1:5" ht="20.100000000000001" hidden="1" customHeight="1">
      <c r="A19" s="35">
        <f>'INTERNAL TEST-1  '!A18</f>
        <v>0</v>
      </c>
      <c r="B19" s="35">
        <f>'INTERNAL TEST-1  '!B18</f>
        <v>0</v>
      </c>
      <c r="C19" s="4">
        <f>'INTERNAL TEST-1  '!C18</f>
        <v>0</v>
      </c>
      <c r="D19" s="35"/>
      <c r="E19" s="35">
        <f t="shared" si="0"/>
        <v>0</v>
      </c>
    </row>
    <row r="20" spans="1:5" ht="20.100000000000001" hidden="1" customHeight="1">
      <c r="A20" s="35">
        <f>'INTERNAL TEST-1  '!A19</f>
        <v>0</v>
      </c>
      <c r="B20" s="35">
        <f>'INTERNAL TEST-1  '!B19</f>
        <v>0</v>
      </c>
      <c r="C20" s="4">
        <f>'INTERNAL TEST-1  '!C19</f>
        <v>0</v>
      </c>
      <c r="D20" s="35"/>
      <c r="E20" s="35">
        <f t="shared" si="0"/>
        <v>0</v>
      </c>
    </row>
    <row r="21" spans="1:5" ht="20.100000000000001" hidden="1" customHeight="1">
      <c r="A21" s="35">
        <f>'INTERNAL TEST-1  '!A20</f>
        <v>0</v>
      </c>
      <c r="B21" s="35">
        <f>'INTERNAL TEST-1  '!B20</f>
        <v>0</v>
      </c>
      <c r="C21" s="4">
        <f>'INTERNAL TEST-1  '!C20</f>
        <v>0</v>
      </c>
      <c r="D21" s="35"/>
      <c r="E21" s="35">
        <f t="shared" si="0"/>
        <v>0</v>
      </c>
    </row>
    <row r="22" spans="1:5" ht="20.100000000000001" hidden="1" customHeight="1">
      <c r="A22" s="35">
        <f>'INTERNAL TEST-1  '!A21</f>
        <v>0</v>
      </c>
      <c r="B22" s="35">
        <f>'INTERNAL TEST-1  '!B21</f>
        <v>0</v>
      </c>
      <c r="C22" s="4">
        <f>'INTERNAL TEST-1  '!C21</f>
        <v>0</v>
      </c>
      <c r="D22" s="35"/>
      <c r="E22" s="35">
        <f t="shared" si="0"/>
        <v>0</v>
      </c>
    </row>
    <row r="23" spans="1:5" ht="20.100000000000001" hidden="1" customHeight="1">
      <c r="A23" s="35">
        <f>'INTERNAL TEST-1  '!A22</f>
        <v>0</v>
      </c>
      <c r="B23" s="35">
        <f>'INTERNAL TEST-1  '!B22</f>
        <v>0</v>
      </c>
      <c r="C23" s="4">
        <f>'INTERNAL TEST-1  '!C22</f>
        <v>0</v>
      </c>
      <c r="D23" s="35"/>
      <c r="E23" s="35">
        <f t="shared" si="0"/>
        <v>0</v>
      </c>
    </row>
    <row r="24" spans="1:5" ht="20.100000000000001" hidden="1" customHeight="1">
      <c r="A24" s="35">
        <f>'INTERNAL TEST-1  '!A23</f>
        <v>0</v>
      </c>
      <c r="B24" s="35">
        <f>'INTERNAL TEST-1  '!B23</f>
        <v>0</v>
      </c>
      <c r="C24" s="4">
        <f>'INTERNAL TEST-1  '!C23</f>
        <v>0</v>
      </c>
      <c r="D24" s="35"/>
      <c r="E24" s="35">
        <f t="shared" si="0"/>
        <v>0</v>
      </c>
    </row>
    <row r="25" spans="1:5" ht="20.100000000000001" hidden="1" customHeight="1">
      <c r="A25" s="35">
        <f>'INTERNAL TEST-1  '!A24</f>
        <v>0</v>
      </c>
      <c r="B25" s="35">
        <f>'INTERNAL TEST-1  '!B24</f>
        <v>0</v>
      </c>
      <c r="C25" s="4">
        <f>'INTERNAL TEST-1  '!C24</f>
        <v>0</v>
      </c>
      <c r="D25" s="35"/>
      <c r="E25" s="35">
        <f t="shared" si="0"/>
        <v>0</v>
      </c>
    </row>
    <row r="26" spans="1:5" ht="20.100000000000001" hidden="1" customHeight="1">
      <c r="A26" s="35">
        <f>'INTERNAL TEST-1  '!A25</f>
        <v>0</v>
      </c>
      <c r="B26" s="35">
        <f>'INTERNAL TEST-1  '!B25</f>
        <v>0</v>
      </c>
      <c r="C26" s="4">
        <f>'INTERNAL TEST-1  '!C25</f>
        <v>0</v>
      </c>
      <c r="D26" s="35"/>
      <c r="E26" s="35">
        <f t="shared" si="0"/>
        <v>0</v>
      </c>
    </row>
    <row r="27" spans="1:5" ht="20.100000000000001" hidden="1" customHeight="1">
      <c r="A27" s="35">
        <f>'INTERNAL TEST-1  '!A26</f>
        <v>0</v>
      </c>
      <c r="B27" s="35">
        <f>'INTERNAL TEST-1  '!B26</f>
        <v>0</v>
      </c>
      <c r="C27" s="4">
        <f>'INTERNAL TEST-1  '!C26</f>
        <v>0</v>
      </c>
      <c r="D27" s="35"/>
      <c r="E27" s="35">
        <f t="shared" si="0"/>
        <v>0</v>
      </c>
    </row>
    <row r="28" spans="1:5" ht="20.100000000000001" hidden="1" customHeight="1">
      <c r="A28" s="35">
        <f>'INTERNAL TEST-1  '!A27</f>
        <v>0</v>
      </c>
      <c r="B28" s="35">
        <f>'INTERNAL TEST-1  '!B27</f>
        <v>0</v>
      </c>
      <c r="C28" s="4">
        <f>'INTERNAL TEST-1  '!C27</f>
        <v>0</v>
      </c>
      <c r="D28" s="35"/>
      <c r="E28" s="35">
        <f t="shared" si="0"/>
        <v>0</v>
      </c>
    </row>
    <row r="29" spans="1:5" ht="20.100000000000001" hidden="1" customHeight="1">
      <c r="A29" s="35">
        <f>'INTERNAL TEST-1  '!A28</f>
        <v>0</v>
      </c>
      <c r="B29" s="35">
        <f>'INTERNAL TEST-1  '!B28</f>
        <v>0</v>
      </c>
      <c r="C29" s="4">
        <f>'INTERNAL TEST-1  '!C28</f>
        <v>0</v>
      </c>
      <c r="D29" s="35"/>
      <c r="E29" s="35">
        <f t="shared" si="0"/>
        <v>0</v>
      </c>
    </row>
    <row r="30" spans="1:5" ht="20.100000000000001" hidden="1" customHeight="1">
      <c r="A30" s="35">
        <f>'INTERNAL TEST-1  '!A29</f>
        <v>0</v>
      </c>
      <c r="B30" s="35">
        <f>'INTERNAL TEST-1  '!B29</f>
        <v>0</v>
      </c>
      <c r="C30" s="4">
        <f>'INTERNAL TEST-1  '!C29</f>
        <v>0</v>
      </c>
      <c r="D30" s="35"/>
      <c r="E30" s="35">
        <f t="shared" si="0"/>
        <v>0</v>
      </c>
    </row>
    <row r="31" spans="1:5" ht="20.100000000000001" hidden="1" customHeight="1">
      <c r="A31" s="35">
        <f>'INTERNAL TEST-1  '!A30</f>
        <v>0</v>
      </c>
      <c r="B31" s="35">
        <f>'INTERNAL TEST-1  '!B30</f>
        <v>0</v>
      </c>
      <c r="C31" s="4">
        <f>'INTERNAL TEST-1  '!C30</f>
        <v>0</v>
      </c>
      <c r="D31" s="35"/>
      <c r="E31" s="35">
        <f t="shared" si="0"/>
        <v>0</v>
      </c>
    </row>
    <row r="32" spans="1:5" ht="20.100000000000001" hidden="1" customHeight="1">
      <c r="A32" s="35">
        <f>'INTERNAL TEST-1  '!A31</f>
        <v>0</v>
      </c>
      <c r="B32" s="35">
        <f>'INTERNAL TEST-1  '!B31</f>
        <v>0</v>
      </c>
      <c r="C32" s="4">
        <f>'INTERNAL TEST-1  '!C31</f>
        <v>0</v>
      </c>
      <c r="D32" s="35"/>
      <c r="E32" s="35">
        <f t="shared" si="0"/>
        <v>0</v>
      </c>
    </row>
    <row r="33" spans="1:5" ht="20.100000000000001" hidden="1" customHeight="1">
      <c r="A33" s="35">
        <f>'INTERNAL TEST-1  '!A32</f>
        <v>0</v>
      </c>
      <c r="B33" s="35">
        <f>'INTERNAL TEST-1  '!B32</f>
        <v>0</v>
      </c>
      <c r="C33" s="4">
        <f>'INTERNAL TEST-1  '!C32</f>
        <v>0</v>
      </c>
      <c r="D33" s="35"/>
      <c r="E33" s="35">
        <f t="shared" si="0"/>
        <v>0</v>
      </c>
    </row>
    <row r="34" spans="1:5" ht="20.100000000000001" hidden="1" customHeight="1">
      <c r="A34" s="35">
        <f>'INTERNAL TEST-1  '!A33</f>
        <v>0</v>
      </c>
      <c r="B34" s="35">
        <f>'INTERNAL TEST-1  '!B33</f>
        <v>0</v>
      </c>
      <c r="C34" s="4">
        <f>'INTERNAL TEST-1  '!C33</f>
        <v>0</v>
      </c>
      <c r="D34" s="35"/>
      <c r="E34" s="35">
        <f t="shared" si="0"/>
        <v>0</v>
      </c>
    </row>
    <row r="35" spans="1:5" ht="20.100000000000001" hidden="1" customHeight="1">
      <c r="A35" s="35">
        <f>'INTERNAL TEST-1  '!A34</f>
        <v>0</v>
      </c>
      <c r="B35" s="35">
        <f>'INTERNAL TEST-1  '!B34</f>
        <v>0</v>
      </c>
      <c r="C35" s="4">
        <f>'INTERNAL TEST-1  '!C34</f>
        <v>0</v>
      </c>
      <c r="D35" s="35"/>
      <c r="E35" s="35">
        <f t="shared" si="0"/>
        <v>0</v>
      </c>
    </row>
    <row r="36" spans="1:5" ht="20.100000000000001" hidden="1" customHeight="1">
      <c r="A36" s="35">
        <f>'INTERNAL TEST-1  '!A35</f>
        <v>0</v>
      </c>
      <c r="B36" s="35">
        <f>'INTERNAL TEST-1  '!B35</f>
        <v>0</v>
      </c>
      <c r="C36" s="4">
        <f>'INTERNAL TEST-1  '!C35</f>
        <v>0</v>
      </c>
      <c r="D36" s="35"/>
      <c r="E36" s="35">
        <f t="shared" si="0"/>
        <v>0</v>
      </c>
    </row>
    <row r="37" spans="1:5" ht="20.100000000000001" hidden="1" customHeight="1">
      <c r="A37" s="35">
        <f>'INTERNAL TEST-1  '!A36</f>
        <v>0</v>
      </c>
      <c r="B37" s="35">
        <f>'INTERNAL TEST-1  '!B36</f>
        <v>0</v>
      </c>
      <c r="C37" s="4">
        <f>'INTERNAL TEST-1  '!C36</f>
        <v>0</v>
      </c>
      <c r="D37" s="35"/>
      <c r="E37" s="35">
        <f t="shared" si="0"/>
        <v>0</v>
      </c>
    </row>
    <row r="38" spans="1:5" ht="20.100000000000001" hidden="1" customHeight="1">
      <c r="A38" s="35">
        <f>'INTERNAL TEST-1  '!A37</f>
        <v>0</v>
      </c>
      <c r="B38" s="35">
        <f>'INTERNAL TEST-1  '!B37</f>
        <v>0</v>
      </c>
      <c r="C38" s="4">
        <f>'INTERNAL TEST-1  '!C37</f>
        <v>0</v>
      </c>
      <c r="D38" s="35"/>
      <c r="E38" s="35">
        <f t="shared" si="0"/>
        <v>0</v>
      </c>
    </row>
    <row r="39" spans="1:5" ht="20.100000000000001" hidden="1" customHeight="1">
      <c r="A39" s="35">
        <f>'INTERNAL TEST-1  '!A38</f>
        <v>0</v>
      </c>
      <c r="B39" s="35">
        <f>'INTERNAL TEST-1  '!B38</f>
        <v>0</v>
      </c>
      <c r="C39" s="4">
        <f>'INTERNAL TEST-1  '!C38</f>
        <v>0</v>
      </c>
      <c r="D39" s="35"/>
      <c r="E39" s="35">
        <f t="shared" si="0"/>
        <v>0</v>
      </c>
    </row>
    <row r="40" spans="1:5" ht="20.100000000000001" hidden="1" customHeight="1">
      <c r="A40" s="35">
        <f>'INTERNAL TEST-1  '!A39</f>
        <v>0</v>
      </c>
      <c r="B40" s="35">
        <f>'INTERNAL TEST-1  '!B39</f>
        <v>0</v>
      </c>
      <c r="C40" s="4">
        <f>'INTERNAL TEST-1  '!C39</f>
        <v>0</v>
      </c>
      <c r="D40" s="35"/>
      <c r="E40" s="35">
        <f t="shared" si="0"/>
        <v>0</v>
      </c>
    </row>
    <row r="41" spans="1:5" ht="20.100000000000001" hidden="1" customHeight="1">
      <c r="A41" s="35">
        <f>'INTERNAL TEST-1  '!A40</f>
        <v>0</v>
      </c>
      <c r="B41" s="35">
        <f>'INTERNAL TEST-1  '!B40</f>
        <v>0</v>
      </c>
      <c r="C41" s="4">
        <f>'INTERNAL TEST-1  '!C40</f>
        <v>0</v>
      </c>
      <c r="D41" s="35"/>
      <c r="E41" s="35">
        <f t="shared" si="0"/>
        <v>0</v>
      </c>
    </row>
    <row r="42" spans="1:5" ht="20.100000000000001" hidden="1" customHeight="1">
      <c r="A42" s="35">
        <f>'INTERNAL TEST-1  '!A41</f>
        <v>0</v>
      </c>
      <c r="B42" s="35">
        <f>'INTERNAL TEST-1  '!B41</f>
        <v>0</v>
      </c>
      <c r="C42" s="4">
        <f>'INTERNAL TEST-1  '!C41</f>
        <v>0</v>
      </c>
      <c r="D42" s="35"/>
      <c r="E42" s="35">
        <f t="shared" si="0"/>
        <v>0</v>
      </c>
    </row>
    <row r="43" spans="1:5" ht="20.100000000000001" hidden="1" customHeight="1">
      <c r="A43" s="35">
        <f>'INTERNAL TEST-1  '!A42</f>
        <v>0</v>
      </c>
      <c r="B43" s="35">
        <f>'INTERNAL TEST-1  '!B42</f>
        <v>0</v>
      </c>
      <c r="C43" s="4">
        <f>'INTERNAL TEST-1  '!C42</f>
        <v>0</v>
      </c>
      <c r="D43" s="35"/>
      <c r="E43" s="35">
        <f t="shared" si="0"/>
        <v>0</v>
      </c>
    </row>
    <row r="44" spans="1:5" ht="20.100000000000001" hidden="1" customHeight="1">
      <c r="A44" s="35">
        <f>'INTERNAL TEST-1  '!A43</f>
        <v>0</v>
      </c>
      <c r="B44" s="35">
        <f>'INTERNAL TEST-1  '!B43</f>
        <v>0</v>
      </c>
      <c r="C44" s="4">
        <f>'INTERNAL TEST-1  '!C43</f>
        <v>0</v>
      </c>
      <c r="D44" s="35"/>
      <c r="E44" s="35">
        <f t="shared" si="0"/>
        <v>0</v>
      </c>
    </row>
    <row r="45" spans="1:5" ht="20.100000000000001" hidden="1" customHeight="1">
      <c r="A45" s="35">
        <f>'INTERNAL TEST-1  '!A44</f>
        <v>0</v>
      </c>
      <c r="B45" s="35">
        <f>'INTERNAL TEST-1  '!B44</f>
        <v>0</v>
      </c>
      <c r="C45" s="4">
        <f>'INTERNAL TEST-1  '!C44</f>
        <v>0</v>
      </c>
      <c r="D45" s="35"/>
      <c r="E45" s="35">
        <f t="shared" si="0"/>
        <v>0</v>
      </c>
    </row>
    <row r="46" spans="1:5" ht="20.100000000000001" hidden="1" customHeight="1">
      <c r="A46" s="35">
        <f>'INTERNAL TEST-1  '!A45</f>
        <v>0</v>
      </c>
      <c r="B46" s="35">
        <f>'INTERNAL TEST-1  '!B45</f>
        <v>0</v>
      </c>
      <c r="C46" s="4">
        <f>'INTERNAL TEST-1  '!C45</f>
        <v>0</v>
      </c>
      <c r="D46" s="35"/>
      <c r="E46" s="35">
        <f t="shared" si="0"/>
        <v>0</v>
      </c>
    </row>
    <row r="47" spans="1:5" ht="20.100000000000001" hidden="1" customHeight="1">
      <c r="A47" s="35">
        <f>'INTERNAL TEST-1  '!A46</f>
        <v>0</v>
      </c>
      <c r="B47" s="35">
        <f>'INTERNAL TEST-1  '!B46</f>
        <v>0</v>
      </c>
      <c r="C47" s="4">
        <f>'INTERNAL TEST-1  '!C46</f>
        <v>0</v>
      </c>
      <c r="D47" s="35"/>
      <c r="E47" s="35">
        <f t="shared" ref="E47:E78" si="1">IF(D47="S",95,IF(D47="O",95,IF(D47="A+",87,IF(D47="A",82,IF(D47="B+",IF($E$8="R_2015",75,77),IF(D47="B",IF($E$8="R_2015",65,72),IF(D47="C+",67,IF(D47="C",IF($E$8="R_2015",55,62),IF(D47="D",57,IF(D47="P",IF($E$8="R_2015",45,50),0))))))))))</f>
        <v>0</v>
      </c>
    </row>
    <row r="48" spans="1:5" ht="20.100000000000001" hidden="1" customHeight="1">
      <c r="A48" s="35">
        <f>'INTERNAL TEST-1  '!A47</f>
        <v>0</v>
      </c>
      <c r="B48" s="35">
        <f>'INTERNAL TEST-1  '!B47</f>
        <v>0</v>
      </c>
      <c r="C48" s="4">
        <f>'INTERNAL TEST-1  '!C47</f>
        <v>0</v>
      </c>
      <c r="D48" s="35"/>
      <c r="E48" s="35">
        <f t="shared" si="1"/>
        <v>0</v>
      </c>
    </row>
    <row r="49" spans="1:5" ht="20.100000000000001" hidden="1" customHeight="1">
      <c r="A49" s="35">
        <f>'INTERNAL TEST-1  '!A48</f>
        <v>0</v>
      </c>
      <c r="B49" s="35">
        <f>'INTERNAL TEST-1  '!B48</f>
        <v>0</v>
      </c>
      <c r="C49" s="4">
        <f>'INTERNAL TEST-1  '!C48</f>
        <v>0</v>
      </c>
      <c r="D49" s="35"/>
      <c r="E49" s="35">
        <f t="shared" si="1"/>
        <v>0</v>
      </c>
    </row>
    <row r="50" spans="1:5" ht="20.100000000000001" hidden="1" customHeight="1">
      <c r="A50" s="35">
        <f>'INTERNAL TEST-1  '!A49</f>
        <v>0</v>
      </c>
      <c r="B50" s="35">
        <f>'INTERNAL TEST-1  '!B49</f>
        <v>0</v>
      </c>
      <c r="C50" s="4">
        <f>'INTERNAL TEST-1  '!C49</f>
        <v>0</v>
      </c>
      <c r="D50" s="35"/>
      <c r="E50" s="35">
        <f t="shared" si="1"/>
        <v>0</v>
      </c>
    </row>
    <row r="51" spans="1:5" ht="20.100000000000001" hidden="1" customHeight="1">
      <c r="A51" s="35">
        <f>'INTERNAL TEST-1  '!A50</f>
        <v>0</v>
      </c>
      <c r="B51" s="35">
        <f>'INTERNAL TEST-1  '!B50</f>
        <v>0</v>
      </c>
      <c r="C51" s="4">
        <f>'INTERNAL TEST-1  '!C50</f>
        <v>0</v>
      </c>
      <c r="D51" s="35"/>
      <c r="E51" s="35">
        <f t="shared" si="1"/>
        <v>0</v>
      </c>
    </row>
    <row r="52" spans="1:5" ht="20.100000000000001" hidden="1" customHeight="1">
      <c r="A52" s="35">
        <f>'INTERNAL TEST-1  '!A51</f>
        <v>0</v>
      </c>
      <c r="B52" s="35">
        <f>'INTERNAL TEST-1  '!B51</f>
        <v>0</v>
      </c>
      <c r="C52" s="4">
        <f>'INTERNAL TEST-1  '!C51</f>
        <v>0</v>
      </c>
      <c r="D52" s="35"/>
      <c r="E52" s="35">
        <f t="shared" si="1"/>
        <v>0</v>
      </c>
    </row>
    <row r="53" spans="1:5" ht="20.100000000000001" hidden="1" customHeight="1">
      <c r="A53" s="35">
        <f>'INTERNAL TEST-1  '!A52</f>
        <v>0</v>
      </c>
      <c r="B53" s="35">
        <f>'INTERNAL TEST-1  '!B52</f>
        <v>0</v>
      </c>
      <c r="C53" s="4">
        <f>'INTERNAL TEST-1  '!C52</f>
        <v>0</v>
      </c>
      <c r="D53" s="35"/>
      <c r="E53" s="35">
        <f t="shared" si="1"/>
        <v>0</v>
      </c>
    </row>
    <row r="54" spans="1:5" ht="20.100000000000001" hidden="1" customHeight="1">
      <c r="A54" s="35">
        <f>'INTERNAL TEST-1  '!A53</f>
        <v>0</v>
      </c>
      <c r="B54" s="35">
        <f>'INTERNAL TEST-1  '!B53</f>
        <v>0</v>
      </c>
      <c r="C54" s="4">
        <f>'INTERNAL TEST-1  '!C53</f>
        <v>0</v>
      </c>
      <c r="D54" s="35"/>
      <c r="E54" s="35">
        <f t="shared" si="1"/>
        <v>0</v>
      </c>
    </row>
    <row r="55" spans="1:5" ht="20.100000000000001" hidden="1" customHeight="1">
      <c r="A55" s="35">
        <f>'INTERNAL TEST-1  '!A54</f>
        <v>0</v>
      </c>
      <c r="B55" s="35">
        <f>'INTERNAL TEST-1  '!B54</f>
        <v>0</v>
      </c>
      <c r="C55" s="4">
        <f>'INTERNAL TEST-1  '!C54</f>
        <v>0</v>
      </c>
      <c r="D55" s="35"/>
      <c r="E55" s="35">
        <f t="shared" si="1"/>
        <v>0</v>
      </c>
    </row>
    <row r="56" spans="1:5" ht="20.100000000000001" hidden="1" customHeight="1">
      <c r="A56" s="35">
        <f>'INTERNAL TEST-1  '!A55</f>
        <v>0</v>
      </c>
      <c r="B56" s="35">
        <f>'INTERNAL TEST-1  '!B55</f>
        <v>0</v>
      </c>
      <c r="C56" s="4">
        <f>'INTERNAL TEST-1  '!C55</f>
        <v>0</v>
      </c>
      <c r="D56" s="35"/>
      <c r="E56" s="35">
        <f t="shared" si="1"/>
        <v>0</v>
      </c>
    </row>
    <row r="57" spans="1:5" ht="20.100000000000001" hidden="1" customHeight="1">
      <c r="A57" s="35">
        <f>'INTERNAL TEST-1  '!A56</f>
        <v>0</v>
      </c>
      <c r="B57" s="35">
        <f>'INTERNAL TEST-1  '!B56</f>
        <v>0</v>
      </c>
      <c r="C57" s="4">
        <f>'INTERNAL TEST-1  '!C56</f>
        <v>0</v>
      </c>
      <c r="D57" s="35"/>
      <c r="E57" s="35">
        <f t="shared" si="1"/>
        <v>0</v>
      </c>
    </row>
    <row r="58" spans="1:5" ht="20.100000000000001" hidden="1" customHeight="1">
      <c r="A58" s="35">
        <f>'INTERNAL TEST-1  '!A57</f>
        <v>0</v>
      </c>
      <c r="B58" s="35">
        <f>'INTERNAL TEST-1  '!B57</f>
        <v>0</v>
      </c>
      <c r="C58" s="4">
        <f>'INTERNAL TEST-1  '!C57</f>
        <v>0</v>
      </c>
      <c r="D58" s="35"/>
      <c r="E58" s="35">
        <f t="shared" si="1"/>
        <v>0</v>
      </c>
    </row>
    <row r="59" spans="1:5" ht="20.100000000000001" hidden="1" customHeight="1">
      <c r="A59" s="35">
        <f>'INTERNAL TEST-1  '!A58</f>
        <v>0</v>
      </c>
      <c r="B59" s="35">
        <f>'INTERNAL TEST-1  '!B58</f>
        <v>0</v>
      </c>
      <c r="C59" s="4">
        <f>'INTERNAL TEST-1  '!C58</f>
        <v>0</v>
      </c>
      <c r="D59" s="35"/>
      <c r="E59" s="35">
        <f t="shared" si="1"/>
        <v>0</v>
      </c>
    </row>
    <row r="60" spans="1:5" ht="20.100000000000001" hidden="1" customHeight="1">
      <c r="A60" s="35">
        <f>'INTERNAL TEST-1  '!A59</f>
        <v>0</v>
      </c>
      <c r="B60" s="35">
        <f>'INTERNAL TEST-1  '!B59</f>
        <v>0</v>
      </c>
      <c r="C60" s="4">
        <f>'INTERNAL TEST-1  '!C59</f>
        <v>0</v>
      </c>
      <c r="D60" s="35"/>
      <c r="E60" s="35">
        <f t="shared" si="1"/>
        <v>0</v>
      </c>
    </row>
    <row r="61" spans="1:5" ht="20.100000000000001" hidden="1" customHeight="1">
      <c r="A61" s="35">
        <f>'INTERNAL TEST-1  '!A60</f>
        <v>0</v>
      </c>
      <c r="B61" s="35">
        <f>'INTERNAL TEST-1  '!B60</f>
        <v>0</v>
      </c>
      <c r="C61" s="4">
        <f>'INTERNAL TEST-1  '!C60</f>
        <v>0</v>
      </c>
      <c r="D61" s="35"/>
      <c r="E61" s="35">
        <f t="shared" si="1"/>
        <v>0</v>
      </c>
    </row>
    <row r="62" spans="1:5" ht="20.100000000000001" hidden="1" customHeight="1">
      <c r="A62" s="35">
        <f>'INTERNAL TEST-1  '!A61</f>
        <v>0</v>
      </c>
      <c r="B62" s="35">
        <f>'INTERNAL TEST-1  '!B61</f>
        <v>0</v>
      </c>
      <c r="C62" s="4">
        <f>'INTERNAL TEST-1  '!C61</f>
        <v>0</v>
      </c>
      <c r="D62" s="35"/>
      <c r="E62" s="35">
        <f t="shared" si="1"/>
        <v>0</v>
      </c>
    </row>
    <row r="63" spans="1:5" ht="20.100000000000001" hidden="1" customHeight="1">
      <c r="A63" s="35">
        <f>'INTERNAL TEST-1  '!A62</f>
        <v>0</v>
      </c>
      <c r="B63" s="35">
        <f>'INTERNAL TEST-1  '!B62</f>
        <v>0</v>
      </c>
      <c r="C63" s="4">
        <f>'INTERNAL TEST-1  '!C62</f>
        <v>0</v>
      </c>
      <c r="D63" s="35"/>
      <c r="E63" s="35">
        <f t="shared" si="1"/>
        <v>0</v>
      </c>
    </row>
    <row r="64" spans="1:5" ht="20.100000000000001" hidden="1" customHeight="1">
      <c r="A64" s="35">
        <f>'INTERNAL TEST-1  '!A63</f>
        <v>0</v>
      </c>
      <c r="B64" s="35">
        <f>'INTERNAL TEST-1  '!B63</f>
        <v>0</v>
      </c>
      <c r="C64" s="4">
        <f>'INTERNAL TEST-1  '!C63</f>
        <v>0</v>
      </c>
      <c r="D64" s="35"/>
      <c r="E64" s="35">
        <f t="shared" si="1"/>
        <v>0</v>
      </c>
    </row>
    <row r="65" spans="1:5" ht="20.100000000000001" hidden="1" customHeight="1">
      <c r="A65" s="35">
        <f>'INTERNAL TEST-1  '!A64</f>
        <v>0</v>
      </c>
      <c r="B65" s="35">
        <f>'INTERNAL TEST-1  '!B64</f>
        <v>0</v>
      </c>
      <c r="C65" s="4">
        <f>'INTERNAL TEST-1  '!C64</f>
        <v>0</v>
      </c>
      <c r="D65" s="35"/>
      <c r="E65" s="35">
        <f t="shared" si="1"/>
        <v>0</v>
      </c>
    </row>
    <row r="66" spans="1:5" ht="20.100000000000001" hidden="1" customHeight="1">
      <c r="A66" s="35">
        <f>'INTERNAL TEST-1  '!A65</f>
        <v>0</v>
      </c>
      <c r="B66" s="35">
        <f>'INTERNAL TEST-1  '!B65</f>
        <v>0</v>
      </c>
      <c r="C66" s="4">
        <f>'INTERNAL TEST-1  '!C65</f>
        <v>0</v>
      </c>
      <c r="D66" s="35"/>
      <c r="E66" s="35">
        <f t="shared" si="1"/>
        <v>0</v>
      </c>
    </row>
    <row r="67" spans="1:5" ht="20.100000000000001" hidden="1" customHeight="1">
      <c r="A67" s="35">
        <f>'INTERNAL TEST-1  '!A66</f>
        <v>0</v>
      </c>
      <c r="B67" s="35">
        <f>'INTERNAL TEST-1  '!B66</f>
        <v>0</v>
      </c>
      <c r="C67" s="4">
        <f>'INTERNAL TEST-1  '!C66</f>
        <v>0</v>
      </c>
      <c r="D67" s="35"/>
      <c r="E67" s="35">
        <f t="shared" si="1"/>
        <v>0</v>
      </c>
    </row>
    <row r="68" spans="1:5" ht="20.100000000000001" hidden="1" customHeight="1">
      <c r="A68" s="35">
        <f>'INTERNAL TEST-1  '!A67</f>
        <v>0</v>
      </c>
      <c r="B68" s="35">
        <f>'INTERNAL TEST-1  '!B67</f>
        <v>0</v>
      </c>
      <c r="C68" s="4">
        <f>'INTERNAL TEST-1  '!C67</f>
        <v>0</v>
      </c>
      <c r="D68" s="35"/>
      <c r="E68" s="35">
        <f t="shared" si="1"/>
        <v>0</v>
      </c>
    </row>
    <row r="69" spans="1:5" ht="20.100000000000001" hidden="1" customHeight="1">
      <c r="A69" s="35">
        <f>'INTERNAL TEST-1  '!A68</f>
        <v>0</v>
      </c>
      <c r="B69" s="35">
        <f>'INTERNAL TEST-1  '!B68</f>
        <v>0</v>
      </c>
      <c r="C69" s="4">
        <f>'INTERNAL TEST-1  '!C68</f>
        <v>0</v>
      </c>
      <c r="D69" s="35"/>
      <c r="E69" s="35">
        <f t="shared" si="1"/>
        <v>0</v>
      </c>
    </row>
    <row r="70" spans="1:5" ht="20.100000000000001" hidden="1" customHeight="1">
      <c r="A70" s="35">
        <f>'INTERNAL TEST-1  '!A69</f>
        <v>0</v>
      </c>
      <c r="B70" s="35">
        <f>'INTERNAL TEST-1  '!B69</f>
        <v>0</v>
      </c>
      <c r="C70" s="4">
        <f>'INTERNAL TEST-1  '!C69</f>
        <v>0</v>
      </c>
      <c r="D70" s="35"/>
      <c r="E70" s="35">
        <f t="shared" si="1"/>
        <v>0</v>
      </c>
    </row>
    <row r="71" spans="1:5" ht="20.100000000000001" hidden="1" customHeight="1">
      <c r="A71" s="35">
        <f>'INTERNAL TEST-1  '!A70</f>
        <v>0</v>
      </c>
      <c r="B71" s="35">
        <f>'INTERNAL TEST-1  '!B70</f>
        <v>0</v>
      </c>
      <c r="C71" s="4">
        <f>'INTERNAL TEST-1  '!C70</f>
        <v>0</v>
      </c>
      <c r="D71" s="35"/>
      <c r="E71" s="35">
        <f t="shared" si="1"/>
        <v>0</v>
      </c>
    </row>
    <row r="72" spans="1:5" ht="20.100000000000001" hidden="1" customHeight="1">
      <c r="A72" s="35">
        <f>'INTERNAL TEST-1  '!A71</f>
        <v>0</v>
      </c>
      <c r="B72" s="35">
        <f>'INTERNAL TEST-1  '!B71</f>
        <v>0</v>
      </c>
      <c r="C72" s="4">
        <f>'INTERNAL TEST-1  '!C71</f>
        <v>0</v>
      </c>
      <c r="D72" s="35"/>
      <c r="E72" s="35">
        <f t="shared" si="1"/>
        <v>0</v>
      </c>
    </row>
    <row r="73" spans="1:5" ht="20.100000000000001" hidden="1" customHeight="1">
      <c r="A73" s="35">
        <f>'INTERNAL TEST-1  '!A72</f>
        <v>0</v>
      </c>
      <c r="B73" s="35">
        <f>'INTERNAL TEST-1  '!B72</f>
        <v>0</v>
      </c>
      <c r="C73" s="4">
        <f>'INTERNAL TEST-1  '!C72</f>
        <v>0</v>
      </c>
      <c r="D73" s="35"/>
      <c r="E73" s="35">
        <f t="shared" si="1"/>
        <v>0</v>
      </c>
    </row>
    <row r="74" spans="1:5" ht="20.100000000000001" hidden="1" customHeight="1">
      <c r="A74" s="35">
        <f>'INTERNAL TEST-1  '!A73</f>
        <v>0</v>
      </c>
      <c r="B74" s="35">
        <f>'INTERNAL TEST-1  '!B73</f>
        <v>0</v>
      </c>
      <c r="C74" s="4">
        <f>'INTERNAL TEST-1  '!C73</f>
        <v>0</v>
      </c>
      <c r="D74" s="35"/>
      <c r="E74" s="35">
        <f t="shared" si="1"/>
        <v>0</v>
      </c>
    </row>
    <row r="75" spans="1:5" ht="20.100000000000001" hidden="1" customHeight="1">
      <c r="A75" s="35">
        <f>'INTERNAL TEST-1  '!A74</f>
        <v>0</v>
      </c>
      <c r="B75" s="35">
        <f>'INTERNAL TEST-1  '!B74</f>
        <v>0</v>
      </c>
      <c r="C75" s="4">
        <f>'INTERNAL TEST-1  '!C74</f>
        <v>0</v>
      </c>
      <c r="D75" s="35"/>
      <c r="E75" s="35">
        <f t="shared" si="1"/>
        <v>0</v>
      </c>
    </row>
    <row r="76" spans="1:5" ht="20.100000000000001" hidden="1" customHeight="1">
      <c r="A76" s="35">
        <f>'INTERNAL TEST-1  '!A75</f>
        <v>0</v>
      </c>
      <c r="B76" s="35">
        <f>'INTERNAL TEST-1  '!B75</f>
        <v>0</v>
      </c>
      <c r="C76" s="4">
        <f>'INTERNAL TEST-1  '!C75</f>
        <v>0</v>
      </c>
      <c r="D76" s="35"/>
      <c r="E76" s="35">
        <f t="shared" si="1"/>
        <v>0</v>
      </c>
    </row>
    <row r="77" spans="1:5" ht="20.100000000000001" hidden="1" customHeight="1">
      <c r="A77" s="35">
        <f>'INTERNAL TEST-1  '!A76</f>
        <v>0</v>
      </c>
      <c r="B77" s="35">
        <f>'INTERNAL TEST-1  '!B76</f>
        <v>0</v>
      </c>
      <c r="C77" s="4">
        <f>'INTERNAL TEST-1  '!C76</f>
        <v>0</v>
      </c>
      <c r="D77" s="35"/>
      <c r="E77" s="35">
        <f t="shared" si="1"/>
        <v>0</v>
      </c>
    </row>
    <row r="78" spans="1:5" ht="20.100000000000001" hidden="1" customHeight="1">
      <c r="A78" s="35">
        <f>'INTERNAL TEST-1  '!A77</f>
        <v>0</v>
      </c>
      <c r="B78" s="35">
        <f>'INTERNAL TEST-1  '!B77</f>
        <v>0</v>
      </c>
      <c r="C78" s="4">
        <f>'INTERNAL TEST-1  '!C77</f>
        <v>0</v>
      </c>
      <c r="D78" s="35"/>
      <c r="E78" s="35">
        <f t="shared" si="1"/>
        <v>0</v>
      </c>
    </row>
    <row r="79" spans="1:5" ht="20.100000000000001" hidden="1" customHeight="1">
      <c r="A79" s="35">
        <f>'INTERNAL TEST-1  '!A78</f>
        <v>0</v>
      </c>
      <c r="B79" s="35">
        <f>'INTERNAL TEST-1  '!B78</f>
        <v>0</v>
      </c>
      <c r="C79" s="4">
        <f>'INTERNAL TEST-1  '!C78</f>
        <v>0</v>
      </c>
      <c r="D79" s="35"/>
      <c r="E79" s="35">
        <f t="shared" ref="E79:E98" si="2">IF(D79="S",95,IF(D79="O",95,IF(D79="A+",87,IF(D79="A",82,IF(D79="B+",IF($E$8="R_2015",75,77),IF(D79="B",IF($E$8="R_2015",65,72),IF(D79="C+",67,IF(D79="C",IF($E$8="R_2015",55,62),IF(D79="D",57,IF(D79="P",IF($E$8="R_2015",45,50),0))))))))))</f>
        <v>0</v>
      </c>
    </row>
    <row r="80" spans="1:5" ht="20.100000000000001" hidden="1" customHeight="1">
      <c r="A80" s="35">
        <f>'INTERNAL TEST-1  '!A79</f>
        <v>0</v>
      </c>
      <c r="B80" s="35">
        <f>'INTERNAL TEST-1  '!B79</f>
        <v>0</v>
      </c>
      <c r="C80" s="4">
        <f>'INTERNAL TEST-1  '!C79</f>
        <v>0</v>
      </c>
      <c r="D80" s="35"/>
      <c r="E80" s="35">
        <f t="shared" si="2"/>
        <v>0</v>
      </c>
    </row>
    <row r="81" spans="1:5" ht="20.100000000000001" hidden="1" customHeight="1">
      <c r="A81" s="35">
        <f>'INTERNAL TEST-1  '!A80</f>
        <v>0</v>
      </c>
      <c r="B81" s="35">
        <f>'INTERNAL TEST-1  '!B80</f>
        <v>0</v>
      </c>
      <c r="C81" s="4">
        <f>'INTERNAL TEST-1  '!C80</f>
        <v>0</v>
      </c>
      <c r="D81" s="35"/>
      <c r="E81" s="35">
        <f t="shared" si="2"/>
        <v>0</v>
      </c>
    </row>
    <row r="82" spans="1:5" ht="20.100000000000001" hidden="1" customHeight="1">
      <c r="A82" s="35">
        <f>'INTERNAL TEST-1  '!A81</f>
        <v>0</v>
      </c>
      <c r="B82" s="35">
        <f>'INTERNAL TEST-1  '!B81</f>
        <v>0</v>
      </c>
      <c r="C82" s="4">
        <f>'INTERNAL TEST-1  '!C81</f>
        <v>0</v>
      </c>
      <c r="D82" s="35"/>
      <c r="E82" s="35">
        <f t="shared" si="2"/>
        <v>0</v>
      </c>
    </row>
    <row r="83" spans="1:5" ht="20.100000000000001" hidden="1" customHeight="1">
      <c r="A83" s="35">
        <f>'INTERNAL TEST-1  '!A82</f>
        <v>0</v>
      </c>
      <c r="B83" s="35">
        <f>'INTERNAL TEST-1  '!B82</f>
        <v>0</v>
      </c>
      <c r="C83" s="4">
        <f>'INTERNAL TEST-1  '!C82</f>
        <v>0</v>
      </c>
      <c r="D83" s="35"/>
      <c r="E83" s="35">
        <f t="shared" si="2"/>
        <v>0</v>
      </c>
    </row>
    <row r="84" spans="1:5" ht="20.100000000000001" hidden="1" customHeight="1">
      <c r="A84" s="35">
        <f>'INTERNAL TEST-1  '!A83</f>
        <v>0</v>
      </c>
      <c r="B84" s="35">
        <f>'INTERNAL TEST-1  '!B83</f>
        <v>0</v>
      </c>
      <c r="C84" s="4">
        <f>'INTERNAL TEST-1  '!C83</f>
        <v>0</v>
      </c>
      <c r="D84" s="35"/>
      <c r="E84" s="35">
        <f t="shared" si="2"/>
        <v>0</v>
      </c>
    </row>
    <row r="85" spans="1:5" ht="20.100000000000001" hidden="1" customHeight="1">
      <c r="A85" s="35">
        <f>'INTERNAL TEST-1  '!A84</f>
        <v>0</v>
      </c>
      <c r="B85" s="35">
        <f>'INTERNAL TEST-1  '!B84</f>
        <v>0</v>
      </c>
      <c r="C85" s="4">
        <f>'INTERNAL TEST-1  '!C84</f>
        <v>0</v>
      </c>
      <c r="D85" s="35"/>
      <c r="E85" s="35">
        <f t="shared" si="2"/>
        <v>0</v>
      </c>
    </row>
    <row r="86" spans="1:5" ht="20.100000000000001" hidden="1" customHeight="1">
      <c r="A86" s="35">
        <f>'INTERNAL TEST-1  '!A85</f>
        <v>0</v>
      </c>
      <c r="B86" s="35">
        <f>'INTERNAL TEST-1  '!B85</f>
        <v>0</v>
      </c>
      <c r="C86" s="4">
        <f>'INTERNAL TEST-1  '!C85</f>
        <v>0</v>
      </c>
      <c r="D86" s="35"/>
      <c r="E86" s="35">
        <f t="shared" si="2"/>
        <v>0</v>
      </c>
    </row>
    <row r="87" spans="1:5" ht="20.100000000000001" hidden="1" customHeight="1">
      <c r="A87" s="35">
        <f>'INTERNAL TEST-1  '!A86</f>
        <v>0</v>
      </c>
      <c r="B87" s="35">
        <f>'INTERNAL TEST-1  '!B86</f>
        <v>0</v>
      </c>
      <c r="C87" s="4">
        <f>'INTERNAL TEST-1  '!C86</f>
        <v>0</v>
      </c>
      <c r="D87" s="35"/>
      <c r="E87" s="35">
        <f t="shared" si="2"/>
        <v>0</v>
      </c>
    </row>
    <row r="88" spans="1:5" ht="20.100000000000001" hidden="1" customHeight="1">
      <c r="A88" s="35">
        <f>'INTERNAL TEST-1  '!A87</f>
        <v>0</v>
      </c>
      <c r="B88" s="35">
        <f>'INTERNAL TEST-1  '!B87</f>
        <v>0</v>
      </c>
      <c r="C88" s="4">
        <f>'INTERNAL TEST-1  '!C87</f>
        <v>0</v>
      </c>
      <c r="D88" s="35"/>
      <c r="E88" s="35">
        <f t="shared" si="2"/>
        <v>0</v>
      </c>
    </row>
    <row r="89" spans="1:5" ht="20.100000000000001" hidden="1" customHeight="1">
      <c r="A89" s="35">
        <f>'INTERNAL TEST-1  '!A88</f>
        <v>0</v>
      </c>
      <c r="B89" s="35">
        <f>'INTERNAL TEST-1  '!B88</f>
        <v>0</v>
      </c>
      <c r="C89" s="4">
        <f>'INTERNAL TEST-1  '!C88</f>
        <v>0</v>
      </c>
      <c r="D89" s="35"/>
      <c r="E89" s="35">
        <f t="shared" si="2"/>
        <v>0</v>
      </c>
    </row>
    <row r="90" spans="1:5" ht="20.100000000000001" hidden="1" customHeight="1">
      <c r="A90" s="35">
        <f>'INTERNAL TEST-1  '!A89</f>
        <v>0</v>
      </c>
      <c r="B90" s="35">
        <f>'INTERNAL TEST-1  '!B89</f>
        <v>0</v>
      </c>
      <c r="C90" s="4">
        <f>'INTERNAL TEST-1  '!C89</f>
        <v>0</v>
      </c>
      <c r="D90" s="35"/>
      <c r="E90" s="35">
        <f t="shared" si="2"/>
        <v>0</v>
      </c>
    </row>
    <row r="91" spans="1:5" ht="20.100000000000001" hidden="1" customHeight="1">
      <c r="A91" s="35">
        <f>'INTERNAL TEST-1  '!A90</f>
        <v>0</v>
      </c>
      <c r="B91" s="35">
        <f>'INTERNAL TEST-1  '!B90</f>
        <v>0</v>
      </c>
      <c r="C91" s="4">
        <f>'INTERNAL TEST-1  '!C90</f>
        <v>0</v>
      </c>
      <c r="D91" s="35"/>
      <c r="E91" s="35">
        <f t="shared" si="2"/>
        <v>0</v>
      </c>
    </row>
    <row r="92" spans="1:5" ht="20.100000000000001" hidden="1" customHeight="1">
      <c r="A92" s="35">
        <f>'INTERNAL TEST-1  '!A91</f>
        <v>0</v>
      </c>
      <c r="B92" s="35">
        <f>'INTERNAL TEST-1  '!B91</f>
        <v>0</v>
      </c>
      <c r="C92" s="4">
        <f>'INTERNAL TEST-1  '!C91</f>
        <v>0</v>
      </c>
      <c r="D92" s="35"/>
      <c r="E92" s="35">
        <f t="shared" si="2"/>
        <v>0</v>
      </c>
    </row>
    <row r="93" spans="1:5" ht="20.100000000000001" hidden="1" customHeight="1">
      <c r="A93" s="35">
        <f>'INTERNAL TEST-1  '!A92</f>
        <v>0</v>
      </c>
      <c r="B93" s="35">
        <f>'INTERNAL TEST-1  '!B92</f>
        <v>0</v>
      </c>
      <c r="C93" s="4">
        <f>'INTERNAL TEST-1  '!C92</f>
        <v>0</v>
      </c>
      <c r="D93" s="35"/>
      <c r="E93" s="35">
        <f t="shared" si="2"/>
        <v>0</v>
      </c>
    </row>
    <row r="94" spans="1:5" ht="20.100000000000001" hidden="1" customHeight="1">
      <c r="A94" s="35">
        <f>'INTERNAL TEST-1  '!A93</f>
        <v>0</v>
      </c>
      <c r="B94" s="35">
        <f>'INTERNAL TEST-1  '!B93</f>
        <v>0</v>
      </c>
      <c r="C94" s="4">
        <f>'INTERNAL TEST-1  '!C93</f>
        <v>0</v>
      </c>
      <c r="D94" s="35"/>
      <c r="E94" s="35">
        <f t="shared" si="2"/>
        <v>0</v>
      </c>
    </row>
    <row r="95" spans="1:5" ht="20.100000000000001" hidden="1" customHeight="1">
      <c r="A95" s="35">
        <f>'INTERNAL TEST-1  '!A94</f>
        <v>0</v>
      </c>
      <c r="B95" s="35">
        <f>'INTERNAL TEST-1  '!B94</f>
        <v>0</v>
      </c>
      <c r="C95" s="4">
        <f>'INTERNAL TEST-1  '!C94</f>
        <v>0</v>
      </c>
      <c r="D95" s="35"/>
      <c r="E95" s="35">
        <f t="shared" si="2"/>
        <v>0</v>
      </c>
    </row>
    <row r="96" spans="1:5" ht="20.100000000000001" hidden="1" customHeight="1">
      <c r="A96" s="35">
        <f>'INTERNAL TEST-1  '!A95</f>
        <v>0</v>
      </c>
      <c r="B96" s="35">
        <f>'INTERNAL TEST-1  '!B95</f>
        <v>0</v>
      </c>
      <c r="C96" s="4">
        <f>'INTERNAL TEST-1  '!C95</f>
        <v>0</v>
      </c>
      <c r="D96" s="35"/>
      <c r="E96" s="35">
        <f t="shared" si="2"/>
        <v>0</v>
      </c>
    </row>
    <row r="97" spans="1:5" ht="20.100000000000001" hidden="1" customHeight="1">
      <c r="A97" s="35">
        <f>'INTERNAL TEST-1  '!A96</f>
        <v>0</v>
      </c>
      <c r="B97" s="35">
        <f>'INTERNAL TEST-1  '!B96</f>
        <v>0</v>
      </c>
      <c r="C97" s="4">
        <f>'INTERNAL TEST-1  '!C96</f>
        <v>0</v>
      </c>
      <c r="D97" s="35"/>
      <c r="E97" s="35">
        <f t="shared" si="2"/>
        <v>0</v>
      </c>
    </row>
    <row r="98" spans="1:5" ht="20.100000000000001" hidden="1" customHeight="1">
      <c r="A98" s="35">
        <f>'INTERNAL TEST-1  '!A97</f>
        <v>0</v>
      </c>
      <c r="B98" s="35">
        <f>'INTERNAL TEST-1  '!B97</f>
        <v>0</v>
      </c>
      <c r="C98" s="4">
        <f>'INTERNAL TEST-1  '!C97</f>
        <v>0</v>
      </c>
      <c r="D98" s="35"/>
      <c r="E98" s="35">
        <f t="shared" si="2"/>
        <v>0</v>
      </c>
    </row>
    <row r="99" spans="1:5" ht="20.100000000000001" hidden="1" customHeight="1">
      <c r="A99" s="35">
        <f>'INTERNAL TEST-1  '!A98</f>
        <v>0</v>
      </c>
      <c r="B99" s="35">
        <f>'INTERNAL TEST-1  '!B98</f>
        <v>0</v>
      </c>
      <c r="C99" s="4">
        <f>'INTERNAL TEST-1  '!C98</f>
        <v>0</v>
      </c>
      <c r="D99" s="35"/>
      <c r="E99" s="35">
        <f t="shared" ref="E99:E110" si="3">IF(D99="S",95,IF(D99="O",95,IF(D99="A+",87,IF(D99="A",82,IF(D99="B+",IF($E$8="R_2015",75,77),IF(D99="B",IF($E$8="R_2015",65,72),IF(D99="C+",67,IF(D99="C",IF($E$8="R_2015",55,62),IF(D99="D",57,IF(D99="P",IF($E$8="R_2015",45,50),0))))))))))</f>
        <v>0</v>
      </c>
    </row>
    <row r="100" spans="1:5" ht="20.100000000000001" hidden="1" customHeight="1">
      <c r="A100" s="35">
        <f>'INTERNAL TEST-1  '!A99</f>
        <v>0</v>
      </c>
      <c r="B100" s="35">
        <f>'INTERNAL TEST-1  '!B99</f>
        <v>0</v>
      </c>
      <c r="C100" s="4">
        <f>'INTERNAL TEST-1  '!C99</f>
        <v>0</v>
      </c>
      <c r="D100" s="35"/>
      <c r="E100" s="35">
        <f t="shared" si="3"/>
        <v>0</v>
      </c>
    </row>
    <row r="101" spans="1:5" ht="20.100000000000001" hidden="1" customHeight="1">
      <c r="A101" s="35">
        <f>'INTERNAL TEST-1  '!A100</f>
        <v>0</v>
      </c>
      <c r="B101" s="35">
        <f>'INTERNAL TEST-1  '!B100</f>
        <v>0</v>
      </c>
      <c r="C101" s="4">
        <f>'INTERNAL TEST-1  '!C100</f>
        <v>0</v>
      </c>
      <c r="D101" s="35"/>
      <c r="E101" s="35">
        <f t="shared" si="3"/>
        <v>0</v>
      </c>
    </row>
    <row r="102" spans="1:5" ht="20.100000000000001" hidden="1" customHeight="1">
      <c r="A102" s="35">
        <f>'INTERNAL TEST-1  '!A101</f>
        <v>0</v>
      </c>
      <c r="B102" s="35">
        <f>'INTERNAL TEST-1  '!B101</f>
        <v>0</v>
      </c>
      <c r="C102" s="4">
        <f>'INTERNAL TEST-1  '!C101</f>
        <v>0</v>
      </c>
      <c r="D102" s="35"/>
      <c r="E102" s="35">
        <f t="shared" si="3"/>
        <v>0</v>
      </c>
    </row>
    <row r="103" spans="1:5" ht="20.100000000000001" hidden="1" customHeight="1">
      <c r="A103" s="35">
        <f>'INTERNAL TEST-1  '!A102</f>
        <v>0</v>
      </c>
      <c r="B103" s="35">
        <f>'INTERNAL TEST-1  '!B102</f>
        <v>0</v>
      </c>
      <c r="C103" s="4">
        <f>'INTERNAL TEST-1  '!C102</f>
        <v>0</v>
      </c>
      <c r="D103" s="35"/>
      <c r="E103" s="35">
        <f t="shared" si="3"/>
        <v>0</v>
      </c>
    </row>
    <row r="104" spans="1:5" ht="20.100000000000001" hidden="1" customHeight="1">
      <c r="A104" s="35">
        <f>'INTERNAL TEST-1  '!A103</f>
        <v>0</v>
      </c>
      <c r="B104" s="35">
        <f>'INTERNAL TEST-1  '!B103</f>
        <v>0</v>
      </c>
      <c r="C104" s="4">
        <f>'INTERNAL TEST-1  '!C103</f>
        <v>0</v>
      </c>
      <c r="D104" s="35"/>
      <c r="E104" s="35">
        <f t="shared" si="3"/>
        <v>0</v>
      </c>
    </row>
    <row r="105" spans="1:5" ht="20.100000000000001" hidden="1" customHeight="1">
      <c r="A105" s="35">
        <f>'INTERNAL TEST-1  '!A104</f>
        <v>0</v>
      </c>
      <c r="B105" s="35">
        <f>'INTERNAL TEST-1  '!B104</f>
        <v>0</v>
      </c>
      <c r="C105" s="4">
        <f>'INTERNAL TEST-1  '!C104</f>
        <v>0</v>
      </c>
      <c r="D105" s="35"/>
      <c r="E105" s="35">
        <f t="shared" si="3"/>
        <v>0</v>
      </c>
    </row>
    <row r="106" spans="1:5" ht="20.100000000000001" hidden="1" customHeight="1">
      <c r="A106" s="35">
        <f>'INTERNAL TEST-1  '!A105</f>
        <v>0</v>
      </c>
      <c r="B106" s="35">
        <f>'INTERNAL TEST-1  '!B105</f>
        <v>0</v>
      </c>
      <c r="C106" s="4">
        <f>'INTERNAL TEST-1  '!C105</f>
        <v>0</v>
      </c>
      <c r="D106" s="35"/>
      <c r="E106" s="35">
        <f t="shared" si="3"/>
        <v>0</v>
      </c>
    </row>
    <row r="107" spans="1:5" ht="20.100000000000001" hidden="1" customHeight="1">
      <c r="A107" s="35">
        <f>'INTERNAL TEST-1  '!A106</f>
        <v>0</v>
      </c>
      <c r="B107" s="35">
        <f>'INTERNAL TEST-1  '!B106</f>
        <v>0</v>
      </c>
      <c r="C107" s="4">
        <f>'INTERNAL TEST-1  '!C106</f>
        <v>0</v>
      </c>
      <c r="D107" s="35"/>
      <c r="E107" s="35">
        <f t="shared" si="3"/>
        <v>0</v>
      </c>
    </row>
    <row r="108" spans="1:5" ht="20.100000000000001" hidden="1" customHeight="1">
      <c r="A108" s="35">
        <f>'INTERNAL TEST-1  '!A107</f>
        <v>0</v>
      </c>
      <c r="B108" s="35">
        <f>'INTERNAL TEST-1  '!B107</f>
        <v>0</v>
      </c>
      <c r="C108" s="4">
        <f>'INTERNAL TEST-1  '!C107</f>
        <v>0</v>
      </c>
      <c r="D108" s="35"/>
      <c r="E108" s="35">
        <f t="shared" si="3"/>
        <v>0</v>
      </c>
    </row>
    <row r="109" spans="1:5" ht="20.100000000000001" hidden="1" customHeight="1">
      <c r="A109" s="35">
        <f>'INTERNAL TEST-1  '!A108</f>
        <v>0</v>
      </c>
      <c r="B109" s="35">
        <f>'INTERNAL TEST-1  '!B108</f>
        <v>0</v>
      </c>
      <c r="C109" s="4">
        <f>'INTERNAL TEST-1  '!C108</f>
        <v>0</v>
      </c>
      <c r="D109" s="35"/>
      <c r="E109" s="35">
        <f t="shared" si="3"/>
        <v>0</v>
      </c>
    </row>
    <row r="110" spans="1:5" ht="20.100000000000001" hidden="1" customHeight="1">
      <c r="A110" s="35">
        <f>'INTERNAL TEST-1  '!A109</f>
        <v>0</v>
      </c>
      <c r="B110" s="35">
        <f>'INTERNAL TEST-1  '!B109</f>
        <v>0</v>
      </c>
      <c r="C110" s="4">
        <f>'INTERNAL TEST-1  '!C109</f>
        <v>0</v>
      </c>
      <c r="D110" s="35"/>
      <c r="E110" s="35">
        <f t="shared" si="3"/>
        <v>0</v>
      </c>
    </row>
    <row r="111" spans="1:5" ht="20.100000000000001" hidden="1" customHeight="1">
      <c r="A111" s="35">
        <f>'INTERNAL TEST-1  '!A110</f>
        <v>0</v>
      </c>
      <c r="B111" s="35">
        <f>'INTERNAL TEST-1  '!B110</f>
        <v>0</v>
      </c>
      <c r="C111" s="4">
        <f>'INTERNAL TEST-1  '!C110</f>
        <v>0</v>
      </c>
      <c r="D111" s="35"/>
      <c r="E111" s="35">
        <f t="shared" ref="E111:E139" si="4">IF(D111="S",95,IF(D111="O",95,IF(D111="A+",87,IF(D111="A",82,IF(D111="B+",IF($E$8="R_2015",75,77),IF(D111="B",IF($E$8="R_2015",65,72),IF(D111="C+",67,IF(D111="C",IF($E$8="R_2015",55,62),IF(D111="D",57,IF(D111="P",IF($E$8="R_2015",45,50),0))))))))))</f>
        <v>0</v>
      </c>
    </row>
    <row r="112" spans="1:5" ht="20.100000000000001" hidden="1" customHeight="1">
      <c r="A112" s="35">
        <f>'INTERNAL TEST-1  '!A111</f>
        <v>0</v>
      </c>
      <c r="B112" s="35">
        <f>'INTERNAL TEST-1  '!B111</f>
        <v>0</v>
      </c>
      <c r="C112" s="4">
        <f>'INTERNAL TEST-1  '!C111</f>
        <v>0</v>
      </c>
      <c r="D112" s="35"/>
      <c r="E112" s="35">
        <f t="shared" si="4"/>
        <v>0</v>
      </c>
    </row>
    <row r="113" spans="1:5" ht="20.100000000000001" hidden="1" customHeight="1">
      <c r="A113" s="35">
        <f>'INTERNAL TEST-1  '!A112</f>
        <v>0</v>
      </c>
      <c r="B113" s="35">
        <f>'INTERNAL TEST-1  '!B112</f>
        <v>0</v>
      </c>
      <c r="C113" s="4">
        <f>'INTERNAL TEST-1  '!C112</f>
        <v>0</v>
      </c>
      <c r="D113" s="35"/>
      <c r="E113" s="35">
        <f t="shared" si="4"/>
        <v>0</v>
      </c>
    </row>
    <row r="114" spans="1:5" ht="20.100000000000001" hidden="1" customHeight="1">
      <c r="A114" s="35">
        <f>'INTERNAL TEST-1  '!A113</f>
        <v>0</v>
      </c>
      <c r="B114" s="35">
        <f>'INTERNAL TEST-1  '!B113</f>
        <v>0</v>
      </c>
      <c r="C114" s="4">
        <f>'INTERNAL TEST-1  '!C113</f>
        <v>0</v>
      </c>
      <c r="D114" s="35"/>
      <c r="E114" s="35">
        <f t="shared" si="4"/>
        <v>0</v>
      </c>
    </row>
    <row r="115" spans="1:5" ht="20.100000000000001" hidden="1" customHeight="1">
      <c r="A115" s="35">
        <f>'INTERNAL TEST-1  '!A114</f>
        <v>0</v>
      </c>
      <c r="B115" s="35">
        <f>'INTERNAL TEST-1  '!B114</f>
        <v>0</v>
      </c>
      <c r="C115" s="4">
        <f>'INTERNAL TEST-1  '!C114</f>
        <v>0</v>
      </c>
      <c r="D115" s="35"/>
      <c r="E115" s="35">
        <f t="shared" si="4"/>
        <v>0</v>
      </c>
    </row>
    <row r="116" spans="1:5" ht="20.100000000000001" hidden="1" customHeight="1">
      <c r="A116" s="35">
        <f>'INTERNAL TEST-1  '!A115</f>
        <v>0</v>
      </c>
      <c r="B116" s="35">
        <f>'INTERNAL TEST-1  '!B115</f>
        <v>0</v>
      </c>
      <c r="C116" s="4">
        <f>'INTERNAL TEST-1  '!C115</f>
        <v>0</v>
      </c>
      <c r="D116" s="35"/>
      <c r="E116" s="35">
        <f t="shared" si="4"/>
        <v>0</v>
      </c>
    </row>
    <row r="117" spans="1:5" ht="20.100000000000001" hidden="1" customHeight="1">
      <c r="A117" s="35">
        <f>'INTERNAL TEST-1  '!A116</f>
        <v>0</v>
      </c>
      <c r="B117" s="35">
        <f>'INTERNAL TEST-1  '!B116</f>
        <v>0</v>
      </c>
      <c r="C117" s="4">
        <f>'INTERNAL TEST-1  '!C116</f>
        <v>0</v>
      </c>
      <c r="D117" s="35"/>
      <c r="E117" s="35">
        <f t="shared" si="4"/>
        <v>0</v>
      </c>
    </row>
    <row r="118" spans="1:5" ht="20.100000000000001" hidden="1" customHeight="1">
      <c r="A118" s="35">
        <f>'INTERNAL TEST-1  '!A117</f>
        <v>0</v>
      </c>
      <c r="B118" s="35">
        <f>'INTERNAL TEST-1  '!B117</f>
        <v>0</v>
      </c>
      <c r="C118" s="4">
        <f>'INTERNAL TEST-1  '!C117</f>
        <v>0</v>
      </c>
      <c r="D118" s="35"/>
      <c r="E118" s="35">
        <f t="shared" si="4"/>
        <v>0</v>
      </c>
    </row>
    <row r="119" spans="1:5" ht="20.100000000000001" hidden="1" customHeight="1">
      <c r="A119" s="35">
        <f>'INTERNAL TEST-1  '!A118</f>
        <v>0</v>
      </c>
      <c r="B119" s="35">
        <f>'INTERNAL TEST-1  '!B118</f>
        <v>0</v>
      </c>
      <c r="C119" s="4">
        <f>'INTERNAL TEST-1  '!C118</f>
        <v>0</v>
      </c>
      <c r="D119" s="35"/>
      <c r="E119" s="35">
        <f t="shared" si="4"/>
        <v>0</v>
      </c>
    </row>
    <row r="120" spans="1:5" ht="20.100000000000001" hidden="1" customHeight="1">
      <c r="A120" s="35">
        <f>'INTERNAL TEST-1  '!A119</f>
        <v>0</v>
      </c>
      <c r="B120" s="35">
        <f>'INTERNAL TEST-1  '!B119</f>
        <v>0</v>
      </c>
      <c r="C120" s="4">
        <f>'INTERNAL TEST-1  '!C119</f>
        <v>0</v>
      </c>
      <c r="D120" s="35"/>
      <c r="E120" s="35">
        <f t="shared" si="4"/>
        <v>0</v>
      </c>
    </row>
    <row r="121" spans="1:5" ht="20.100000000000001" hidden="1" customHeight="1">
      <c r="A121" s="35">
        <f>'INTERNAL TEST-1  '!A120</f>
        <v>0</v>
      </c>
      <c r="B121" s="35">
        <f>'INTERNAL TEST-1  '!B120</f>
        <v>0</v>
      </c>
      <c r="C121" s="4">
        <f>'INTERNAL TEST-1  '!C120</f>
        <v>0</v>
      </c>
      <c r="D121" s="35"/>
      <c r="E121" s="35">
        <f t="shared" si="4"/>
        <v>0</v>
      </c>
    </row>
    <row r="122" spans="1:5" ht="20.100000000000001" hidden="1" customHeight="1">
      <c r="A122" s="35">
        <f>'INTERNAL TEST-1  '!A121</f>
        <v>0</v>
      </c>
      <c r="B122" s="35">
        <f>'INTERNAL TEST-1  '!B121</f>
        <v>0</v>
      </c>
      <c r="C122" s="4">
        <f>'INTERNAL TEST-1  '!C121</f>
        <v>0</v>
      </c>
      <c r="D122" s="35"/>
      <c r="E122" s="35">
        <f t="shared" si="4"/>
        <v>0</v>
      </c>
    </row>
    <row r="123" spans="1:5" ht="20.100000000000001" hidden="1" customHeight="1">
      <c r="A123" s="35">
        <f>'INTERNAL TEST-1  '!A122</f>
        <v>0</v>
      </c>
      <c r="B123" s="35">
        <f>'INTERNAL TEST-1  '!B122</f>
        <v>0</v>
      </c>
      <c r="C123" s="4">
        <f>'INTERNAL TEST-1  '!C122</f>
        <v>0</v>
      </c>
      <c r="D123" s="35"/>
      <c r="E123" s="35">
        <f t="shared" si="4"/>
        <v>0</v>
      </c>
    </row>
    <row r="124" spans="1:5" ht="20.100000000000001" hidden="1" customHeight="1">
      <c r="A124" s="35">
        <f>'INTERNAL TEST-1  '!A123</f>
        <v>0</v>
      </c>
      <c r="B124" s="35">
        <f>'INTERNAL TEST-1  '!B123</f>
        <v>0</v>
      </c>
      <c r="C124" s="4">
        <f>'INTERNAL TEST-1  '!C123</f>
        <v>0</v>
      </c>
      <c r="D124" s="35"/>
      <c r="E124" s="35">
        <f t="shared" si="4"/>
        <v>0</v>
      </c>
    </row>
    <row r="125" spans="1:5" ht="20.100000000000001" hidden="1" customHeight="1">
      <c r="A125" s="35">
        <f>'INTERNAL TEST-1  '!A124</f>
        <v>0</v>
      </c>
      <c r="B125" s="35">
        <f>'INTERNAL TEST-1  '!B124</f>
        <v>0</v>
      </c>
      <c r="C125" s="4">
        <f>'INTERNAL TEST-1  '!C124</f>
        <v>0</v>
      </c>
      <c r="D125" s="35"/>
      <c r="E125" s="35">
        <f t="shared" si="4"/>
        <v>0</v>
      </c>
    </row>
    <row r="126" spans="1:5" ht="20.100000000000001" hidden="1" customHeight="1">
      <c r="A126" s="35">
        <f>'INTERNAL TEST-1  '!A125</f>
        <v>0</v>
      </c>
      <c r="B126" s="35">
        <f>'INTERNAL TEST-1  '!B125</f>
        <v>0</v>
      </c>
      <c r="C126" s="4">
        <f>'INTERNAL TEST-1  '!C125</f>
        <v>0</v>
      </c>
      <c r="D126" s="35"/>
      <c r="E126" s="35">
        <f t="shared" si="4"/>
        <v>0</v>
      </c>
    </row>
    <row r="127" spans="1:5" ht="20.100000000000001" hidden="1" customHeight="1">
      <c r="A127" s="35">
        <f>'INTERNAL TEST-1  '!A126</f>
        <v>0</v>
      </c>
      <c r="B127" s="35">
        <f>'INTERNAL TEST-1  '!B126</f>
        <v>0</v>
      </c>
      <c r="C127" s="4">
        <f>'INTERNAL TEST-1  '!C126</f>
        <v>0</v>
      </c>
      <c r="D127" s="35"/>
      <c r="E127" s="35">
        <f t="shared" si="4"/>
        <v>0</v>
      </c>
    </row>
    <row r="128" spans="1:5" ht="20.100000000000001" hidden="1" customHeight="1">
      <c r="A128" s="35">
        <f>'INTERNAL TEST-1  '!A127</f>
        <v>0</v>
      </c>
      <c r="B128" s="35">
        <f>'INTERNAL TEST-1  '!B127</f>
        <v>0</v>
      </c>
      <c r="C128" s="4">
        <f>'INTERNAL TEST-1  '!C127</f>
        <v>0</v>
      </c>
      <c r="D128" s="35"/>
      <c r="E128" s="35">
        <f t="shared" si="4"/>
        <v>0</v>
      </c>
    </row>
    <row r="129" spans="1:5" ht="20.100000000000001" hidden="1" customHeight="1">
      <c r="A129" s="35">
        <f>'INTERNAL TEST-1  '!A128</f>
        <v>0</v>
      </c>
      <c r="B129" s="35">
        <f>'INTERNAL TEST-1  '!B128</f>
        <v>0</v>
      </c>
      <c r="C129" s="4">
        <f>'INTERNAL TEST-1  '!C128</f>
        <v>0</v>
      </c>
      <c r="D129" s="35"/>
      <c r="E129" s="35">
        <f t="shared" si="4"/>
        <v>0</v>
      </c>
    </row>
    <row r="130" spans="1:5" ht="20.100000000000001" hidden="1" customHeight="1">
      <c r="A130" s="35">
        <f>'INTERNAL TEST-1  '!A129</f>
        <v>0</v>
      </c>
      <c r="B130" s="35">
        <f>'INTERNAL TEST-1  '!B129</f>
        <v>0</v>
      </c>
      <c r="C130" s="4">
        <f>'INTERNAL TEST-1  '!C129</f>
        <v>0</v>
      </c>
      <c r="D130" s="35"/>
      <c r="E130" s="35">
        <f t="shared" si="4"/>
        <v>0</v>
      </c>
    </row>
    <row r="131" spans="1:5" ht="20.100000000000001" hidden="1" customHeight="1">
      <c r="A131" s="35">
        <f>'INTERNAL TEST-1  '!A130</f>
        <v>0</v>
      </c>
      <c r="B131" s="35">
        <f>'INTERNAL TEST-1  '!B130</f>
        <v>0</v>
      </c>
      <c r="C131" s="4">
        <f>'INTERNAL TEST-1  '!C130</f>
        <v>0</v>
      </c>
      <c r="D131" s="35"/>
      <c r="E131" s="35">
        <f t="shared" si="4"/>
        <v>0</v>
      </c>
    </row>
    <row r="132" spans="1:5" ht="20.100000000000001" hidden="1" customHeight="1">
      <c r="A132" s="35">
        <f>'INTERNAL TEST-1  '!A131</f>
        <v>0</v>
      </c>
      <c r="B132" s="35">
        <f>'INTERNAL TEST-1  '!B131</f>
        <v>0</v>
      </c>
      <c r="C132" s="4">
        <f>'INTERNAL TEST-1  '!C131</f>
        <v>0</v>
      </c>
      <c r="D132" s="35"/>
      <c r="E132" s="35">
        <f t="shared" si="4"/>
        <v>0</v>
      </c>
    </row>
    <row r="133" spans="1:5" ht="20.100000000000001" hidden="1" customHeight="1">
      <c r="A133" s="35">
        <f>'INTERNAL TEST-1  '!A132</f>
        <v>0</v>
      </c>
      <c r="B133" s="35">
        <f>'INTERNAL TEST-1  '!B132</f>
        <v>0</v>
      </c>
      <c r="C133" s="4">
        <f>'INTERNAL TEST-1  '!C132</f>
        <v>0</v>
      </c>
      <c r="D133" s="35"/>
      <c r="E133" s="35">
        <f t="shared" si="4"/>
        <v>0</v>
      </c>
    </row>
    <row r="134" spans="1:5" ht="20.100000000000001" hidden="1" customHeight="1">
      <c r="A134" s="35">
        <f>'INTERNAL TEST-1  '!A133</f>
        <v>0</v>
      </c>
      <c r="B134" s="35">
        <f>'INTERNAL TEST-1  '!B133</f>
        <v>0</v>
      </c>
      <c r="C134" s="4">
        <f>'INTERNAL TEST-1  '!C133</f>
        <v>0</v>
      </c>
      <c r="D134" s="35"/>
      <c r="E134" s="35">
        <f t="shared" si="4"/>
        <v>0</v>
      </c>
    </row>
    <row r="135" spans="1:5" ht="20.100000000000001" hidden="1" customHeight="1">
      <c r="A135" s="35">
        <f>'INTERNAL TEST-1  '!A134</f>
        <v>0</v>
      </c>
      <c r="B135" s="35">
        <f>'INTERNAL TEST-1  '!B134</f>
        <v>0</v>
      </c>
      <c r="C135" s="4">
        <f>'INTERNAL TEST-1  '!C134</f>
        <v>0</v>
      </c>
      <c r="D135" s="35"/>
      <c r="E135" s="35">
        <f t="shared" si="4"/>
        <v>0</v>
      </c>
    </row>
    <row r="136" spans="1:5" ht="20.100000000000001" hidden="1" customHeight="1">
      <c r="A136" s="35">
        <f>'INTERNAL TEST-1  '!A135</f>
        <v>0</v>
      </c>
      <c r="B136" s="35">
        <f>'INTERNAL TEST-1  '!B135</f>
        <v>0</v>
      </c>
      <c r="C136" s="4">
        <f>'INTERNAL TEST-1  '!C135</f>
        <v>0</v>
      </c>
      <c r="D136" s="35"/>
      <c r="E136" s="35">
        <f t="shared" si="4"/>
        <v>0</v>
      </c>
    </row>
    <row r="137" spans="1:5" ht="20.100000000000001" hidden="1" customHeight="1">
      <c r="A137" s="35">
        <f>'INTERNAL TEST-1  '!A136</f>
        <v>0</v>
      </c>
      <c r="B137" s="35">
        <f>'INTERNAL TEST-1  '!B136</f>
        <v>0</v>
      </c>
      <c r="C137" s="4">
        <f>'INTERNAL TEST-1  '!C136</f>
        <v>0</v>
      </c>
      <c r="D137" s="35"/>
      <c r="E137" s="35">
        <f t="shared" si="4"/>
        <v>0</v>
      </c>
    </row>
    <row r="138" spans="1:5" ht="20.100000000000001" hidden="1" customHeight="1">
      <c r="A138" s="35">
        <f>'INTERNAL TEST-1  '!A137</f>
        <v>0</v>
      </c>
      <c r="B138" s="35">
        <f>'INTERNAL TEST-1  '!B137</f>
        <v>0</v>
      </c>
      <c r="C138" s="4">
        <f>'INTERNAL TEST-1  '!C137</f>
        <v>0</v>
      </c>
      <c r="D138" s="35"/>
      <c r="E138" s="35">
        <f t="shared" si="4"/>
        <v>0</v>
      </c>
    </row>
    <row r="139" spans="1:5" ht="20.100000000000001" hidden="1" customHeight="1">
      <c r="A139" s="35">
        <f>'INTERNAL TEST-1  '!A138</f>
        <v>0</v>
      </c>
      <c r="B139" s="35">
        <f>'INTERNAL TEST-1  '!B138</f>
        <v>0</v>
      </c>
      <c r="C139" s="4">
        <f>'INTERNAL TEST-1  '!C138</f>
        <v>0</v>
      </c>
      <c r="D139" s="35"/>
      <c r="E139" s="35">
        <f t="shared" si="4"/>
        <v>0</v>
      </c>
    </row>
    <row r="140" spans="1:5" ht="20.100000000000001" hidden="1" customHeight="1">
      <c r="A140" s="35">
        <f>'INTERNAL TEST-1  '!A139</f>
        <v>0</v>
      </c>
      <c r="B140" s="35">
        <f>'INTERNAL TEST-1  '!B139</f>
        <v>0</v>
      </c>
      <c r="C140" s="4">
        <f>'INTERNAL TEST-1  '!C139</f>
        <v>0</v>
      </c>
      <c r="D140" s="35"/>
      <c r="E140" s="35">
        <f t="shared" ref="E140" si="5">IF(D140="S",95,IF(D140="O",95,IF(D140="A+",87,IF(D140="A",82,IF(D140="B+",IF($E$8="R_2015",75,77),IF(D140="B",IF($E$8="R_2015",65,72),IF(D140="C+",67,IF(D140="C",IF($E$8="R_2015",55,62),IF(D140="D",57,IF(D140="P",IF($E$8="R_2015",45,50),0))))))))))</f>
        <v>0</v>
      </c>
    </row>
    <row r="141" spans="1:5">
      <c r="A141" s="167" t="s">
        <v>95</v>
      </c>
      <c r="B141" s="167"/>
      <c r="C141" s="167"/>
      <c r="D141" s="167"/>
      <c r="E141" s="44">
        <f>COUNTIF(E15:E140,"&gt;="&amp;L4)</f>
        <v>0</v>
      </c>
    </row>
    <row r="142" spans="1:5">
      <c r="A142" s="167" t="s">
        <v>96</v>
      </c>
      <c r="B142" s="167"/>
      <c r="C142" s="167"/>
      <c r="D142" s="167"/>
      <c r="E142" s="44" t="e">
        <f>ROUND(E141/INPUT!B8*100,2)</f>
        <v>#DIV/0!</v>
      </c>
    </row>
    <row r="143" spans="1:5">
      <c r="A143" s="167" t="s">
        <v>77</v>
      </c>
      <c r="B143" s="167"/>
      <c r="C143" s="167"/>
      <c r="D143" s="167"/>
      <c r="E143" s="54" t="e">
        <f>IF(E142&gt;=INPUT!A23,3,IF(AND(E142&gt;=INPUT!A24,E142&lt;INPUT!A23),2,IF(AND(E142&gt;=INPUT!A25,E142&lt;INPUT!A24),1,0)))</f>
        <v>#DIV/0!</v>
      </c>
    </row>
  </sheetData>
  <mergeCells count="15">
    <mergeCell ref="H4:J4"/>
    <mergeCell ref="A143:D143"/>
    <mergeCell ref="A142:D142"/>
    <mergeCell ref="A3:E3"/>
    <mergeCell ref="A2:E2"/>
    <mergeCell ref="A5:C5"/>
    <mergeCell ref="D10:D14"/>
    <mergeCell ref="E10:E14"/>
    <mergeCell ref="A10:A14"/>
    <mergeCell ref="C10:C14"/>
    <mergeCell ref="A141:D141"/>
    <mergeCell ref="B10:B14"/>
    <mergeCell ref="A4:E4"/>
    <mergeCell ref="D6:E6"/>
    <mergeCell ref="D7:E7"/>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39"/>
      <c r="B1" s="39"/>
      <c r="C1" s="39"/>
      <c r="D1" s="39"/>
      <c r="E1" s="39"/>
      <c r="F1" s="39"/>
    </row>
    <row r="2" spans="1:11" ht="16.8">
      <c r="A2" s="176" t="s">
        <v>0</v>
      </c>
      <c r="B2" s="176"/>
      <c r="C2" s="176"/>
      <c r="D2" s="176"/>
      <c r="E2" s="176"/>
      <c r="F2" s="176"/>
    </row>
    <row r="3" spans="1:11" ht="17.399999999999999">
      <c r="A3" s="177">
        <f>INPUT!B2</f>
        <v>0</v>
      </c>
      <c r="B3" s="177"/>
      <c r="C3" s="177"/>
      <c r="D3" s="177"/>
      <c r="E3" s="177"/>
      <c r="F3" s="177"/>
      <c r="H3" s="1" t="s">
        <v>38</v>
      </c>
      <c r="I3" s="1" t="s">
        <v>35</v>
      </c>
    </row>
    <row r="4" spans="1:11" ht="17.399999999999999">
      <c r="A4" s="177" t="s">
        <v>51</v>
      </c>
      <c r="B4" s="177"/>
      <c r="C4" s="177"/>
      <c r="D4" s="177"/>
      <c r="E4" s="177"/>
      <c r="F4" s="177"/>
      <c r="H4" s="1" t="s">
        <v>39</v>
      </c>
      <c r="I4" s="29">
        <v>50</v>
      </c>
    </row>
    <row r="5" spans="1:11" ht="21">
      <c r="A5" s="178" t="s">
        <v>62</v>
      </c>
      <c r="B5" s="178"/>
      <c r="C5" s="52">
        <f>INPUT!B3</f>
        <v>0</v>
      </c>
      <c r="D5" s="52" t="s">
        <v>68</v>
      </c>
      <c r="E5" s="52">
        <f>INPUT!B5</f>
        <v>0</v>
      </c>
      <c r="F5" s="43"/>
      <c r="H5" s="1" t="s">
        <v>40</v>
      </c>
      <c r="I5" s="29">
        <v>80</v>
      </c>
    </row>
    <row r="6" spans="1:11" ht="21" customHeight="1">
      <c r="A6" s="179" t="s">
        <v>37</v>
      </c>
      <c r="B6" s="179"/>
      <c r="C6" s="46">
        <f>INPUT!B4</f>
        <v>0</v>
      </c>
      <c r="D6" s="52" t="s">
        <v>67</v>
      </c>
      <c r="E6" s="178">
        <f>INPUT!B6</f>
        <v>0</v>
      </c>
      <c r="F6" s="178"/>
      <c r="H6" s="1"/>
      <c r="I6" s="33"/>
    </row>
    <row r="7" spans="1:11" ht="21" customHeight="1">
      <c r="A7" s="164" t="s">
        <v>63</v>
      </c>
      <c r="B7" s="164"/>
      <c r="C7" s="164">
        <f>INPUT!B7</f>
        <v>0</v>
      </c>
      <c r="D7" s="164"/>
      <c r="E7" s="50"/>
      <c r="F7" s="50"/>
      <c r="H7" s="1"/>
      <c r="I7" s="33"/>
    </row>
    <row r="8" spans="1:11" ht="21">
      <c r="A8" s="161"/>
      <c r="B8" s="161"/>
      <c r="C8" s="161"/>
      <c r="D8" s="161"/>
      <c r="E8" s="161"/>
      <c r="F8" s="161"/>
      <c r="H8" s="1" t="s">
        <v>41</v>
      </c>
      <c r="I8" s="29">
        <v>60</v>
      </c>
    </row>
    <row r="9" spans="1:11" ht="15.75" customHeight="1">
      <c r="A9" s="173" t="s">
        <v>2</v>
      </c>
      <c r="B9" s="174" t="s">
        <v>55</v>
      </c>
      <c r="C9" s="173" t="s">
        <v>1</v>
      </c>
      <c r="D9" s="180" t="s">
        <v>18</v>
      </c>
      <c r="E9" s="180" t="s">
        <v>36</v>
      </c>
      <c r="F9" s="180" t="s">
        <v>74</v>
      </c>
      <c r="H9" s="181" t="s">
        <v>42</v>
      </c>
      <c r="I9" s="181"/>
      <c r="J9" s="181"/>
      <c r="K9" s="33">
        <v>3</v>
      </c>
    </row>
    <row r="10" spans="1:11">
      <c r="A10" s="173"/>
      <c r="B10" s="174"/>
      <c r="C10" s="173"/>
      <c r="D10" s="180"/>
      <c r="E10" s="180"/>
      <c r="F10" s="180"/>
      <c r="H10" s="181" t="s">
        <v>43</v>
      </c>
      <c r="I10" s="181"/>
      <c r="J10" s="181"/>
      <c r="K10" s="33">
        <v>2</v>
      </c>
    </row>
    <row r="11" spans="1:11">
      <c r="A11" s="173"/>
      <c r="B11" s="174"/>
      <c r="C11" s="173"/>
      <c r="D11" s="180"/>
      <c r="E11" s="180"/>
      <c r="F11" s="180"/>
      <c r="H11" s="181" t="s">
        <v>44</v>
      </c>
      <c r="I11" s="181"/>
      <c r="J11" s="181"/>
      <c r="K11" s="33">
        <v>1</v>
      </c>
    </row>
    <row r="12" spans="1:11">
      <c r="A12" s="173"/>
      <c r="B12" s="174"/>
      <c r="C12" s="173"/>
      <c r="D12" s="180"/>
      <c r="E12" s="180"/>
      <c r="F12" s="180"/>
      <c r="H12" s="181" t="s">
        <v>45</v>
      </c>
      <c r="I12" s="181"/>
      <c r="J12" s="181"/>
      <c r="K12" s="33">
        <v>0</v>
      </c>
    </row>
    <row r="13" spans="1:11">
      <c r="A13" s="173"/>
      <c r="B13" s="174"/>
      <c r="C13" s="173"/>
      <c r="D13" s="180"/>
      <c r="E13" s="180"/>
      <c r="F13" s="180"/>
    </row>
    <row r="14" spans="1:11" ht="20.100000000000001" customHeight="1">
      <c r="A14" s="33">
        <v>1</v>
      </c>
      <c r="B14" s="33">
        <f>'INTERNAL TEST-1  '!B14</f>
        <v>0</v>
      </c>
      <c r="C14" s="4">
        <f>'INTERNAL TEST-1  '!C14</f>
        <v>0</v>
      </c>
      <c r="D14" s="33" t="e">
        <f>'INTERNAL TEST-1  '!U14+#REF!</f>
        <v>#REF!</v>
      </c>
      <c r="E14" s="33" t="e">
        <f>#REF!*10</f>
        <v>#REF!</v>
      </c>
      <c r="F14" s="33">
        <f>'SEMESTER EXAM RESULT'!E15</f>
        <v>0</v>
      </c>
    </row>
    <row r="15" spans="1:11" ht="20.100000000000001" customHeight="1">
      <c r="A15" s="33">
        <v>2</v>
      </c>
      <c r="B15" s="33">
        <f>'INTERNAL TEST-1  '!B15</f>
        <v>0</v>
      </c>
      <c r="C15" s="4">
        <f>'INTERNAL TEST-1  '!C15</f>
        <v>0</v>
      </c>
      <c r="D15" s="33" t="e">
        <f>'INTERNAL TEST-1  '!U15+#REF!</f>
        <v>#REF!</v>
      </c>
      <c r="E15" s="33" t="e">
        <f>#REF!*10</f>
        <v>#REF!</v>
      </c>
      <c r="F15" s="33">
        <f>'SEMESTER EXAM RESULT'!E16</f>
        <v>0</v>
      </c>
    </row>
    <row r="16" spans="1:11" ht="20.100000000000001" customHeight="1">
      <c r="A16" s="33">
        <v>3</v>
      </c>
      <c r="B16" s="33">
        <f>'INTERNAL TEST-1  '!B16</f>
        <v>0</v>
      </c>
      <c r="C16" s="4">
        <f>'INTERNAL TEST-1  '!C16</f>
        <v>0</v>
      </c>
      <c r="D16" s="33" t="e">
        <f>'INTERNAL TEST-1  '!U16+#REF!</f>
        <v>#REF!</v>
      </c>
      <c r="E16" s="33" t="e">
        <f>#REF!*10</f>
        <v>#REF!</v>
      </c>
      <c r="F16" s="33">
        <f>'SEMESTER EXAM RESULT'!E17</f>
        <v>0</v>
      </c>
    </row>
    <row r="17" spans="1:6" ht="20.100000000000001" customHeight="1">
      <c r="A17" s="33">
        <v>4</v>
      </c>
      <c r="B17" s="33">
        <f>'INTERNAL TEST-1  '!B17</f>
        <v>0</v>
      </c>
      <c r="C17" s="4">
        <f>'INTERNAL TEST-1  '!C17</f>
        <v>0</v>
      </c>
      <c r="D17" s="33" t="e">
        <f>'INTERNAL TEST-1  '!U17+#REF!</f>
        <v>#REF!</v>
      </c>
      <c r="E17" s="33" t="e">
        <f>#REF!*10</f>
        <v>#REF!</v>
      </c>
      <c r="F17" s="33">
        <f>'SEMESTER EXAM RESULT'!E18</f>
        <v>0</v>
      </c>
    </row>
    <row r="18" spans="1:6" ht="20.100000000000001" customHeight="1">
      <c r="A18" s="33">
        <v>5</v>
      </c>
      <c r="B18" s="33">
        <f>'INTERNAL TEST-1  '!B18</f>
        <v>0</v>
      </c>
      <c r="C18" s="4">
        <f>'INTERNAL TEST-1  '!C18</f>
        <v>0</v>
      </c>
      <c r="D18" s="33" t="e">
        <f>'INTERNAL TEST-1  '!U18+#REF!</f>
        <v>#REF!</v>
      </c>
      <c r="E18" s="33" t="e">
        <f>#REF!*10</f>
        <v>#REF!</v>
      </c>
      <c r="F18" s="33">
        <f>'SEMESTER EXAM RESULT'!E19</f>
        <v>0</v>
      </c>
    </row>
    <row r="19" spans="1:6" ht="20.100000000000001" customHeight="1">
      <c r="A19" s="33">
        <v>6</v>
      </c>
      <c r="B19" s="33">
        <f>'INTERNAL TEST-1  '!B19</f>
        <v>0</v>
      </c>
      <c r="C19" s="4">
        <f>'INTERNAL TEST-1  '!C19</f>
        <v>0</v>
      </c>
      <c r="D19" s="33" t="e">
        <f>'INTERNAL TEST-1  '!U19+#REF!</f>
        <v>#REF!</v>
      </c>
      <c r="E19" s="33" t="e">
        <f>#REF!*10</f>
        <v>#REF!</v>
      </c>
      <c r="F19" s="33">
        <f>'SEMESTER EXAM RESULT'!E20</f>
        <v>0</v>
      </c>
    </row>
    <row r="20" spans="1:6" ht="20.100000000000001" customHeight="1">
      <c r="A20" s="33">
        <v>7</v>
      </c>
      <c r="B20" s="33">
        <f>'INTERNAL TEST-1  '!B20</f>
        <v>0</v>
      </c>
      <c r="C20" s="4">
        <f>'INTERNAL TEST-1  '!C20</f>
        <v>0</v>
      </c>
      <c r="D20" s="33" t="e">
        <f>'INTERNAL TEST-1  '!U20+#REF!</f>
        <v>#REF!</v>
      </c>
      <c r="E20" s="33" t="e">
        <f>#REF!*10</f>
        <v>#REF!</v>
      </c>
      <c r="F20" s="33">
        <f>'SEMESTER EXAM RESULT'!E81</f>
        <v>0</v>
      </c>
    </row>
    <row r="21" spans="1:6" ht="20.100000000000001" customHeight="1">
      <c r="A21" s="33">
        <v>8</v>
      </c>
      <c r="B21" s="33">
        <f>'INTERNAL TEST-1  '!B21</f>
        <v>0</v>
      </c>
      <c r="C21" s="4">
        <f>'INTERNAL TEST-1  '!C21</f>
        <v>0</v>
      </c>
      <c r="D21" s="33" t="e">
        <f>'INTERNAL TEST-1  '!U21+#REF!</f>
        <v>#REF!</v>
      </c>
      <c r="E21" s="33" t="e">
        <f>#REF!*10</f>
        <v>#REF!</v>
      </c>
      <c r="F21" s="33">
        <f>'SEMESTER EXAM RESULT'!E82</f>
        <v>0</v>
      </c>
    </row>
    <row r="22" spans="1:6" ht="20.100000000000001" customHeight="1">
      <c r="A22" s="33">
        <v>9</v>
      </c>
      <c r="B22" s="33">
        <f>'INTERNAL TEST-1  '!B22</f>
        <v>0</v>
      </c>
      <c r="C22" s="4">
        <f>'INTERNAL TEST-1  '!C22</f>
        <v>0</v>
      </c>
      <c r="D22" s="33" t="e">
        <f>'INTERNAL TEST-1  '!U22+#REF!</f>
        <v>#REF!</v>
      </c>
      <c r="E22" s="33" t="e">
        <f>#REF!*10</f>
        <v>#REF!</v>
      </c>
      <c r="F22" s="33">
        <f>'SEMESTER EXAM RESULT'!E83</f>
        <v>0</v>
      </c>
    </row>
    <row r="23" spans="1:6" ht="20.100000000000001" customHeight="1">
      <c r="A23" s="33">
        <v>10</v>
      </c>
      <c r="B23" s="33">
        <f>'INTERNAL TEST-1  '!B23</f>
        <v>0</v>
      </c>
      <c r="C23" s="4">
        <f>'INTERNAL TEST-1  '!C23</f>
        <v>0</v>
      </c>
      <c r="D23" s="33" t="e">
        <f>'INTERNAL TEST-1  '!U23+#REF!</f>
        <v>#REF!</v>
      </c>
      <c r="E23" s="33" t="e">
        <f>#REF!*10</f>
        <v>#REF!</v>
      </c>
      <c r="F23" s="33">
        <f>'SEMESTER EXAM RESULT'!E84</f>
        <v>0</v>
      </c>
    </row>
    <row r="24" spans="1:6" ht="20.100000000000001" customHeight="1">
      <c r="A24" s="33">
        <v>11</v>
      </c>
      <c r="B24" s="33">
        <f>'INTERNAL TEST-1  '!B24</f>
        <v>0</v>
      </c>
      <c r="C24" s="4">
        <f>'INTERNAL TEST-1  '!C24</f>
        <v>0</v>
      </c>
      <c r="D24" s="33" t="e">
        <f>'INTERNAL TEST-1  '!U24+#REF!</f>
        <v>#REF!</v>
      </c>
      <c r="E24" s="33" t="e">
        <f>#REF!*10</f>
        <v>#REF!</v>
      </c>
      <c r="F24" s="33">
        <f>'SEMESTER EXAM RESULT'!E85</f>
        <v>0</v>
      </c>
    </row>
    <row r="25" spans="1:6" ht="20.100000000000001" customHeight="1">
      <c r="A25" s="33">
        <v>12</v>
      </c>
      <c r="B25" s="33">
        <f>'INTERNAL TEST-1  '!B25</f>
        <v>0</v>
      </c>
      <c r="C25" s="4">
        <f>'INTERNAL TEST-1  '!C25</f>
        <v>0</v>
      </c>
      <c r="D25" s="33" t="e">
        <f>'INTERNAL TEST-1  '!U25+#REF!</f>
        <v>#REF!</v>
      </c>
      <c r="E25" s="33" t="e">
        <f>#REF!*10</f>
        <v>#REF!</v>
      </c>
      <c r="F25" s="33">
        <f>'SEMESTER EXAM RESULT'!E86</f>
        <v>0</v>
      </c>
    </row>
    <row r="26" spans="1:6" ht="20.100000000000001" customHeight="1">
      <c r="A26" s="33">
        <v>13</v>
      </c>
      <c r="B26" s="33">
        <f>'INTERNAL TEST-1  '!B26</f>
        <v>0</v>
      </c>
      <c r="C26" s="4">
        <f>'INTERNAL TEST-1  '!C26</f>
        <v>0</v>
      </c>
      <c r="D26" s="33" t="e">
        <f>'INTERNAL TEST-1  '!U26+#REF!</f>
        <v>#REF!</v>
      </c>
      <c r="E26" s="33" t="e">
        <f>#REF!*10</f>
        <v>#REF!</v>
      </c>
      <c r="F26" s="33">
        <f>'SEMESTER EXAM RESULT'!E87</f>
        <v>0</v>
      </c>
    </row>
    <row r="27" spans="1:6" ht="20.100000000000001" customHeight="1">
      <c r="A27" s="33">
        <v>14</v>
      </c>
      <c r="B27" s="33">
        <f>'INTERNAL TEST-1  '!B27</f>
        <v>0</v>
      </c>
      <c r="C27" s="4">
        <f>'INTERNAL TEST-1  '!C27</f>
        <v>0</v>
      </c>
      <c r="D27" s="33" t="e">
        <f>'INTERNAL TEST-1  '!U27+#REF!</f>
        <v>#REF!</v>
      </c>
      <c r="E27" s="33" t="e">
        <f>#REF!*10</f>
        <v>#REF!</v>
      </c>
      <c r="F27" s="33">
        <f>'SEMESTER EXAM RESULT'!E88</f>
        <v>0</v>
      </c>
    </row>
    <row r="28" spans="1:6" ht="20.100000000000001" customHeight="1">
      <c r="A28" s="33">
        <v>15</v>
      </c>
      <c r="B28" s="33">
        <f>'INTERNAL TEST-1  '!B28</f>
        <v>0</v>
      </c>
      <c r="C28" s="4">
        <f>'INTERNAL TEST-1  '!C28</f>
        <v>0</v>
      </c>
      <c r="D28" s="33" t="e">
        <f>'INTERNAL TEST-1  '!U28+#REF!</f>
        <v>#REF!</v>
      </c>
      <c r="E28" s="33" t="e">
        <f>#REF!*10</f>
        <v>#REF!</v>
      </c>
      <c r="F28" s="33">
        <f>'SEMESTER EXAM RESULT'!E89</f>
        <v>0</v>
      </c>
    </row>
    <row r="29" spans="1:6" ht="20.100000000000001" customHeight="1">
      <c r="A29" s="33">
        <v>16</v>
      </c>
      <c r="B29" s="33">
        <f>'INTERNAL TEST-1  '!B29</f>
        <v>0</v>
      </c>
      <c r="C29" s="4">
        <f>'INTERNAL TEST-1  '!C29</f>
        <v>0</v>
      </c>
      <c r="D29" s="33" t="e">
        <f>'INTERNAL TEST-1  '!U29+#REF!</f>
        <v>#REF!</v>
      </c>
      <c r="E29" s="33" t="e">
        <f>#REF!*10</f>
        <v>#REF!</v>
      </c>
      <c r="F29" s="33">
        <f>'SEMESTER EXAM RESULT'!E90</f>
        <v>0</v>
      </c>
    </row>
    <row r="30" spans="1:6" ht="20.100000000000001" customHeight="1">
      <c r="A30" s="33">
        <v>17</v>
      </c>
      <c r="B30" s="33">
        <f>'INTERNAL TEST-1  '!B30</f>
        <v>0</v>
      </c>
      <c r="C30" s="4">
        <f>'INTERNAL TEST-1  '!C30</f>
        <v>0</v>
      </c>
      <c r="D30" s="33" t="e">
        <f>'INTERNAL TEST-1  '!U30+#REF!</f>
        <v>#REF!</v>
      </c>
      <c r="E30" s="33" t="e">
        <f>#REF!*10</f>
        <v>#REF!</v>
      </c>
      <c r="F30" s="33">
        <f>'SEMESTER EXAM RESULT'!E91</f>
        <v>0</v>
      </c>
    </row>
    <row r="31" spans="1:6" ht="20.100000000000001" customHeight="1">
      <c r="A31" s="33">
        <v>18</v>
      </c>
      <c r="B31" s="33">
        <f>'INTERNAL TEST-1  '!B31</f>
        <v>0</v>
      </c>
      <c r="C31" s="4">
        <f>'INTERNAL TEST-1  '!C31</f>
        <v>0</v>
      </c>
      <c r="D31" s="33" t="e">
        <f>'INTERNAL TEST-1  '!U31+#REF!</f>
        <v>#REF!</v>
      </c>
      <c r="E31" s="33" t="e">
        <f>#REF!*10</f>
        <v>#REF!</v>
      </c>
      <c r="F31" s="33">
        <f>'SEMESTER EXAM RESULT'!E92</f>
        <v>0</v>
      </c>
    </row>
    <row r="32" spans="1:6" ht="20.100000000000001" customHeight="1">
      <c r="A32" s="33">
        <v>19</v>
      </c>
      <c r="B32" s="33">
        <f>'INTERNAL TEST-1  '!B32</f>
        <v>0</v>
      </c>
      <c r="C32" s="4">
        <f>'INTERNAL TEST-1  '!C32</f>
        <v>0</v>
      </c>
      <c r="D32" s="33" t="e">
        <f>'INTERNAL TEST-1  '!U32+#REF!</f>
        <v>#REF!</v>
      </c>
      <c r="E32" s="33" t="e">
        <f>#REF!*10</f>
        <v>#REF!</v>
      </c>
      <c r="F32" s="33">
        <f>'SEMESTER EXAM RESULT'!E93</f>
        <v>0</v>
      </c>
    </row>
    <row r="33" spans="1:6" ht="20.100000000000001" customHeight="1">
      <c r="A33" s="33">
        <v>20</v>
      </c>
      <c r="B33" s="33">
        <f>'INTERNAL TEST-1  '!B33</f>
        <v>0</v>
      </c>
      <c r="C33" s="4">
        <f>'INTERNAL TEST-1  '!C33</f>
        <v>0</v>
      </c>
      <c r="D33" s="33" t="e">
        <f>'INTERNAL TEST-1  '!U33+#REF!</f>
        <v>#REF!</v>
      </c>
      <c r="E33" s="33" t="e">
        <f>#REF!*10</f>
        <v>#REF!</v>
      </c>
      <c r="F33" s="33">
        <f>'SEMESTER EXAM RESULT'!E94</f>
        <v>0</v>
      </c>
    </row>
    <row r="34" spans="1:6" ht="20.100000000000001" customHeight="1">
      <c r="A34" s="33">
        <v>21</v>
      </c>
      <c r="B34" s="33">
        <f>'INTERNAL TEST-1  '!B34</f>
        <v>0</v>
      </c>
      <c r="C34" s="4">
        <f>'INTERNAL TEST-1  '!C34</f>
        <v>0</v>
      </c>
      <c r="D34" s="33" t="e">
        <f>'INTERNAL TEST-1  '!U34+#REF!</f>
        <v>#REF!</v>
      </c>
      <c r="E34" s="33" t="e">
        <f>#REF!*10</f>
        <v>#REF!</v>
      </c>
      <c r="F34" s="33">
        <f>'SEMESTER EXAM RESULT'!E95</f>
        <v>0</v>
      </c>
    </row>
    <row r="35" spans="1:6" ht="20.100000000000001" customHeight="1">
      <c r="A35" s="33">
        <v>22</v>
      </c>
      <c r="B35" s="33">
        <f>'INTERNAL TEST-1  '!B35</f>
        <v>0</v>
      </c>
      <c r="C35" s="4">
        <f>'INTERNAL TEST-1  '!C35</f>
        <v>0</v>
      </c>
      <c r="D35" s="33" t="e">
        <f>'INTERNAL TEST-1  '!U35+#REF!</f>
        <v>#REF!</v>
      </c>
      <c r="E35" s="33" t="e">
        <f>#REF!*10</f>
        <v>#REF!</v>
      </c>
      <c r="F35" s="33">
        <f>'SEMESTER EXAM RESULT'!E96</f>
        <v>0</v>
      </c>
    </row>
    <row r="36" spans="1:6" ht="20.100000000000001" customHeight="1">
      <c r="A36" s="33">
        <v>23</v>
      </c>
      <c r="B36" s="33">
        <f>'INTERNAL TEST-1  '!B36</f>
        <v>0</v>
      </c>
      <c r="C36" s="4">
        <f>'INTERNAL TEST-1  '!C36</f>
        <v>0</v>
      </c>
      <c r="D36" s="33" t="e">
        <f>'INTERNAL TEST-1  '!U36+#REF!</f>
        <v>#REF!</v>
      </c>
      <c r="E36" s="33" t="e">
        <f>#REF!*10</f>
        <v>#REF!</v>
      </c>
      <c r="F36" s="33">
        <f>'SEMESTER EXAM RESULT'!E97</f>
        <v>0</v>
      </c>
    </row>
    <row r="37" spans="1:6" ht="20.100000000000001" customHeight="1">
      <c r="A37" s="33">
        <v>24</v>
      </c>
      <c r="B37" s="33">
        <f>'INTERNAL TEST-1  '!B37</f>
        <v>0</v>
      </c>
      <c r="C37" s="4">
        <f>'INTERNAL TEST-1  '!C37</f>
        <v>0</v>
      </c>
      <c r="D37" s="33" t="e">
        <f>'INTERNAL TEST-1  '!U37+#REF!</f>
        <v>#REF!</v>
      </c>
      <c r="E37" s="33" t="e">
        <f>#REF!*10</f>
        <v>#REF!</v>
      </c>
      <c r="F37" s="33">
        <f>'SEMESTER EXAM RESULT'!E98</f>
        <v>0</v>
      </c>
    </row>
    <row r="38" spans="1:6" ht="20.100000000000001" customHeight="1">
      <c r="A38" s="33">
        <v>25</v>
      </c>
      <c r="B38" s="33">
        <f>'INTERNAL TEST-1  '!B38</f>
        <v>0</v>
      </c>
      <c r="C38" s="4">
        <f>'INTERNAL TEST-1  '!C38</f>
        <v>0</v>
      </c>
      <c r="D38" s="33" t="e">
        <f>'INTERNAL TEST-1  '!U38+#REF!</f>
        <v>#REF!</v>
      </c>
      <c r="E38" s="33" t="e">
        <f>#REF!*10</f>
        <v>#REF!</v>
      </c>
      <c r="F38" s="33">
        <f>'SEMESTER EXAM RESULT'!E99</f>
        <v>0</v>
      </c>
    </row>
    <row r="39" spans="1:6" ht="20.100000000000001" customHeight="1">
      <c r="A39" s="33">
        <v>26</v>
      </c>
      <c r="B39" s="33">
        <f>'INTERNAL TEST-1  '!B39</f>
        <v>0</v>
      </c>
      <c r="C39" s="4">
        <f>'INTERNAL TEST-1  '!C39</f>
        <v>0</v>
      </c>
      <c r="D39" s="33" t="e">
        <f>'INTERNAL TEST-1  '!U39+#REF!</f>
        <v>#REF!</v>
      </c>
      <c r="E39" s="33" t="e">
        <f>#REF!*10</f>
        <v>#REF!</v>
      </c>
      <c r="F39" s="33">
        <f>'SEMESTER EXAM RESULT'!E100</f>
        <v>0</v>
      </c>
    </row>
    <row r="40" spans="1:6" ht="20.100000000000001" customHeight="1">
      <c r="A40" s="33">
        <v>27</v>
      </c>
      <c r="B40" s="33">
        <f>'INTERNAL TEST-1  '!B40</f>
        <v>0</v>
      </c>
      <c r="C40" s="4">
        <f>'INTERNAL TEST-1  '!C40</f>
        <v>0</v>
      </c>
      <c r="D40" s="33" t="e">
        <f>'INTERNAL TEST-1  '!U40+#REF!</f>
        <v>#REF!</v>
      </c>
      <c r="E40" s="33" t="e">
        <f>#REF!*10</f>
        <v>#REF!</v>
      </c>
      <c r="F40" s="33">
        <f>'SEMESTER EXAM RESULT'!E101</f>
        <v>0</v>
      </c>
    </row>
    <row r="41" spans="1:6" ht="20.100000000000001" customHeight="1">
      <c r="A41" s="33">
        <v>28</v>
      </c>
      <c r="B41" s="33">
        <f>'INTERNAL TEST-1  '!B41</f>
        <v>0</v>
      </c>
      <c r="C41" s="4">
        <f>'INTERNAL TEST-1  '!C41</f>
        <v>0</v>
      </c>
      <c r="D41" s="33" t="e">
        <f>'INTERNAL TEST-1  '!U41+#REF!</f>
        <v>#REF!</v>
      </c>
      <c r="E41" s="33" t="e">
        <f>#REF!*10</f>
        <v>#REF!</v>
      </c>
      <c r="F41" s="33">
        <f>'SEMESTER EXAM RESULT'!E102</f>
        <v>0</v>
      </c>
    </row>
    <row r="42" spans="1:6" ht="20.100000000000001" customHeight="1">
      <c r="A42" s="33">
        <v>29</v>
      </c>
      <c r="B42" s="33">
        <f>'INTERNAL TEST-1  '!B42</f>
        <v>0</v>
      </c>
      <c r="C42" s="4">
        <f>'INTERNAL TEST-1  '!C42</f>
        <v>0</v>
      </c>
      <c r="D42" s="33" t="e">
        <f>'INTERNAL TEST-1  '!U42+#REF!</f>
        <v>#REF!</v>
      </c>
      <c r="E42" s="33" t="e">
        <f>#REF!*10</f>
        <v>#REF!</v>
      </c>
      <c r="F42" s="33">
        <f>'SEMESTER EXAM RESULT'!E103</f>
        <v>0</v>
      </c>
    </row>
    <row r="43" spans="1:6" ht="20.100000000000001" customHeight="1">
      <c r="A43" s="33">
        <v>30</v>
      </c>
      <c r="B43" s="33">
        <f>'INTERNAL TEST-1  '!B43</f>
        <v>0</v>
      </c>
      <c r="C43" s="4">
        <f>'INTERNAL TEST-1  '!C43</f>
        <v>0</v>
      </c>
      <c r="D43" s="33" t="e">
        <f>'INTERNAL TEST-1  '!U43+#REF!</f>
        <v>#REF!</v>
      </c>
      <c r="E43" s="33" t="e">
        <f>#REF!*10</f>
        <v>#REF!</v>
      </c>
      <c r="F43" s="33">
        <f>'SEMESTER EXAM RESULT'!E104</f>
        <v>0</v>
      </c>
    </row>
    <row r="44" spans="1:6" ht="20.100000000000001" customHeight="1">
      <c r="A44" s="33">
        <v>31</v>
      </c>
      <c r="B44" s="33">
        <f>'INTERNAL TEST-1  '!B44</f>
        <v>0</v>
      </c>
      <c r="C44" s="4">
        <f>'INTERNAL TEST-1  '!C44</f>
        <v>0</v>
      </c>
      <c r="D44" s="33" t="e">
        <f>'INTERNAL TEST-1  '!U44+#REF!</f>
        <v>#REF!</v>
      </c>
      <c r="E44" s="33" t="e">
        <f>#REF!*10</f>
        <v>#REF!</v>
      </c>
      <c r="F44" s="33">
        <f>'SEMESTER EXAM RESULT'!E105</f>
        <v>0</v>
      </c>
    </row>
    <row r="45" spans="1:6" ht="20.100000000000001" customHeight="1">
      <c r="A45" s="33">
        <v>32</v>
      </c>
      <c r="B45" s="33">
        <f>'INTERNAL TEST-1  '!B45</f>
        <v>0</v>
      </c>
      <c r="C45" s="4">
        <f>'INTERNAL TEST-1  '!C45</f>
        <v>0</v>
      </c>
      <c r="D45" s="33" t="e">
        <f>'INTERNAL TEST-1  '!U45+#REF!</f>
        <v>#REF!</v>
      </c>
      <c r="E45" s="33" t="e">
        <f>#REF!*10</f>
        <v>#REF!</v>
      </c>
      <c r="F45" s="33">
        <f>'SEMESTER EXAM RESULT'!E106</f>
        <v>0</v>
      </c>
    </row>
    <row r="46" spans="1:6" ht="20.100000000000001" customHeight="1">
      <c r="A46" s="33">
        <v>33</v>
      </c>
      <c r="B46" s="33">
        <f>'INTERNAL TEST-1  '!B46</f>
        <v>0</v>
      </c>
      <c r="C46" s="4">
        <f>'INTERNAL TEST-1  '!C46</f>
        <v>0</v>
      </c>
      <c r="D46" s="33" t="e">
        <f>'INTERNAL TEST-1  '!U46+#REF!</f>
        <v>#REF!</v>
      </c>
      <c r="E46" s="33" t="e">
        <f>#REF!*10</f>
        <v>#REF!</v>
      </c>
      <c r="F46" s="33">
        <f>'SEMESTER EXAM RESULT'!E107</f>
        <v>0</v>
      </c>
    </row>
    <row r="47" spans="1:6" ht="20.100000000000001" customHeight="1">
      <c r="A47" s="33">
        <v>34</v>
      </c>
      <c r="B47" s="33">
        <f>'INTERNAL TEST-1  '!B47</f>
        <v>0</v>
      </c>
      <c r="C47" s="4">
        <f>'INTERNAL TEST-1  '!C47</f>
        <v>0</v>
      </c>
      <c r="D47" s="33" t="e">
        <f>'INTERNAL TEST-1  '!U47+#REF!</f>
        <v>#REF!</v>
      </c>
      <c r="E47" s="33" t="e">
        <f>#REF!*10</f>
        <v>#REF!</v>
      </c>
      <c r="F47" s="33">
        <f>'SEMESTER EXAM RESULT'!E108</f>
        <v>0</v>
      </c>
    </row>
    <row r="48" spans="1:6" ht="20.100000000000001" customHeight="1">
      <c r="A48" s="33">
        <v>35</v>
      </c>
      <c r="B48" s="33">
        <f>'INTERNAL TEST-1  '!B48</f>
        <v>0</v>
      </c>
      <c r="C48" s="4">
        <f>'INTERNAL TEST-1  '!C48</f>
        <v>0</v>
      </c>
      <c r="D48" s="33" t="e">
        <f>'INTERNAL TEST-1  '!U48+#REF!</f>
        <v>#REF!</v>
      </c>
      <c r="E48" s="33" t="e">
        <f>#REF!*10</f>
        <v>#REF!</v>
      </c>
      <c r="F48" s="33">
        <f>'SEMESTER EXAM RESULT'!E109</f>
        <v>0</v>
      </c>
    </row>
    <row r="49" spans="1:6" ht="20.100000000000001" customHeight="1">
      <c r="A49" s="33">
        <v>36</v>
      </c>
      <c r="B49" s="33">
        <f>'INTERNAL TEST-1  '!B49</f>
        <v>0</v>
      </c>
      <c r="C49" s="4">
        <f>'INTERNAL TEST-1  '!C49</f>
        <v>0</v>
      </c>
      <c r="D49" s="33" t="e">
        <f>'INTERNAL TEST-1  '!U49+#REF!</f>
        <v>#REF!</v>
      </c>
      <c r="E49" s="33" t="e">
        <f>#REF!*10</f>
        <v>#REF!</v>
      </c>
      <c r="F49" s="33">
        <f>'SEMESTER EXAM RESULT'!E110</f>
        <v>0</v>
      </c>
    </row>
    <row r="50" spans="1:6" ht="20.100000000000001" customHeight="1">
      <c r="A50" s="33">
        <v>37</v>
      </c>
      <c r="B50" s="33">
        <f>'INTERNAL TEST-1  '!B50</f>
        <v>0</v>
      </c>
      <c r="C50" s="4">
        <f>'INTERNAL TEST-1  '!C50</f>
        <v>0</v>
      </c>
      <c r="D50" s="33" t="e">
        <f>'INTERNAL TEST-1  '!U50+#REF!</f>
        <v>#REF!</v>
      </c>
      <c r="E50" s="33" t="e">
        <f>#REF!*10</f>
        <v>#REF!</v>
      </c>
      <c r="F50" s="33">
        <f>'SEMESTER EXAM RESULT'!E111</f>
        <v>0</v>
      </c>
    </row>
    <row r="51" spans="1:6" ht="20.100000000000001" customHeight="1">
      <c r="A51" s="33">
        <v>38</v>
      </c>
      <c r="B51" s="33">
        <f>'INTERNAL TEST-1  '!B51</f>
        <v>0</v>
      </c>
      <c r="C51" s="4">
        <f>'INTERNAL TEST-1  '!C51</f>
        <v>0</v>
      </c>
      <c r="D51" s="33" t="e">
        <f>'INTERNAL TEST-1  '!U51+#REF!</f>
        <v>#REF!</v>
      </c>
      <c r="E51" s="33" t="e">
        <f>#REF!*10</f>
        <v>#REF!</v>
      </c>
      <c r="F51" s="33">
        <f>'SEMESTER EXAM RESULT'!E112</f>
        <v>0</v>
      </c>
    </row>
    <row r="52" spans="1:6" ht="20.100000000000001" customHeight="1">
      <c r="A52" s="33">
        <v>39</v>
      </c>
      <c r="B52" s="33">
        <f>'INTERNAL TEST-1  '!B52</f>
        <v>0</v>
      </c>
      <c r="C52" s="4">
        <f>'INTERNAL TEST-1  '!C52</f>
        <v>0</v>
      </c>
      <c r="D52" s="33" t="e">
        <f>'INTERNAL TEST-1  '!U52+#REF!</f>
        <v>#REF!</v>
      </c>
      <c r="E52" s="33" t="e">
        <f>#REF!*10</f>
        <v>#REF!</v>
      </c>
      <c r="F52" s="33">
        <f>'SEMESTER EXAM RESULT'!E113</f>
        <v>0</v>
      </c>
    </row>
    <row r="53" spans="1:6" ht="20.100000000000001" customHeight="1">
      <c r="A53" s="33">
        <v>40</v>
      </c>
      <c r="B53" s="33">
        <f>'INTERNAL TEST-1  '!B53</f>
        <v>0</v>
      </c>
      <c r="C53" s="4">
        <f>'INTERNAL TEST-1  '!C53</f>
        <v>0</v>
      </c>
      <c r="D53" s="33" t="e">
        <f>'INTERNAL TEST-1  '!U53+#REF!</f>
        <v>#REF!</v>
      </c>
      <c r="E53" s="33" t="e">
        <f>#REF!*10</f>
        <v>#REF!</v>
      </c>
      <c r="F53" s="33">
        <f>'SEMESTER EXAM RESULT'!E114</f>
        <v>0</v>
      </c>
    </row>
    <row r="54" spans="1:6" ht="20.100000000000001" customHeight="1">
      <c r="A54" s="33">
        <v>41</v>
      </c>
      <c r="B54" s="33">
        <f>'INTERNAL TEST-1  '!B54</f>
        <v>0</v>
      </c>
      <c r="C54" s="4">
        <f>'INTERNAL TEST-1  '!C54</f>
        <v>0</v>
      </c>
      <c r="D54" s="33" t="e">
        <f>'INTERNAL TEST-1  '!U54+#REF!</f>
        <v>#REF!</v>
      </c>
      <c r="E54" s="33" t="e">
        <f>#REF!*10</f>
        <v>#REF!</v>
      </c>
      <c r="F54" s="33">
        <f>'SEMESTER EXAM RESULT'!E115</f>
        <v>0</v>
      </c>
    </row>
    <row r="55" spans="1:6" ht="20.100000000000001" customHeight="1">
      <c r="A55" s="33">
        <v>42</v>
      </c>
      <c r="B55" s="33">
        <f>'INTERNAL TEST-1  '!B55</f>
        <v>0</v>
      </c>
      <c r="C55" s="4">
        <f>'INTERNAL TEST-1  '!C55</f>
        <v>0</v>
      </c>
      <c r="D55" s="33" t="e">
        <f>'INTERNAL TEST-1  '!U55+#REF!</f>
        <v>#REF!</v>
      </c>
      <c r="E55" s="33" t="e">
        <f>#REF!*10</f>
        <v>#REF!</v>
      </c>
      <c r="F55" s="33">
        <f>'SEMESTER EXAM RESULT'!E116</f>
        <v>0</v>
      </c>
    </row>
    <row r="56" spans="1:6" ht="20.100000000000001" customHeight="1">
      <c r="A56" s="33">
        <v>43</v>
      </c>
      <c r="B56" s="33">
        <f>'INTERNAL TEST-1  '!B56</f>
        <v>0</v>
      </c>
      <c r="C56" s="4">
        <f>'INTERNAL TEST-1  '!C56</f>
        <v>0</v>
      </c>
      <c r="D56" s="33" t="e">
        <f>'INTERNAL TEST-1  '!U56+#REF!</f>
        <v>#REF!</v>
      </c>
      <c r="E56" s="33" t="e">
        <f>#REF!*10</f>
        <v>#REF!</v>
      </c>
      <c r="F56" s="33">
        <f>'SEMESTER EXAM RESULT'!E117</f>
        <v>0</v>
      </c>
    </row>
    <row r="57" spans="1:6" ht="20.100000000000001" customHeight="1">
      <c r="A57" s="33">
        <v>44</v>
      </c>
      <c r="B57" s="33">
        <f>'INTERNAL TEST-1  '!B57</f>
        <v>0</v>
      </c>
      <c r="C57" s="4">
        <f>'INTERNAL TEST-1  '!C57</f>
        <v>0</v>
      </c>
      <c r="D57" s="33" t="e">
        <f>'INTERNAL TEST-1  '!U57+#REF!</f>
        <v>#REF!</v>
      </c>
      <c r="E57" s="33" t="e">
        <f>#REF!*10</f>
        <v>#REF!</v>
      </c>
      <c r="F57" s="33">
        <f>'SEMESTER EXAM RESULT'!E118</f>
        <v>0</v>
      </c>
    </row>
    <row r="58" spans="1:6" ht="30" customHeight="1">
      <c r="A58" s="33">
        <v>45</v>
      </c>
      <c r="B58" s="33">
        <f>'INTERNAL TEST-1  '!B58</f>
        <v>0</v>
      </c>
      <c r="C58" s="4">
        <f>'INTERNAL TEST-1  '!C58</f>
        <v>0</v>
      </c>
      <c r="D58" s="33" t="e">
        <f>'INTERNAL TEST-1  '!U58+#REF!</f>
        <v>#REF!</v>
      </c>
      <c r="E58" s="33" t="e">
        <f>#REF!*10</f>
        <v>#REF!</v>
      </c>
      <c r="F58" s="33">
        <f>'SEMESTER EXAM RESULT'!E119</f>
        <v>0</v>
      </c>
    </row>
    <row r="59" spans="1:6" ht="20.100000000000001" customHeight="1">
      <c r="A59" s="33">
        <v>46</v>
      </c>
      <c r="B59" s="33">
        <f>'INTERNAL TEST-1  '!B59</f>
        <v>0</v>
      </c>
      <c r="C59" s="4">
        <f>'INTERNAL TEST-1  '!C59</f>
        <v>0</v>
      </c>
      <c r="D59" s="33" t="e">
        <f>'INTERNAL TEST-1  '!U59+#REF!</f>
        <v>#REF!</v>
      </c>
      <c r="E59" s="33" t="e">
        <f>#REF!*10</f>
        <v>#REF!</v>
      </c>
      <c r="F59" s="33">
        <f>'SEMESTER EXAM RESULT'!E120</f>
        <v>0</v>
      </c>
    </row>
    <row r="60" spans="1:6" ht="20.100000000000001" customHeight="1">
      <c r="A60" s="33">
        <v>47</v>
      </c>
      <c r="B60" s="33">
        <f>'INTERNAL TEST-1  '!B60</f>
        <v>0</v>
      </c>
      <c r="C60" s="4">
        <f>'INTERNAL TEST-1  '!C60</f>
        <v>0</v>
      </c>
      <c r="D60" s="33" t="e">
        <f>'INTERNAL TEST-1  '!U60+#REF!</f>
        <v>#REF!</v>
      </c>
      <c r="E60" s="33" t="e">
        <f>#REF!*10</f>
        <v>#REF!</v>
      </c>
      <c r="F60" s="33">
        <f>'SEMESTER EXAM RESULT'!E121</f>
        <v>0</v>
      </c>
    </row>
    <row r="61" spans="1:6" ht="20.100000000000001" customHeight="1">
      <c r="A61" s="33">
        <v>48</v>
      </c>
      <c r="B61" s="33">
        <f>'INTERNAL TEST-1  '!B61</f>
        <v>0</v>
      </c>
      <c r="C61" s="4">
        <f>'INTERNAL TEST-1  '!C61</f>
        <v>0</v>
      </c>
      <c r="D61" s="33" t="e">
        <f>'INTERNAL TEST-1  '!U61+#REF!</f>
        <v>#REF!</v>
      </c>
      <c r="E61" s="33" t="e">
        <f>#REF!*10</f>
        <v>#REF!</v>
      </c>
      <c r="F61" s="33">
        <f>'SEMESTER EXAM RESULT'!E122</f>
        <v>0</v>
      </c>
    </row>
    <row r="62" spans="1:6" ht="20.100000000000001" customHeight="1">
      <c r="A62" s="33">
        <v>49</v>
      </c>
      <c r="B62" s="33">
        <f>'INTERNAL TEST-1  '!B62</f>
        <v>0</v>
      </c>
      <c r="C62" s="4">
        <f>'INTERNAL TEST-1  '!C62</f>
        <v>0</v>
      </c>
      <c r="D62" s="33" t="e">
        <f>'INTERNAL TEST-1  '!U62+#REF!</f>
        <v>#REF!</v>
      </c>
      <c r="E62" s="33" t="e">
        <f>#REF!*10</f>
        <v>#REF!</v>
      </c>
      <c r="F62" s="33">
        <f>'SEMESTER EXAM RESULT'!E123</f>
        <v>0</v>
      </c>
    </row>
    <row r="63" spans="1:6" ht="20.100000000000001" customHeight="1">
      <c r="A63" s="33">
        <v>50</v>
      </c>
      <c r="B63" s="33">
        <f>'INTERNAL TEST-1  '!B63</f>
        <v>0</v>
      </c>
      <c r="C63" s="4">
        <f>'INTERNAL TEST-1  '!C63</f>
        <v>0</v>
      </c>
      <c r="D63" s="33" t="e">
        <f>'INTERNAL TEST-1  '!U63+#REF!</f>
        <v>#REF!</v>
      </c>
      <c r="E63" s="33" t="e">
        <f>#REF!*10</f>
        <v>#REF!</v>
      </c>
      <c r="F63" s="33">
        <f>'SEMESTER EXAM RESULT'!E124</f>
        <v>0</v>
      </c>
    </row>
    <row r="64" spans="1:6" ht="20.100000000000001" customHeight="1">
      <c r="A64" s="33">
        <v>51</v>
      </c>
      <c r="B64" s="33">
        <f>'INTERNAL TEST-1  '!B64</f>
        <v>0</v>
      </c>
      <c r="C64" s="4">
        <f>'INTERNAL TEST-1  '!C64</f>
        <v>0</v>
      </c>
      <c r="D64" s="33" t="e">
        <f>'INTERNAL TEST-1  '!U64+#REF!</f>
        <v>#REF!</v>
      </c>
      <c r="E64" s="33" t="e">
        <f>#REF!*10</f>
        <v>#REF!</v>
      </c>
      <c r="F64" s="33">
        <f>'SEMESTER EXAM RESULT'!E125</f>
        <v>0</v>
      </c>
    </row>
    <row r="65" spans="1:6" ht="20.100000000000001" customHeight="1">
      <c r="A65" s="33">
        <v>52</v>
      </c>
      <c r="B65" s="33">
        <f>'INTERNAL TEST-1  '!B65</f>
        <v>0</v>
      </c>
      <c r="C65" s="4">
        <f>'INTERNAL TEST-1  '!C65</f>
        <v>0</v>
      </c>
      <c r="D65" s="33" t="e">
        <f>'INTERNAL TEST-1  '!U65+#REF!</f>
        <v>#REF!</v>
      </c>
      <c r="E65" s="33" t="e">
        <f>#REF!*10</f>
        <v>#REF!</v>
      </c>
      <c r="F65" s="33">
        <f>'SEMESTER EXAM RESULT'!E126</f>
        <v>0</v>
      </c>
    </row>
    <row r="66" spans="1:6" ht="20.100000000000001" customHeight="1">
      <c r="A66" s="33">
        <v>53</v>
      </c>
      <c r="B66" s="33">
        <f>'INTERNAL TEST-1  '!B66</f>
        <v>0</v>
      </c>
      <c r="C66" s="4">
        <f>'INTERNAL TEST-1  '!C66</f>
        <v>0</v>
      </c>
      <c r="D66" s="33" t="e">
        <f>'INTERNAL TEST-1  '!U66+#REF!</f>
        <v>#REF!</v>
      </c>
      <c r="E66" s="33" t="e">
        <f>#REF!*10</f>
        <v>#REF!</v>
      </c>
      <c r="F66" s="33">
        <f>'SEMESTER EXAM RESULT'!E127</f>
        <v>0</v>
      </c>
    </row>
    <row r="67" spans="1:6" ht="20.100000000000001" customHeight="1">
      <c r="A67" s="33">
        <v>54</v>
      </c>
      <c r="B67" s="33">
        <f>'INTERNAL TEST-1  '!B67</f>
        <v>0</v>
      </c>
      <c r="C67" s="4">
        <f>'INTERNAL TEST-1  '!C67</f>
        <v>0</v>
      </c>
      <c r="D67" s="33" t="e">
        <f>'INTERNAL TEST-1  '!U67+#REF!</f>
        <v>#REF!</v>
      </c>
      <c r="E67" s="33" t="e">
        <f>#REF!*10</f>
        <v>#REF!</v>
      </c>
      <c r="F67" s="33">
        <f>'SEMESTER EXAM RESULT'!E128</f>
        <v>0</v>
      </c>
    </row>
    <row r="68" spans="1:6" ht="20.100000000000001" customHeight="1">
      <c r="A68" s="33">
        <v>55</v>
      </c>
      <c r="B68" s="33">
        <f>'INTERNAL TEST-1  '!B68</f>
        <v>0</v>
      </c>
      <c r="C68" s="4">
        <f>'INTERNAL TEST-1  '!C68</f>
        <v>0</v>
      </c>
      <c r="D68" s="33" t="e">
        <f>'INTERNAL TEST-1  '!U68+#REF!</f>
        <v>#REF!</v>
      </c>
      <c r="E68" s="33" t="e">
        <f>#REF!*10</f>
        <v>#REF!</v>
      </c>
      <c r="F68" s="33">
        <f>'SEMESTER EXAM RESULT'!E129</f>
        <v>0</v>
      </c>
    </row>
    <row r="69" spans="1:6" ht="20.100000000000001" customHeight="1">
      <c r="A69" s="33">
        <v>56</v>
      </c>
      <c r="B69" s="33">
        <f>'INTERNAL TEST-1  '!B69</f>
        <v>0</v>
      </c>
      <c r="C69" s="4">
        <f>'INTERNAL TEST-1  '!C69</f>
        <v>0</v>
      </c>
      <c r="D69" s="33" t="e">
        <f>'INTERNAL TEST-1  '!U69+#REF!</f>
        <v>#REF!</v>
      </c>
      <c r="E69" s="33" t="e">
        <f>#REF!*10</f>
        <v>#REF!</v>
      </c>
      <c r="F69" s="33">
        <f>'SEMESTER EXAM RESULT'!E130</f>
        <v>0</v>
      </c>
    </row>
    <row r="70" spans="1:6" ht="20.100000000000001" customHeight="1">
      <c r="A70" s="33">
        <v>57</v>
      </c>
      <c r="B70" s="33">
        <f>'INTERNAL TEST-1  '!B70</f>
        <v>0</v>
      </c>
      <c r="C70" s="4">
        <f>'INTERNAL TEST-1  '!C70</f>
        <v>0</v>
      </c>
      <c r="D70" s="33" t="e">
        <f>'INTERNAL TEST-1  '!U70+#REF!</f>
        <v>#REF!</v>
      </c>
      <c r="E70" s="33" t="e">
        <f>#REF!*10</f>
        <v>#REF!</v>
      </c>
      <c r="F70" s="33">
        <f>'SEMESTER EXAM RESULT'!E131</f>
        <v>0</v>
      </c>
    </row>
    <row r="71" spans="1:6" ht="20.100000000000001" customHeight="1">
      <c r="A71" s="33">
        <v>58</v>
      </c>
      <c r="B71" s="33">
        <f>'INTERNAL TEST-1  '!B71</f>
        <v>0</v>
      </c>
      <c r="C71" s="4">
        <f>'INTERNAL TEST-1  '!C71</f>
        <v>0</v>
      </c>
      <c r="D71" s="33" t="e">
        <f>'INTERNAL TEST-1  '!U71+#REF!</f>
        <v>#REF!</v>
      </c>
      <c r="E71" s="33" t="e">
        <f>#REF!*10</f>
        <v>#REF!</v>
      </c>
      <c r="F71" s="33">
        <f>'SEMESTER EXAM RESULT'!E132</f>
        <v>0</v>
      </c>
    </row>
    <row r="72" spans="1:6" ht="20.100000000000001" customHeight="1">
      <c r="A72" s="33">
        <v>59</v>
      </c>
      <c r="B72" s="33">
        <f>'INTERNAL TEST-1  '!B72</f>
        <v>0</v>
      </c>
      <c r="C72" s="4">
        <f>'INTERNAL TEST-1  '!C72</f>
        <v>0</v>
      </c>
      <c r="D72" s="33" t="e">
        <f>'INTERNAL TEST-1  '!U72+#REF!</f>
        <v>#REF!</v>
      </c>
      <c r="E72" s="33" t="e">
        <f>#REF!*10</f>
        <v>#REF!</v>
      </c>
      <c r="F72" s="33">
        <f>'SEMESTER EXAM RESULT'!E133</f>
        <v>0</v>
      </c>
    </row>
    <row r="73" spans="1:6" ht="20.100000000000001" customHeight="1">
      <c r="A73" s="33">
        <v>60</v>
      </c>
      <c r="B73" s="33">
        <f>'INTERNAL TEST-1  '!B73</f>
        <v>0</v>
      </c>
      <c r="C73" s="4">
        <f>'INTERNAL TEST-1  '!C73</f>
        <v>0</v>
      </c>
      <c r="D73" s="33" t="e">
        <f>'INTERNAL TEST-1  '!U73+#REF!</f>
        <v>#REF!</v>
      </c>
      <c r="E73" s="33" t="e">
        <f>#REF!*10</f>
        <v>#REF!</v>
      </c>
      <c r="F73" s="33">
        <f>'SEMESTER EXAM RESULT'!E134</f>
        <v>0</v>
      </c>
    </row>
    <row r="74" spans="1:6" ht="20.100000000000001" customHeight="1">
      <c r="A74" s="33">
        <v>61</v>
      </c>
      <c r="B74" s="33">
        <f>'INTERNAL TEST-1  '!B74</f>
        <v>0</v>
      </c>
      <c r="C74" s="4">
        <f>'INTERNAL TEST-1  '!C74</f>
        <v>0</v>
      </c>
      <c r="D74" s="33" t="e">
        <f>'INTERNAL TEST-1  '!U74+#REF!</f>
        <v>#REF!</v>
      </c>
      <c r="E74" s="33" t="e">
        <f>#REF!*10</f>
        <v>#REF!</v>
      </c>
      <c r="F74" s="33">
        <f>'SEMESTER EXAM RESULT'!E135</f>
        <v>0</v>
      </c>
    </row>
    <row r="75" spans="1:6" ht="20.100000000000001" customHeight="1">
      <c r="A75" s="33">
        <v>62</v>
      </c>
      <c r="B75" s="33">
        <f>'INTERNAL TEST-1  '!B75</f>
        <v>0</v>
      </c>
      <c r="C75" s="4">
        <f>'INTERNAL TEST-1  '!C75</f>
        <v>0</v>
      </c>
      <c r="D75" s="33" t="e">
        <f>'INTERNAL TEST-1  '!U75+#REF!</f>
        <v>#REF!</v>
      </c>
      <c r="E75" s="33" t="e">
        <f>#REF!*10</f>
        <v>#REF!</v>
      </c>
      <c r="F75" s="33">
        <f>'SEMESTER EXAM RESULT'!E136</f>
        <v>0</v>
      </c>
    </row>
    <row r="76" spans="1:6" ht="20.100000000000001" customHeight="1">
      <c r="A76" s="33">
        <v>63</v>
      </c>
      <c r="B76" s="33">
        <f>'INTERNAL TEST-1  '!B76</f>
        <v>0</v>
      </c>
      <c r="C76" s="4">
        <f>'INTERNAL TEST-1  '!C76</f>
        <v>0</v>
      </c>
      <c r="D76" s="33" t="e">
        <f>'INTERNAL TEST-1  '!U76+#REF!</f>
        <v>#REF!</v>
      </c>
      <c r="E76" s="33" t="e">
        <f>#REF!*10</f>
        <v>#REF!</v>
      </c>
      <c r="F76" s="33">
        <f>'SEMESTER EXAM RESULT'!E137</f>
        <v>0</v>
      </c>
    </row>
    <row r="77" spans="1:6" ht="20.100000000000001" customHeight="1">
      <c r="A77" s="33">
        <v>64</v>
      </c>
      <c r="B77" s="33">
        <f>'INTERNAL TEST-1  '!B77</f>
        <v>0</v>
      </c>
      <c r="C77" s="4">
        <f>'INTERNAL TEST-1  '!C77</f>
        <v>0</v>
      </c>
      <c r="D77" s="33" t="e">
        <f>'INTERNAL TEST-1  '!U77+#REF!</f>
        <v>#REF!</v>
      </c>
      <c r="E77" s="33" t="e">
        <f>#REF!*10</f>
        <v>#REF!</v>
      </c>
      <c r="F77" s="33">
        <f>'SEMESTER EXAM RESULT'!E138</f>
        <v>0</v>
      </c>
    </row>
    <row r="78" spans="1:6" ht="20.100000000000001" customHeight="1">
      <c r="A78" s="33">
        <v>65</v>
      </c>
      <c r="B78" s="33">
        <f>'INTERNAL TEST-1  '!B78</f>
        <v>0</v>
      </c>
      <c r="C78" s="4">
        <f>'INTERNAL TEST-1  '!C78</f>
        <v>0</v>
      </c>
      <c r="D78" s="33" t="e">
        <f>'INTERNAL TEST-1  '!U78+#REF!</f>
        <v>#REF!</v>
      </c>
      <c r="E78" s="33" t="e">
        <f>#REF!*10</f>
        <v>#REF!</v>
      </c>
      <c r="F78" s="33">
        <f>'SEMESTER EXAM RESULT'!E139</f>
        <v>0</v>
      </c>
    </row>
    <row r="79" spans="1:6" ht="20.100000000000001" customHeight="1">
      <c r="A79" s="33">
        <v>66</v>
      </c>
      <c r="B79" s="33">
        <f>'INTERNAL TEST-1  '!B79</f>
        <v>0</v>
      </c>
      <c r="C79" s="4">
        <f>'INTERNAL TEST-1  '!C79</f>
        <v>0</v>
      </c>
      <c r="D79" s="33" t="e">
        <f>'INTERNAL TEST-1  '!U79+#REF!</f>
        <v>#REF!</v>
      </c>
      <c r="E79" s="33" t="e">
        <f>#REF!*10</f>
        <v>#REF!</v>
      </c>
      <c r="F79" s="33">
        <f>'SEMESTER EXAM RESULT'!E140</f>
        <v>0</v>
      </c>
    </row>
    <row r="80" spans="1:6" ht="20.100000000000001" customHeight="1">
      <c r="A80" s="33">
        <v>67</v>
      </c>
      <c r="B80" s="33">
        <f>'INTERNAL TEST-1  '!B80</f>
        <v>0</v>
      </c>
      <c r="C80" s="4">
        <f>'INTERNAL TEST-1  '!C80</f>
        <v>0</v>
      </c>
      <c r="D80" s="33" t="e">
        <f>'INTERNAL TEST-1  '!U80+#REF!</f>
        <v>#REF!</v>
      </c>
      <c r="E80" s="33" t="e">
        <f>#REF!*10</f>
        <v>#REF!</v>
      </c>
      <c r="F80" s="33">
        <f>'SEMESTER EXAM RESULT'!E141</f>
        <v>0</v>
      </c>
    </row>
    <row r="81" spans="1:6" ht="20.100000000000001" customHeight="1">
      <c r="A81" s="33">
        <v>68</v>
      </c>
      <c r="B81" s="33">
        <f>'INTERNAL TEST-1  '!B81</f>
        <v>0</v>
      </c>
      <c r="C81" s="4">
        <f>'INTERNAL TEST-1  '!C81</f>
        <v>0</v>
      </c>
      <c r="D81" s="33" t="e">
        <f>'INTERNAL TEST-1  '!U81+#REF!</f>
        <v>#REF!</v>
      </c>
      <c r="E81" s="33" t="e">
        <f>#REF!*10</f>
        <v>#REF!</v>
      </c>
      <c r="F81" s="33" t="e">
        <f>'SEMESTER EXAM RESULT'!E142</f>
        <v>#DIV/0!</v>
      </c>
    </row>
    <row r="82" spans="1:6" ht="20.100000000000001" customHeight="1">
      <c r="A82" s="33">
        <v>69</v>
      </c>
      <c r="B82" s="33">
        <f>'INTERNAL TEST-1  '!B82</f>
        <v>0</v>
      </c>
      <c r="C82" s="4">
        <f>'INTERNAL TEST-1  '!C82</f>
        <v>0</v>
      </c>
      <c r="D82" s="33" t="e">
        <f>'INTERNAL TEST-1  '!U82+#REF!</f>
        <v>#REF!</v>
      </c>
      <c r="E82" s="33" t="e">
        <f>#REF!*10</f>
        <v>#REF!</v>
      </c>
      <c r="F82" s="33" t="e">
        <f>'SEMESTER EXAM RESULT'!E143</f>
        <v>#DIV/0!</v>
      </c>
    </row>
    <row r="83" spans="1:6" ht="32.4" customHeight="1">
      <c r="A83" s="33">
        <v>70</v>
      </c>
      <c r="B83" s="33">
        <f>'INTERNAL TEST-1  '!B83</f>
        <v>0</v>
      </c>
      <c r="C83" s="4">
        <f>'INTERNAL TEST-1  '!C83</f>
        <v>0</v>
      </c>
      <c r="D83" s="33" t="e">
        <f>'INTERNAL TEST-1  '!U83+#REF!</f>
        <v>#REF!</v>
      </c>
      <c r="E83" s="33" t="e">
        <f>#REF!*10</f>
        <v>#REF!</v>
      </c>
      <c r="F83" s="33">
        <f>'SEMESTER EXAM RESULT'!E144</f>
        <v>0</v>
      </c>
    </row>
    <row r="84" spans="1:6" ht="20.100000000000001" customHeight="1">
      <c r="A84" s="33">
        <v>71</v>
      </c>
      <c r="B84" s="33">
        <f>'INTERNAL TEST-1  '!B84</f>
        <v>0</v>
      </c>
      <c r="C84" s="4">
        <f>'INTERNAL TEST-1  '!C84</f>
        <v>0</v>
      </c>
      <c r="D84" s="33" t="e">
        <f>'INTERNAL TEST-1  '!U84+#REF!</f>
        <v>#REF!</v>
      </c>
      <c r="E84" s="33" t="e">
        <f>#REF!*10</f>
        <v>#REF!</v>
      </c>
      <c r="F84" s="33">
        <f>'SEMESTER EXAM RESULT'!E145</f>
        <v>0</v>
      </c>
    </row>
    <row r="85" spans="1:6" ht="20.100000000000001" customHeight="1">
      <c r="A85" s="33">
        <v>72</v>
      </c>
      <c r="B85" s="33">
        <f>'INTERNAL TEST-1  '!B85</f>
        <v>0</v>
      </c>
      <c r="C85" s="4">
        <f>'INTERNAL TEST-1  '!C85</f>
        <v>0</v>
      </c>
      <c r="D85" s="33" t="e">
        <f>'INTERNAL TEST-1  '!U85+#REF!</f>
        <v>#REF!</v>
      </c>
      <c r="E85" s="33" t="e">
        <f>#REF!*10</f>
        <v>#REF!</v>
      </c>
      <c r="F85" s="33">
        <f>'SEMESTER EXAM RESULT'!E146</f>
        <v>0</v>
      </c>
    </row>
    <row r="86" spans="1:6" ht="20.100000000000001" customHeight="1">
      <c r="A86" s="33">
        <v>73</v>
      </c>
      <c r="B86" s="33">
        <f>'INTERNAL TEST-1  '!B86</f>
        <v>0</v>
      </c>
      <c r="C86" s="4">
        <f>'INTERNAL TEST-1  '!C86</f>
        <v>0</v>
      </c>
      <c r="D86" s="33" t="e">
        <f>'INTERNAL TEST-1  '!U86+#REF!</f>
        <v>#REF!</v>
      </c>
      <c r="E86" s="33" t="e">
        <f>#REF!*10</f>
        <v>#REF!</v>
      </c>
      <c r="F86" s="33">
        <f>'SEMESTER EXAM RESULT'!E147</f>
        <v>0</v>
      </c>
    </row>
    <row r="87" spans="1:6" ht="20.100000000000001" customHeight="1">
      <c r="A87" s="33">
        <v>74</v>
      </c>
      <c r="B87" s="33">
        <f>'INTERNAL TEST-1  '!B87</f>
        <v>0</v>
      </c>
      <c r="C87" s="4">
        <f>'INTERNAL TEST-1  '!C87</f>
        <v>0</v>
      </c>
      <c r="D87" s="33" t="e">
        <f>'INTERNAL TEST-1  '!U87+#REF!</f>
        <v>#REF!</v>
      </c>
      <c r="E87" s="33" t="e">
        <f>#REF!*10</f>
        <v>#REF!</v>
      </c>
      <c r="F87" s="33">
        <f>'SEMESTER EXAM RESULT'!E148</f>
        <v>0</v>
      </c>
    </row>
    <row r="88" spans="1:6" ht="20.100000000000001" customHeight="1">
      <c r="A88" s="33">
        <v>75</v>
      </c>
      <c r="B88" s="33">
        <f>'INTERNAL TEST-1  '!B88</f>
        <v>0</v>
      </c>
      <c r="C88" s="4">
        <f>'INTERNAL TEST-1  '!C88</f>
        <v>0</v>
      </c>
      <c r="D88" s="33" t="e">
        <f>'INTERNAL TEST-1  '!U88+#REF!</f>
        <v>#REF!</v>
      </c>
      <c r="E88" s="33" t="e">
        <f>#REF!*10</f>
        <v>#REF!</v>
      </c>
      <c r="F88" s="33">
        <f>'SEMESTER EXAM RESULT'!E149</f>
        <v>0</v>
      </c>
    </row>
    <row r="89" spans="1:6" ht="20.100000000000001" customHeight="1">
      <c r="A89" s="33">
        <v>76</v>
      </c>
      <c r="B89" s="33">
        <f>'INTERNAL TEST-1  '!B89</f>
        <v>0</v>
      </c>
      <c r="C89" s="4">
        <f>'INTERNAL TEST-1  '!C89</f>
        <v>0</v>
      </c>
      <c r="D89" s="33" t="e">
        <f>'INTERNAL TEST-1  '!U89+#REF!</f>
        <v>#REF!</v>
      </c>
      <c r="E89" s="33" t="e">
        <f>#REF!*10</f>
        <v>#REF!</v>
      </c>
      <c r="F89" s="33">
        <f>'SEMESTER EXAM RESULT'!E150</f>
        <v>0</v>
      </c>
    </row>
    <row r="90" spans="1:6" ht="20.100000000000001" customHeight="1">
      <c r="A90" s="33">
        <v>77</v>
      </c>
      <c r="B90" s="33">
        <f>'INTERNAL TEST-1  '!B90</f>
        <v>0</v>
      </c>
      <c r="C90" s="4">
        <f>'INTERNAL TEST-1  '!C90</f>
        <v>0</v>
      </c>
      <c r="D90" s="33" t="e">
        <f>'INTERNAL TEST-1  '!U90+#REF!</f>
        <v>#REF!</v>
      </c>
      <c r="E90" s="33" t="e">
        <f>#REF!*10</f>
        <v>#REF!</v>
      </c>
      <c r="F90" s="33">
        <f>'SEMESTER EXAM RESULT'!E151</f>
        <v>0</v>
      </c>
    </row>
    <row r="91" spans="1:6" ht="20.100000000000001" customHeight="1">
      <c r="A91" s="33">
        <v>78</v>
      </c>
      <c r="B91" s="33">
        <f>'INTERNAL TEST-1  '!B91</f>
        <v>0</v>
      </c>
      <c r="C91" s="4">
        <f>'INTERNAL TEST-1  '!C91</f>
        <v>0</v>
      </c>
      <c r="D91" s="33" t="e">
        <f>'INTERNAL TEST-1  '!U91+#REF!</f>
        <v>#REF!</v>
      </c>
      <c r="E91" s="33" t="e">
        <f>#REF!*10</f>
        <v>#REF!</v>
      </c>
      <c r="F91" s="33">
        <f>'SEMESTER EXAM RESULT'!E152</f>
        <v>0</v>
      </c>
    </row>
    <row r="92" spans="1:6" ht="20.100000000000001" customHeight="1">
      <c r="A92" s="33">
        <v>79</v>
      </c>
      <c r="B92" s="33">
        <f>'INTERNAL TEST-1  '!B92</f>
        <v>0</v>
      </c>
      <c r="C92" s="4">
        <f>'INTERNAL TEST-1  '!C92</f>
        <v>0</v>
      </c>
      <c r="D92" s="33" t="e">
        <f>'INTERNAL TEST-1  '!U92+#REF!</f>
        <v>#REF!</v>
      </c>
      <c r="E92" s="33" t="e">
        <f>#REF!*10</f>
        <v>#REF!</v>
      </c>
      <c r="F92" s="33">
        <f>'SEMESTER EXAM RESULT'!E153</f>
        <v>0</v>
      </c>
    </row>
    <row r="93" spans="1:6" ht="20.100000000000001" customHeight="1">
      <c r="A93" s="33">
        <v>80</v>
      </c>
      <c r="B93" s="33">
        <f>'INTERNAL TEST-1  '!B93</f>
        <v>0</v>
      </c>
      <c r="C93" s="4">
        <f>'INTERNAL TEST-1  '!C93</f>
        <v>0</v>
      </c>
      <c r="D93" s="33" t="e">
        <f>'INTERNAL TEST-1  '!U93+#REF!</f>
        <v>#REF!</v>
      </c>
      <c r="E93" s="33" t="e">
        <f>#REF!*10</f>
        <v>#REF!</v>
      </c>
      <c r="F93" s="33">
        <f>'SEMESTER EXAM RESULT'!E154</f>
        <v>0</v>
      </c>
    </row>
    <row r="94" spans="1:6" ht="20.100000000000001" customHeight="1">
      <c r="A94" s="33">
        <v>81</v>
      </c>
      <c r="B94" s="33">
        <f>'INTERNAL TEST-1  '!B94</f>
        <v>0</v>
      </c>
      <c r="C94" s="4">
        <f>'INTERNAL TEST-1  '!C94</f>
        <v>0</v>
      </c>
      <c r="D94" s="33" t="e">
        <f>'INTERNAL TEST-1  '!U94+#REF!</f>
        <v>#REF!</v>
      </c>
      <c r="E94" s="33" t="e">
        <f>#REF!*10</f>
        <v>#REF!</v>
      </c>
      <c r="F94" s="33">
        <f>'SEMESTER EXAM RESULT'!E155</f>
        <v>0</v>
      </c>
    </row>
    <row r="95" spans="1:6" ht="20.100000000000001" customHeight="1">
      <c r="A95" s="33">
        <v>82</v>
      </c>
      <c r="B95" s="33">
        <f>'INTERNAL TEST-1  '!B95</f>
        <v>0</v>
      </c>
      <c r="C95" s="4">
        <f>'INTERNAL TEST-1  '!C95</f>
        <v>0</v>
      </c>
      <c r="D95" s="33" t="e">
        <f>'INTERNAL TEST-1  '!U95+#REF!</f>
        <v>#REF!</v>
      </c>
      <c r="E95" s="33" t="e">
        <f>#REF!*10</f>
        <v>#REF!</v>
      </c>
      <c r="F95" s="33">
        <f>'SEMESTER EXAM RESULT'!E156</f>
        <v>0</v>
      </c>
    </row>
    <row r="96" spans="1:6" ht="20.100000000000001" customHeight="1">
      <c r="A96" s="33">
        <v>83</v>
      </c>
      <c r="B96" s="33">
        <f>'INTERNAL TEST-1  '!B96</f>
        <v>0</v>
      </c>
      <c r="C96" s="4">
        <f>'INTERNAL TEST-1  '!C96</f>
        <v>0</v>
      </c>
      <c r="D96" s="33" t="e">
        <f>'INTERNAL TEST-1  '!U96+#REF!</f>
        <v>#REF!</v>
      </c>
      <c r="E96" s="33" t="e">
        <f>#REF!*10</f>
        <v>#REF!</v>
      </c>
      <c r="F96" s="33">
        <f>'SEMESTER EXAM RESULT'!E157</f>
        <v>0</v>
      </c>
    </row>
    <row r="97" spans="1:6" ht="20.100000000000001" customHeight="1">
      <c r="A97" s="33">
        <v>84</v>
      </c>
      <c r="B97" s="33">
        <f>'INTERNAL TEST-1  '!B97</f>
        <v>0</v>
      </c>
      <c r="C97" s="4">
        <f>'INTERNAL TEST-1  '!C97</f>
        <v>0</v>
      </c>
      <c r="D97" s="33" t="e">
        <f>'INTERNAL TEST-1  '!U97+#REF!</f>
        <v>#REF!</v>
      </c>
      <c r="E97" s="33" t="e">
        <f>#REF!*10</f>
        <v>#REF!</v>
      </c>
      <c r="F97" s="33">
        <f>'SEMESTER EXAM RESULT'!E158</f>
        <v>0</v>
      </c>
    </row>
    <row r="98" spans="1:6" ht="20.100000000000001" customHeight="1">
      <c r="A98" s="33">
        <v>85</v>
      </c>
      <c r="B98" s="33">
        <f>'INTERNAL TEST-1  '!B98</f>
        <v>0</v>
      </c>
      <c r="C98" s="4">
        <f>'INTERNAL TEST-1  '!C98</f>
        <v>0</v>
      </c>
      <c r="D98" s="33" t="e">
        <f>'INTERNAL TEST-1  '!U98+#REF!</f>
        <v>#REF!</v>
      </c>
      <c r="E98" s="33" t="e">
        <f>#REF!*10</f>
        <v>#REF!</v>
      </c>
      <c r="F98" s="33">
        <f>'SEMESTER EXAM RESULT'!E159</f>
        <v>0</v>
      </c>
    </row>
    <row r="99" spans="1:6" ht="20.100000000000001" customHeight="1">
      <c r="A99" s="33">
        <v>86</v>
      </c>
      <c r="B99" s="33">
        <f>'INTERNAL TEST-1  '!B99</f>
        <v>0</v>
      </c>
      <c r="C99" s="4">
        <f>'INTERNAL TEST-1  '!C99</f>
        <v>0</v>
      </c>
      <c r="D99" s="33" t="e">
        <f>'INTERNAL TEST-1  '!U99+#REF!</f>
        <v>#REF!</v>
      </c>
      <c r="E99" s="33" t="e">
        <f>#REF!*10</f>
        <v>#REF!</v>
      </c>
      <c r="F99" s="33">
        <f>'SEMESTER EXAM RESULT'!E160</f>
        <v>0</v>
      </c>
    </row>
    <row r="100" spans="1:6" ht="20.100000000000001" customHeight="1">
      <c r="A100" s="33">
        <v>87</v>
      </c>
      <c r="B100" s="33">
        <f>'INTERNAL TEST-1  '!B100</f>
        <v>0</v>
      </c>
      <c r="C100" s="4">
        <f>'INTERNAL TEST-1  '!C100</f>
        <v>0</v>
      </c>
      <c r="D100" s="33" t="e">
        <f>'INTERNAL TEST-1  '!U100+#REF!</f>
        <v>#REF!</v>
      </c>
      <c r="E100" s="33" t="e">
        <f>#REF!*10</f>
        <v>#REF!</v>
      </c>
      <c r="F100" s="33">
        <f>'SEMESTER EXAM RESULT'!E161</f>
        <v>0</v>
      </c>
    </row>
    <row r="101" spans="1:6" ht="20.100000000000001" customHeight="1">
      <c r="A101" s="33">
        <v>88</v>
      </c>
      <c r="B101" s="33">
        <f>'INTERNAL TEST-1  '!B101</f>
        <v>0</v>
      </c>
      <c r="C101" s="4">
        <f>'INTERNAL TEST-1  '!C101</f>
        <v>0</v>
      </c>
      <c r="D101" s="33" t="e">
        <f>'INTERNAL TEST-1  '!U101+#REF!</f>
        <v>#REF!</v>
      </c>
      <c r="E101" s="33" t="e">
        <f>#REF!*10</f>
        <v>#REF!</v>
      </c>
      <c r="F101" s="33">
        <f>'SEMESTER EXAM RESULT'!E162</f>
        <v>0</v>
      </c>
    </row>
    <row r="102" spans="1:6" ht="20.100000000000001" customHeight="1">
      <c r="A102" s="33">
        <v>89</v>
      </c>
      <c r="B102" s="33">
        <f>'INTERNAL TEST-1  '!B102</f>
        <v>0</v>
      </c>
      <c r="C102" s="4">
        <f>'INTERNAL TEST-1  '!C102</f>
        <v>0</v>
      </c>
      <c r="D102" s="33" t="e">
        <f>'INTERNAL TEST-1  '!U102+#REF!</f>
        <v>#REF!</v>
      </c>
      <c r="E102" s="33" t="e">
        <f>#REF!*10</f>
        <v>#REF!</v>
      </c>
      <c r="F102" s="33">
        <f>'SEMESTER EXAM RESULT'!E163</f>
        <v>0</v>
      </c>
    </row>
    <row r="103" spans="1:6" ht="20.100000000000001" customHeight="1">
      <c r="A103" s="33">
        <v>90</v>
      </c>
      <c r="B103" s="33">
        <f>'INTERNAL TEST-1  '!B103</f>
        <v>0</v>
      </c>
      <c r="C103" s="4">
        <f>'INTERNAL TEST-1  '!C103</f>
        <v>0</v>
      </c>
      <c r="D103" s="33" t="e">
        <f>'INTERNAL TEST-1  '!U103+#REF!</f>
        <v>#REF!</v>
      </c>
      <c r="E103" s="33" t="e">
        <f>#REF!*10</f>
        <v>#REF!</v>
      </c>
      <c r="F103" s="33">
        <f>'SEMESTER EXAM RESULT'!E164</f>
        <v>0</v>
      </c>
    </row>
    <row r="104" spans="1:6" ht="20.100000000000001" customHeight="1">
      <c r="A104" s="33">
        <v>91</v>
      </c>
      <c r="B104" s="33">
        <f>'INTERNAL TEST-1  '!B104</f>
        <v>0</v>
      </c>
      <c r="C104" s="4">
        <f>'INTERNAL TEST-1  '!C104</f>
        <v>0</v>
      </c>
      <c r="D104" s="33" t="e">
        <f>'INTERNAL TEST-1  '!U104+#REF!</f>
        <v>#REF!</v>
      </c>
      <c r="E104" s="33" t="e">
        <f>#REF!*10</f>
        <v>#REF!</v>
      </c>
      <c r="F104" s="33">
        <f>'SEMESTER EXAM RESULT'!E165</f>
        <v>0</v>
      </c>
    </row>
    <row r="105" spans="1:6" ht="20.100000000000001" customHeight="1">
      <c r="A105" s="33">
        <v>92</v>
      </c>
      <c r="B105" s="33">
        <f>'INTERNAL TEST-1  '!B105</f>
        <v>0</v>
      </c>
      <c r="C105" s="4">
        <f>'INTERNAL TEST-1  '!C105</f>
        <v>0</v>
      </c>
      <c r="D105" s="33" t="e">
        <f>'INTERNAL TEST-1  '!U105+#REF!</f>
        <v>#REF!</v>
      </c>
      <c r="E105" s="33" t="e">
        <f>#REF!*10</f>
        <v>#REF!</v>
      </c>
      <c r="F105" s="33">
        <f>'SEMESTER EXAM RESULT'!E166</f>
        <v>0</v>
      </c>
    </row>
    <row r="106" spans="1:6" ht="20.100000000000001" customHeight="1">
      <c r="A106" s="33">
        <v>93</v>
      </c>
      <c r="B106" s="33">
        <f>'INTERNAL TEST-1  '!B106</f>
        <v>0</v>
      </c>
      <c r="C106" s="4">
        <f>'INTERNAL TEST-1  '!C106</f>
        <v>0</v>
      </c>
      <c r="D106" s="33" t="e">
        <f>'INTERNAL TEST-1  '!U106+#REF!</f>
        <v>#REF!</v>
      </c>
      <c r="E106" s="33" t="e">
        <f>#REF!*10</f>
        <v>#REF!</v>
      </c>
      <c r="F106" s="33">
        <f>'SEMESTER EXAM RESULT'!E167</f>
        <v>0</v>
      </c>
    </row>
    <row r="107" spans="1:6" ht="20.100000000000001" customHeight="1">
      <c r="A107" s="33">
        <v>94</v>
      </c>
      <c r="B107" s="33">
        <f>'INTERNAL TEST-1  '!B107</f>
        <v>0</v>
      </c>
      <c r="C107" s="4">
        <f>'INTERNAL TEST-1  '!C107</f>
        <v>0</v>
      </c>
      <c r="D107" s="33" t="e">
        <f>'INTERNAL TEST-1  '!U107+#REF!</f>
        <v>#REF!</v>
      </c>
      <c r="E107" s="33" t="e">
        <f>#REF!*10</f>
        <v>#REF!</v>
      </c>
      <c r="F107" s="33">
        <f>'SEMESTER EXAM RESULT'!E168</f>
        <v>0</v>
      </c>
    </row>
    <row r="108" spans="1:6" ht="20.100000000000001" customHeight="1">
      <c r="A108" s="33">
        <v>95</v>
      </c>
      <c r="B108" s="33">
        <f>'INTERNAL TEST-1  '!B108</f>
        <v>0</v>
      </c>
      <c r="C108" s="4">
        <f>'INTERNAL TEST-1  '!C108</f>
        <v>0</v>
      </c>
      <c r="D108" s="33" t="e">
        <f>'INTERNAL TEST-1  '!U108+#REF!</f>
        <v>#REF!</v>
      </c>
      <c r="E108" s="33" t="e">
        <f>#REF!*10</f>
        <v>#REF!</v>
      </c>
      <c r="F108" s="33">
        <f>'SEMESTER EXAM RESULT'!E169</f>
        <v>0</v>
      </c>
    </row>
    <row r="109" spans="1:6" ht="20.100000000000001" customHeight="1">
      <c r="A109" s="33">
        <v>96</v>
      </c>
      <c r="B109" s="33">
        <f>'INTERNAL TEST-1  '!B109</f>
        <v>0</v>
      </c>
      <c r="C109" s="4">
        <f>'INTERNAL TEST-1  '!C109</f>
        <v>0</v>
      </c>
      <c r="D109" s="33" t="e">
        <f>'INTERNAL TEST-1  '!U109+#REF!</f>
        <v>#REF!</v>
      </c>
      <c r="E109" s="33" t="e">
        <f>#REF!*10</f>
        <v>#REF!</v>
      </c>
      <c r="F109" s="33">
        <f>'SEMESTER EXAM RESULT'!E170</f>
        <v>0</v>
      </c>
    </row>
    <row r="110" spans="1:6" ht="20.100000000000001" customHeight="1">
      <c r="A110" s="33">
        <v>97</v>
      </c>
      <c r="B110" s="33">
        <f>'INTERNAL TEST-1  '!B110</f>
        <v>0</v>
      </c>
      <c r="C110" s="4">
        <f>'INTERNAL TEST-1  '!C110</f>
        <v>0</v>
      </c>
      <c r="D110" s="33" t="e">
        <f>'INTERNAL TEST-1  '!U110+#REF!</f>
        <v>#REF!</v>
      </c>
      <c r="E110" s="33" t="e">
        <f>#REF!*10</f>
        <v>#REF!</v>
      </c>
      <c r="F110" s="33">
        <f>'SEMESTER EXAM RESULT'!E171</f>
        <v>0</v>
      </c>
    </row>
    <row r="111" spans="1:6" ht="20.100000000000001" customHeight="1">
      <c r="A111" s="33">
        <v>98</v>
      </c>
      <c r="B111" s="33">
        <f>'INTERNAL TEST-1  '!B111</f>
        <v>0</v>
      </c>
      <c r="C111" s="4">
        <f>'INTERNAL TEST-1  '!C111</f>
        <v>0</v>
      </c>
      <c r="D111" s="33" t="e">
        <f>'INTERNAL TEST-1  '!U111+#REF!</f>
        <v>#REF!</v>
      </c>
      <c r="E111" s="33" t="e">
        <f>#REF!*10</f>
        <v>#REF!</v>
      </c>
      <c r="F111" s="33">
        <f>'SEMESTER EXAM RESULT'!E172</f>
        <v>0</v>
      </c>
    </row>
    <row r="112" spans="1:6" ht="20.100000000000001" customHeight="1">
      <c r="A112" s="33">
        <v>99</v>
      </c>
      <c r="B112" s="33">
        <f>'INTERNAL TEST-1  '!B112</f>
        <v>0</v>
      </c>
      <c r="C112" s="4">
        <f>'INTERNAL TEST-1  '!C112</f>
        <v>0</v>
      </c>
      <c r="D112" s="33" t="e">
        <f>'INTERNAL TEST-1  '!U112+#REF!</f>
        <v>#REF!</v>
      </c>
      <c r="E112" s="33" t="e">
        <f>#REF!*10</f>
        <v>#REF!</v>
      </c>
      <c r="F112" s="33">
        <f>'SEMESTER EXAM RESULT'!E173</f>
        <v>0</v>
      </c>
    </row>
    <row r="113" spans="1:6" ht="20.100000000000001" customHeight="1">
      <c r="A113" s="33">
        <v>100</v>
      </c>
      <c r="B113" s="33">
        <f>'INTERNAL TEST-1  '!B113</f>
        <v>0</v>
      </c>
      <c r="C113" s="4">
        <f>'INTERNAL TEST-1  '!C113</f>
        <v>0</v>
      </c>
      <c r="D113" s="33" t="e">
        <f>'INTERNAL TEST-1  '!U113+#REF!</f>
        <v>#REF!</v>
      </c>
      <c r="E113" s="33" t="e">
        <f>#REF!*10</f>
        <v>#REF!</v>
      </c>
      <c r="F113" s="33">
        <f>'SEMESTER EXAM RESULT'!E174</f>
        <v>0</v>
      </c>
    </row>
    <row r="114" spans="1:6" ht="20.100000000000001" customHeight="1">
      <c r="A114" s="33">
        <v>101</v>
      </c>
      <c r="B114" s="33">
        <f>'INTERNAL TEST-1  '!B114</f>
        <v>0</v>
      </c>
      <c r="C114" s="4">
        <f>'INTERNAL TEST-1  '!C114</f>
        <v>0</v>
      </c>
      <c r="D114" s="33" t="e">
        <f>'INTERNAL TEST-1  '!U114+#REF!</f>
        <v>#REF!</v>
      </c>
      <c r="E114" s="33" t="e">
        <f>#REF!*10</f>
        <v>#REF!</v>
      </c>
      <c r="F114" s="33">
        <f>'SEMESTER EXAM RESULT'!E175</f>
        <v>0</v>
      </c>
    </row>
    <row r="115" spans="1:6" ht="20.100000000000001" customHeight="1">
      <c r="A115" s="33">
        <v>102</v>
      </c>
      <c r="B115" s="33">
        <f>'INTERNAL TEST-1  '!B115</f>
        <v>0</v>
      </c>
      <c r="C115" s="4">
        <f>'INTERNAL TEST-1  '!C115</f>
        <v>0</v>
      </c>
      <c r="D115" s="33" t="e">
        <f>'INTERNAL TEST-1  '!U115+#REF!</f>
        <v>#REF!</v>
      </c>
      <c r="E115" s="33" t="e">
        <f>#REF!*10</f>
        <v>#REF!</v>
      </c>
      <c r="F115" s="33">
        <f>'SEMESTER EXAM RESULT'!E176</f>
        <v>0</v>
      </c>
    </row>
    <row r="116" spans="1:6" ht="20.100000000000001" customHeight="1">
      <c r="A116" s="33">
        <v>103</v>
      </c>
      <c r="B116" s="33">
        <f>'INTERNAL TEST-1  '!B116</f>
        <v>0</v>
      </c>
      <c r="C116" s="4">
        <f>'INTERNAL TEST-1  '!C116</f>
        <v>0</v>
      </c>
      <c r="D116" s="33" t="e">
        <f>'INTERNAL TEST-1  '!U116+#REF!</f>
        <v>#REF!</v>
      </c>
      <c r="E116" s="33" t="e">
        <f>#REF!*10</f>
        <v>#REF!</v>
      </c>
      <c r="F116" s="33">
        <f>'SEMESTER EXAM RESULT'!E177</f>
        <v>0</v>
      </c>
    </row>
    <row r="117" spans="1:6" ht="20.100000000000001" customHeight="1">
      <c r="A117" s="33">
        <v>104</v>
      </c>
      <c r="B117" s="33">
        <f>'INTERNAL TEST-1  '!B117</f>
        <v>0</v>
      </c>
      <c r="C117" s="4">
        <f>'INTERNAL TEST-1  '!C117</f>
        <v>0</v>
      </c>
      <c r="D117" s="33" t="e">
        <f>'INTERNAL TEST-1  '!U117+#REF!</f>
        <v>#REF!</v>
      </c>
      <c r="E117" s="33" t="e">
        <f>#REF!*10</f>
        <v>#REF!</v>
      </c>
      <c r="F117" s="33">
        <f>'SEMESTER EXAM RESULT'!E178</f>
        <v>0</v>
      </c>
    </row>
    <row r="118" spans="1:6" ht="20.100000000000001" customHeight="1">
      <c r="A118" s="33">
        <v>105</v>
      </c>
      <c r="B118" s="33">
        <f>'INTERNAL TEST-1  '!B118</f>
        <v>0</v>
      </c>
      <c r="C118" s="4">
        <f>'INTERNAL TEST-1  '!C118</f>
        <v>0</v>
      </c>
      <c r="D118" s="33" t="e">
        <f>'INTERNAL TEST-1  '!U118+#REF!</f>
        <v>#REF!</v>
      </c>
      <c r="E118" s="33" t="e">
        <f>#REF!*10</f>
        <v>#REF!</v>
      </c>
      <c r="F118" s="33">
        <f>'SEMESTER EXAM RESULT'!E179</f>
        <v>0</v>
      </c>
    </row>
    <row r="119" spans="1:6" ht="20.100000000000001" customHeight="1">
      <c r="A119" s="33">
        <v>106</v>
      </c>
      <c r="B119" s="33">
        <f>'INTERNAL TEST-1  '!B119</f>
        <v>0</v>
      </c>
      <c r="C119" s="4">
        <f>'INTERNAL TEST-1  '!C119</f>
        <v>0</v>
      </c>
      <c r="D119" s="33" t="e">
        <f>'INTERNAL TEST-1  '!U119+#REF!</f>
        <v>#REF!</v>
      </c>
      <c r="E119" s="33" t="e">
        <f>#REF!*10</f>
        <v>#REF!</v>
      </c>
      <c r="F119" s="33">
        <f>'SEMESTER EXAM RESULT'!E180</f>
        <v>0</v>
      </c>
    </row>
    <row r="120" spans="1:6" ht="20.100000000000001" customHeight="1">
      <c r="A120" s="33">
        <v>107</v>
      </c>
      <c r="B120" s="33">
        <f>'INTERNAL TEST-1  '!B120</f>
        <v>0</v>
      </c>
      <c r="C120" s="4">
        <f>'INTERNAL TEST-1  '!C120</f>
        <v>0</v>
      </c>
      <c r="D120" s="33" t="e">
        <f>'INTERNAL TEST-1  '!U120+#REF!</f>
        <v>#REF!</v>
      </c>
      <c r="E120" s="33" t="e">
        <f>#REF!*10</f>
        <v>#REF!</v>
      </c>
      <c r="F120" s="33">
        <f>'SEMESTER EXAM RESULT'!E181</f>
        <v>0</v>
      </c>
    </row>
    <row r="121" spans="1:6" ht="20.100000000000001" customHeight="1">
      <c r="A121" s="33">
        <v>108</v>
      </c>
      <c r="B121" s="33">
        <f>'INTERNAL TEST-1  '!B121</f>
        <v>0</v>
      </c>
      <c r="C121" s="4">
        <f>'INTERNAL TEST-1  '!C121</f>
        <v>0</v>
      </c>
      <c r="D121" s="33" t="e">
        <f>'INTERNAL TEST-1  '!U121+#REF!</f>
        <v>#REF!</v>
      </c>
      <c r="E121" s="33" t="e">
        <f>#REF!*10</f>
        <v>#REF!</v>
      </c>
      <c r="F121" s="33">
        <f>'SEMESTER EXAM RESULT'!E182</f>
        <v>0</v>
      </c>
    </row>
    <row r="122" spans="1:6" ht="20.100000000000001" customHeight="1">
      <c r="A122" s="33">
        <v>109</v>
      </c>
      <c r="B122" s="33">
        <f>'INTERNAL TEST-1  '!B122</f>
        <v>0</v>
      </c>
      <c r="C122" s="4">
        <f>'INTERNAL TEST-1  '!C122</f>
        <v>0</v>
      </c>
      <c r="D122" s="33" t="e">
        <f>'INTERNAL TEST-1  '!U122+#REF!</f>
        <v>#REF!</v>
      </c>
      <c r="E122" s="33" t="e">
        <f>#REF!*10</f>
        <v>#REF!</v>
      </c>
      <c r="F122" s="33">
        <f>'SEMESTER EXAM RESULT'!E183</f>
        <v>0</v>
      </c>
    </row>
    <row r="123" spans="1:6" ht="20.100000000000001" customHeight="1">
      <c r="A123" s="33">
        <v>110</v>
      </c>
      <c r="B123" s="33">
        <f>'INTERNAL TEST-1  '!B123</f>
        <v>0</v>
      </c>
      <c r="C123" s="4">
        <f>'INTERNAL TEST-1  '!C123</f>
        <v>0</v>
      </c>
      <c r="D123" s="33" t="e">
        <f>'INTERNAL TEST-1  '!U123+#REF!</f>
        <v>#REF!</v>
      </c>
      <c r="E123" s="33" t="e">
        <f>#REF!*10</f>
        <v>#REF!</v>
      </c>
      <c r="F123" s="33">
        <f>'SEMESTER EXAM RESULT'!E184</f>
        <v>0</v>
      </c>
    </row>
    <row r="124" spans="1:6" ht="20.100000000000001" customHeight="1">
      <c r="A124" s="33">
        <v>111</v>
      </c>
      <c r="B124" s="33">
        <f>'INTERNAL TEST-1  '!B124</f>
        <v>0</v>
      </c>
      <c r="C124" s="4">
        <f>'INTERNAL TEST-1  '!C124</f>
        <v>0</v>
      </c>
      <c r="D124" s="33" t="e">
        <f>'INTERNAL TEST-1  '!U124+#REF!</f>
        <v>#REF!</v>
      </c>
      <c r="E124" s="33" t="e">
        <f>#REF!*10</f>
        <v>#REF!</v>
      </c>
      <c r="F124" s="33">
        <f>'SEMESTER EXAM RESULT'!E185</f>
        <v>0</v>
      </c>
    </row>
    <row r="125" spans="1:6" ht="20.100000000000001" customHeight="1">
      <c r="A125" s="33">
        <v>112</v>
      </c>
      <c r="B125" s="33">
        <f>'INTERNAL TEST-1  '!B125</f>
        <v>0</v>
      </c>
      <c r="C125" s="4">
        <f>'INTERNAL TEST-1  '!C125</f>
        <v>0</v>
      </c>
      <c r="D125" s="33" t="e">
        <f>'INTERNAL TEST-1  '!U125+#REF!</f>
        <v>#REF!</v>
      </c>
      <c r="E125" s="33" t="e">
        <f>#REF!*10</f>
        <v>#REF!</v>
      </c>
      <c r="F125" s="33">
        <f>'SEMESTER EXAM RESULT'!E186</f>
        <v>0</v>
      </c>
    </row>
    <row r="126" spans="1:6" ht="20.100000000000001" customHeight="1">
      <c r="A126" s="33">
        <v>113</v>
      </c>
      <c r="B126" s="33">
        <f>'INTERNAL TEST-1  '!B126</f>
        <v>0</v>
      </c>
      <c r="C126" s="4">
        <f>'INTERNAL TEST-1  '!C126</f>
        <v>0</v>
      </c>
      <c r="D126" s="33" t="e">
        <f>'INTERNAL TEST-1  '!U126+#REF!</f>
        <v>#REF!</v>
      </c>
      <c r="E126" s="33" t="e">
        <f>#REF!*10</f>
        <v>#REF!</v>
      </c>
      <c r="F126" s="33">
        <f>'SEMESTER EXAM RESULT'!E187</f>
        <v>0</v>
      </c>
    </row>
    <row r="127" spans="1:6" ht="20.100000000000001" hidden="1" customHeight="1">
      <c r="A127" s="33">
        <v>114</v>
      </c>
      <c r="B127" s="33">
        <f>'INTERNAL TEST-1  '!B127</f>
        <v>0</v>
      </c>
      <c r="C127" s="51">
        <f>'INTERNAL TEST-1  '!C127</f>
        <v>0</v>
      </c>
      <c r="D127" s="33" t="e">
        <f>'INTERNAL TEST-1  '!U127+#REF!</f>
        <v>#REF!</v>
      </c>
      <c r="E127" s="33" t="e">
        <f>#REF!*10</f>
        <v>#REF!</v>
      </c>
      <c r="F127" s="33">
        <f>'SEMESTER EXAM RESULT'!E128</f>
        <v>0</v>
      </c>
    </row>
    <row r="128" spans="1:6" ht="20.100000000000001" hidden="1" customHeight="1">
      <c r="A128" s="33">
        <v>115</v>
      </c>
      <c r="B128" s="33">
        <f>'INTERNAL TEST-1  '!B128</f>
        <v>0</v>
      </c>
      <c r="C128" s="51">
        <f>'INTERNAL TEST-1  '!C128</f>
        <v>0</v>
      </c>
      <c r="D128" s="33" t="e">
        <f>'INTERNAL TEST-1  '!U128+#REF!</f>
        <v>#REF!</v>
      </c>
      <c r="E128" s="33" t="e">
        <f>#REF!*10</f>
        <v>#REF!</v>
      </c>
      <c r="F128" s="33">
        <f>'SEMESTER EXAM RESULT'!E129</f>
        <v>0</v>
      </c>
    </row>
    <row r="129" spans="1:6" ht="20.100000000000001" hidden="1" customHeight="1">
      <c r="A129" s="33">
        <v>116</v>
      </c>
      <c r="B129" s="33">
        <f>'INTERNAL TEST-1  '!B129</f>
        <v>0</v>
      </c>
      <c r="C129" s="51">
        <f>'INTERNAL TEST-1  '!C129</f>
        <v>0</v>
      </c>
      <c r="D129" s="33" t="e">
        <f>'INTERNAL TEST-1  '!U129+#REF!</f>
        <v>#REF!</v>
      </c>
      <c r="E129" s="33" t="e">
        <f>#REF!*10</f>
        <v>#REF!</v>
      </c>
      <c r="F129" s="33">
        <f>'SEMESTER EXAM RESULT'!E130</f>
        <v>0</v>
      </c>
    </row>
    <row r="130" spans="1:6" ht="20.100000000000001" hidden="1" customHeight="1">
      <c r="A130" s="33">
        <v>117</v>
      </c>
      <c r="B130" s="33">
        <f>'INTERNAL TEST-1  '!B130</f>
        <v>0</v>
      </c>
      <c r="C130" s="51">
        <f>'INTERNAL TEST-1  '!C130</f>
        <v>0</v>
      </c>
      <c r="D130" s="33" t="e">
        <f>'INTERNAL TEST-1  '!U130+#REF!</f>
        <v>#REF!</v>
      </c>
      <c r="E130" s="33" t="e">
        <f>#REF!*10</f>
        <v>#REF!</v>
      </c>
      <c r="F130" s="33">
        <f>'SEMESTER EXAM RESULT'!E131</f>
        <v>0</v>
      </c>
    </row>
    <row r="131" spans="1:6" ht="20.100000000000001" hidden="1" customHeight="1">
      <c r="A131" s="33">
        <v>118</v>
      </c>
      <c r="B131" s="33">
        <f>'INTERNAL TEST-1  '!B131</f>
        <v>0</v>
      </c>
      <c r="C131" s="51">
        <f>'INTERNAL TEST-1  '!C131</f>
        <v>0</v>
      </c>
      <c r="D131" s="33" t="e">
        <f>'INTERNAL TEST-1  '!U131+#REF!</f>
        <v>#REF!</v>
      </c>
      <c r="E131" s="33" t="e">
        <f>#REF!*10</f>
        <v>#REF!</v>
      </c>
      <c r="F131" s="33">
        <f>'SEMESTER EXAM RESULT'!E132</f>
        <v>0</v>
      </c>
    </row>
    <row r="132" spans="1:6" ht="20.100000000000001" hidden="1" customHeight="1">
      <c r="A132" s="33">
        <v>119</v>
      </c>
      <c r="B132" s="33">
        <f>'INTERNAL TEST-1  '!B132</f>
        <v>0</v>
      </c>
      <c r="C132" s="51">
        <f>'INTERNAL TEST-1  '!C132</f>
        <v>0</v>
      </c>
      <c r="D132" s="33" t="e">
        <f>'INTERNAL TEST-1  '!U132+#REF!</f>
        <v>#REF!</v>
      </c>
      <c r="E132" s="33" t="e">
        <f>#REF!*10</f>
        <v>#REF!</v>
      </c>
      <c r="F132" s="33">
        <f>'SEMESTER EXAM RESULT'!E133</f>
        <v>0</v>
      </c>
    </row>
    <row r="133" spans="1:6" ht="20.100000000000001" hidden="1" customHeight="1">
      <c r="A133" s="33">
        <v>120</v>
      </c>
      <c r="B133" s="33">
        <f>'INTERNAL TEST-1  '!B133</f>
        <v>0</v>
      </c>
      <c r="C133" s="51">
        <f>'INTERNAL TEST-1  '!C133</f>
        <v>0</v>
      </c>
      <c r="D133" s="33" t="e">
        <f>'INTERNAL TEST-1  '!U133+#REF!</f>
        <v>#REF!</v>
      </c>
      <c r="E133" s="33" t="e">
        <f>#REF!*10</f>
        <v>#REF!</v>
      </c>
      <c r="F133" s="33">
        <f>'SEMESTER EXAM RESULT'!E134</f>
        <v>0</v>
      </c>
    </row>
    <row r="134" spans="1:6" ht="20.100000000000001" hidden="1" customHeight="1">
      <c r="A134" s="33">
        <v>121</v>
      </c>
      <c r="B134" s="33">
        <f>'INTERNAL TEST-1  '!B134</f>
        <v>0</v>
      </c>
      <c r="C134" s="51">
        <f>'INTERNAL TEST-1  '!C134</f>
        <v>0</v>
      </c>
      <c r="D134" s="33" t="e">
        <f>'INTERNAL TEST-1  '!U134+#REF!</f>
        <v>#REF!</v>
      </c>
      <c r="E134" s="33" t="e">
        <f>#REF!*10</f>
        <v>#REF!</v>
      </c>
      <c r="F134" s="33">
        <f>'SEMESTER EXAM RESULT'!E135</f>
        <v>0</v>
      </c>
    </row>
    <row r="135" spans="1:6" ht="20.100000000000001" hidden="1" customHeight="1">
      <c r="A135" s="33">
        <v>122</v>
      </c>
      <c r="B135" s="33">
        <f>'INTERNAL TEST-1  '!B135</f>
        <v>0</v>
      </c>
      <c r="C135" s="51">
        <f>'INTERNAL TEST-1  '!C135</f>
        <v>0</v>
      </c>
      <c r="D135" s="33" t="e">
        <f>'INTERNAL TEST-1  '!U135+#REF!</f>
        <v>#REF!</v>
      </c>
      <c r="E135" s="33" t="e">
        <f>#REF!*10</f>
        <v>#REF!</v>
      </c>
      <c r="F135" s="33">
        <f>'SEMESTER EXAM RESULT'!E136</f>
        <v>0</v>
      </c>
    </row>
    <row r="136" spans="1:6" ht="20.100000000000001" hidden="1" customHeight="1">
      <c r="A136" s="33">
        <v>123</v>
      </c>
      <c r="B136" s="33">
        <f>'INTERNAL TEST-1  '!B136</f>
        <v>0</v>
      </c>
      <c r="C136" s="51">
        <f>'INTERNAL TEST-1  '!C136</f>
        <v>0</v>
      </c>
      <c r="D136" s="33" t="e">
        <f>'INTERNAL TEST-1  '!U136+#REF!</f>
        <v>#REF!</v>
      </c>
      <c r="E136" s="33" t="e">
        <f>#REF!*10</f>
        <v>#REF!</v>
      </c>
      <c r="F136" s="33">
        <f>'SEMESTER EXAM RESULT'!E137</f>
        <v>0</v>
      </c>
    </row>
    <row r="137" spans="1:6" ht="20.100000000000001" hidden="1" customHeight="1">
      <c r="A137" s="33">
        <v>124</v>
      </c>
      <c r="B137" s="33">
        <f>'INTERNAL TEST-1  '!B137</f>
        <v>0</v>
      </c>
      <c r="C137" s="51">
        <f>'INTERNAL TEST-1  '!C137</f>
        <v>0</v>
      </c>
      <c r="D137" s="33" t="e">
        <f>'INTERNAL TEST-1  '!U137+#REF!</f>
        <v>#REF!</v>
      </c>
      <c r="E137" s="33" t="e">
        <f>#REF!*10</f>
        <v>#REF!</v>
      </c>
      <c r="F137" s="33">
        <f>'SEMESTER EXAM RESULT'!E138</f>
        <v>0</v>
      </c>
    </row>
    <row r="138" spans="1:6" ht="20.100000000000001" hidden="1" customHeight="1">
      <c r="A138" s="33">
        <v>125</v>
      </c>
      <c r="B138" s="33">
        <f>'INTERNAL TEST-1  '!B138</f>
        <v>0</v>
      </c>
      <c r="C138" s="51">
        <f>'INTERNAL TEST-1  '!C138</f>
        <v>0</v>
      </c>
      <c r="D138" s="33" t="e">
        <f>'INTERNAL TEST-1  '!U138+#REF!</f>
        <v>#REF!</v>
      </c>
      <c r="E138" s="33" t="e">
        <f>#REF!*10</f>
        <v>#REF!</v>
      </c>
      <c r="F138" s="33">
        <f>'SEMESTER EXAM RESULT'!E139</f>
        <v>0</v>
      </c>
    </row>
    <row r="139" spans="1:6" ht="20.100000000000001" hidden="1" customHeight="1">
      <c r="A139" s="33">
        <v>126</v>
      </c>
      <c r="B139" s="33">
        <f>'INTERNAL TEST-1  '!B139</f>
        <v>0</v>
      </c>
      <c r="C139" s="51">
        <f>'INTERNAL TEST-1  '!C139</f>
        <v>0</v>
      </c>
      <c r="D139" s="33" t="e">
        <f>'INTERNAL TEST-1  '!U139+#REF!</f>
        <v>#REF!</v>
      </c>
      <c r="E139" s="33" t="e">
        <f>#REF!*10</f>
        <v>#REF!</v>
      </c>
      <c r="F139" s="33">
        <f>'SEMESTER EXAM RESULT'!E140</f>
        <v>0</v>
      </c>
    </row>
    <row r="140" spans="1:6" ht="21.9" customHeight="1">
      <c r="A140" s="182" t="s">
        <v>46</v>
      </c>
      <c r="B140" s="182"/>
      <c r="C140" s="182"/>
      <c r="D140" s="31" t="e">
        <f>ROUND(((COUNTIF(D14:D139,"&gt;="&amp;I4))/INPUT!B8)*100,2)</f>
        <v>#DIV/0!</v>
      </c>
      <c r="E140" s="31" t="e">
        <f>ROUND(((COUNTIF(E14:E139,"&gt;="&amp;I5))/INPUT!B8)*100,2)</f>
        <v>#DIV/0!</v>
      </c>
      <c r="F140" s="31" t="e">
        <f>ROUND(((COUNTIF(F14:F139,"&gt;="&amp;I5))/INPUT!B8)*100,2)</f>
        <v>#DIV/0!</v>
      </c>
    </row>
    <row r="141" spans="1:6" ht="21.9" customHeight="1">
      <c r="A141" s="183" t="s">
        <v>47</v>
      </c>
      <c r="B141" s="183"/>
      <c r="C141" s="183"/>
      <c r="D141" s="34" t="e">
        <f>IF(D140&gt;=80,3,IF(AND(D140&gt;=70,D140&lt;80),2,IF(AND(D140&gt;=60,D140&lt;70),1,0)))</f>
        <v>#DIV/0!</v>
      </c>
      <c r="E141" s="34" t="e">
        <f>IF(E140&gt;=80,3,IF(AND(E140&gt;=70,E140&lt;80),2,IF(AND(E140&gt;=60,E140&lt;70),1,0)))</f>
        <v>#DIV/0!</v>
      </c>
      <c r="F141" s="34" t="e">
        <f>IF(F140&gt;=80,3,IF(AND(F140&gt;=70,F140&lt;80),2,IF(AND(F140&gt;=60,F140&lt;70),1,0)))</f>
        <v>#DIV/0!</v>
      </c>
    </row>
  </sheetData>
  <mergeCells count="21">
    <mergeCell ref="A9:A13"/>
    <mergeCell ref="C9:C13"/>
    <mergeCell ref="A140:C140"/>
    <mergeCell ref="A141:C141"/>
    <mergeCell ref="D9:D13"/>
    <mergeCell ref="B9:B13"/>
    <mergeCell ref="E9:E13"/>
    <mergeCell ref="F9:F13"/>
    <mergeCell ref="H9:J9"/>
    <mergeCell ref="H10:J10"/>
    <mergeCell ref="H11:J11"/>
    <mergeCell ref="H12:J12"/>
    <mergeCell ref="A2:F2"/>
    <mergeCell ref="A3:F3"/>
    <mergeCell ref="A4:F4"/>
    <mergeCell ref="A8:F8"/>
    <mergeCell ref="A5:B5"/>
    <mergeCell ref="E6:F6"/>
    <mergeCell ref="A6:B6"/>
    <mergeCell ref="A7:B7"/>
    <mergeCell ref="C7:D7"/>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2"/>
  <sheetViews>
    <sheetView workbookViewId="0">
      <selection activeCell="M16" sqref="M16"/>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47" t="s">
        <v>0</v>
      </c>
      <c r="C1" s="147"/>
      <c r="D1" s="147"/>
      <c r="E1" s="147"/>
      <c r="F1" s="147"/>
      <c r="G1" s="147"/>
      <c r="H1" s="147"/>
      <c r="I1" s="147"/>
      <c r="J1" s="147"/>
    </row>
    <row r="2" spans="2:10" ht="21">
      <c r="B2" s="156">
        <f>INPUT!B2</f>
        <v>0</v>
      </c>
      <c r="C2" s="156"/>
      <c r="D2" s="156"/>
      <c r="E2" s="156"/>
      <c r="F2" s="156"/>
      <c r="G2" s="156"/>
      <c r="H2" s="156"/>
      <c r="I2" s="156"/>
      <c r="J2" s="156"/>
    </row>
    <row r="3" spans="2:10" ht="21">
      <c r="B3" s="148" t="s">
        <v>49</v>
      </c>
      <c r="C3" s="148"/>
      <c r="D3" s="148"/>
      <c r="E3" s="148"/>
      <c r="F3" s="148"/>
      <c r="G3" s="148"/>
      <c r="H3" s="148"/>
      <c r="I3" s="148"/>
      <c r="J3" s="148"/>
    </row>
    <row r="4" spans="2:10" ht="21">
      <c r="B4" s="150" t="s">
        <v>62</v>
      </c>
      <c r="C4" s="150"/>
      <c r="D4" s="88">
        <f>INPUT!B3</f>
        <v>0</v>
      </c>
      <c r="E4" s="5"/>
      <c r="F4" s="6" t="s">
        <v>75</v>
      </c>
      <c r="G4" s="88">
        <f>INPUT!B4</f>
        <v>0</v>
      </c>
      <c r="H4" s="6" t="s">
        <v>68</v>
      </c>
      <c r="I4" s="88">
        <f>INPUT!B5</f>
        <v>0</v>
      </c>
      <c r="J4" s="5"/>
    </row>
    <row r="5" spans="2:10" ht="15.6">
      <c r="B5" s="150" t="s">
        <v>63</v>
      </c>
      <c r="C5" s="150"/>
      <c r="D5" s="157">
        <f>INPUT!B7</f>
        <v>0</v>
      </c>
      <c r="E5" s="157"/>
      <c r="F5" s="157"/>
      <c r="G5" s="75"/>
      <c r="H5" s="98" t="s">
        <v>67</v>
      </c>
      <c r="I5" s="184">
        <f>INPUT!B6</f>
        <v>0</v>
      </c>
      <c r="J5" s="184"/>
    </row>
    <row r="6" spans="2:10" ht="15.75" customHeight="1">
      <c r="B6" s="165" t="s">
        <v>17</v>
      </c>
      <c r="C6" s="185" t="str">
        <f>INPUT!G1</f>
        <v>Internal Test 1</v>
      </c>
      <c r="D6" s="185" t="str">
        <f>INPUT!L1</f>
        <v>Internal Test 2</v>
      </c>
      <c r="E6" s="185" t="str">
        <f>INPUT!Q1</f>
        <v>Assignments</v>
      </c>
      <c r="F6" s="162" t="s">
        <v>52</v>
      </c>
      <c r="G6" s="162" t="s">
        <v>41</v>
      </c>
      <c r="H6" s="162" t="s">
        <v>51</v>
      </c>
      <c r="I6" s="162" t="s">
        <v>53</v>
      </c>
      <c r="J6" s="162" t="s">
        <v>49</v>
      </c>
    </row>
    <row r="7" spans="2:10">
      <c r="B7" s="165"/>
      <c r="C7" s="185"/>
      <c r="D7" s="185"/>
      <c r="E7" s="185"/>
      <c r="F7" s="162"/>
      <c r="G7" s="162"/>
      <c r="H7" s="162"/>
      <c r="I7" s="162"/>
      <c r="J7" s="162"/>
    </row>
    <row r="8" spans="2:10">
      <c r="B8" s="165"/>
      <c r="C8" s="185"/>
      <c r="D8" s="185"/>
      <c r="E8" s="185"/>
      <c r="F8" s="162"/>
      <c r="G8" s="162"/>
      <c r="H8" s="162"/>
      <c r="I8" s="162"/>
      <c r="J8" s="162"/>
    </row>
    <row r="9" spans="2:10">
      <c r="B9" s="165"/>
      <c r="C9" s="185"/>
      <c r="D9" s="185"/>
      <c r="E9" s="185"/>
      <c r="F9" s="162"/>
      <c r="G9" s="162"/>
      <c r="H9" s="162"/>
      <c r="I9" s="162"/>
      <c r="J9" s="162"/>
    </row>
    <row r="10" spans="2:10">
      <c r="B10" s="165"/>
      <c r="C10" s="185"/>
      <c r="D10" s="185"/>
      <c r="E10" s="185"/>
      <c r="F10" s="162"/>
      <c r="G10" s="162"/>
      <c r="H10" s="162"/>
      <c r="I10" s="162"/>
      <c r="J10" s="162"/>
    </row>
    <row r="11" spans="2:10" ht="20.100000000000001" customHeight="1">
      <c r="B11" s="62" t="str">
        <f>INPUT!A12</f>
        <v>CO1</v>
      </c>
      <c r="C11" s="62" t="str">
        <f>IFERROR('INTERNAL TEST-1  '!AC144,"-")</f>
        <v>-</v>
      </c>
      <c r="D11" s="62" t="str">
        <f>IFERROR('INTERNAL TEST-2'!AC144,"-")</f>
        <v>-</v>
      </c>
      <c r="E11" s="62" t="str">
        <f>IFERROR(ASSIGNMENT!AC144,"-")</f>
        <v>-</v>
      </c>
      <c r="F11" s="62" t="str">
        <f>IF(OR(C11&lt;&gt;"-",D11&lt;&gt;"-", E11&lt;&gt;"-"),IF(AND(INPUT!$J$1="Show",INPUT!$O$1="Show",INPUT!$T$1="Show"),ROUND(AVERAGE(C11:E11),2),C11),"-")</f>
        <v>-</v>
      </c>
      <c r="G11" s="100" t="e">
        <f>IF(B11&lt;&gt;0,'SEMESTER EXAM RESULT'!E143,"-")</f>
        <v>#DIV/0!</v>
      </c>
      <c r="H11" s="100" t="e">
        <f>IF(B11&lt;&gt;0,IF(INPUT!$E$8="Yes",ROUND(F11*(INPUT!$E$29/100)+G11*(INPUT!$E$30/100),2),'CO Attainment'!F11),"-")</f>
        <v>#VALUE!</v>
      </c>
      <c r="I11" s="100" t="e">
        <f>IF(B11&lt;&gt;0,'Course Exit Survey'!K140,"-")</f>
        <v>#DIV/0!</v>
      </c>
      <c r="J11" s="100" t="e">
        <f>ROUND(H11*(INPUT!$E$31/100)+I11*(INPUT!$E$32/100),2)</f>
        <v>#VALUE!</v>
      </c>
    </row>
    <row r="12" spans="2:10" ht="20.100000000000001" customHeight="1">
      <c r="B12" s="62" t="str">
        <f>INPUT!A13</f>
        <v>CO2</v>
      </c>
      <c r="C12" s="62" t="str">
        <f>IFERROR('INTERNAL TEST-1  '!AD144,"-")</f>
        <v>-</v>
      </c>
      <c r="D12" s="62" t="str">
        <f>IFERROR('INTERNAL TEST-2'!AD144,"-")</f>
        <v>-</v>
      </c>
      <c r="E12" s="62" t="str">
        <f>IFERROR(ASSIGNMENT!AD144,"-")</f>
        <v>-</v>
      </c>
      <c r="F12" s="62" t="str">
        <f>IF(OR(C12&lt;&gt;"-",D12&lt;&gt;"-", E12&lt;&gt;"-"),IF(AND(INPUT!$J$1="Show",INPUT!$O$1="Show",INPUT!$T$1="Show"),ROUND(AVERAGE(C12:E12),2),C12),"-")</f>
        <v>-</v>
      </c>
      <c r="G12" s="100" t="e">
        <f>IF(B12&lt;&gt;0,'SEMESTER EXAM RESULT'!E143,"-")</f>
        <v>#DIV/0!</v>
      </c>
      <c r="H12" s="100" t="e">
        <f>IF(B12&lt;&gt;0,IF(INPUT!$E$8="Yes",ROUND(F12*(INPUT!$E$29/100)+G12*(INPUT!$E$30/100),2),'CO Attainment'!F12),"-")</f>
        <v>#VALUE!</v>
      </c>
      <c r="I12" s="100" t="e">
        <f>IF(B11&lt;&gt;0,'Course Exit Survey'!L140,"-")</f>
        <v>#DIV/0!</v>
      </c>
      <c r="J12" s="100" t="e">
        <f>ROUND(H12*(INPUT!$E$31/100)+I12*(INPUT!$E$32/100),2)</f>
        <v>#VALUE!</v>
      </c>
    </row>
    <row r="13" spans="2:10" ht="20.100000000000001" customHeight="1">
      <c r="B13" s="62" t="str">
        <f>INPUT!A14</f>
        <v>CO3</v>
      </c>
      <c r="C13" s="62" t="str">
        <f>IFERROR('INTERNAL TEST-1  '!AE144,"-")</f>
        <v>-</v>
      </c>
      <c r="D13" s="62" t="str">
        <f>IFERROR('INTERNAL TEST-2'!AE144,"-")</f>
        <v>-</v>
      </c>
      <c r="E13" s="62" t="str">
        <f>IFERROR(ASSIGNMENT!AE144,"-")</f>
        <v>-</v>
      </c>
      <c r="F13" s="62" t="str">
        <f>IF(OR(C13&lt;&gt;"-",D13&lt;&gt;"-", E13&lt;&gt;"-"),IF(AND(INPUT!$J$1="Show",INPUT!$O$1="Show",INPUT!$T$1="Show"),ROUND(AVERAGE(C13:E13),2),C13),"-")</f>
        <v>-</v>
      </c>
      <c r="G13" s="100" t="e">
        <f>IF(B13&lt;&gt;0,'SEMESTER EXAM RESULT'!E143,"-")</f>
        <v>#DIV/0!</v>
      </c>
      <c r="H13" s="100" t="e">
        <f>IF(B13&lt;&gt;0,IF(INPUT!$E$8="Yes",ROUND(F13*(INPUT!$E$29/100)+G13*(INPUT!$E$30/100),2),'CO Attainment'!F13),"-")</f>
        <v>#VALUE!</v>
      </c>
      <c r="I13" s="100" t="e">
        <f>IF(B11&lt;&gt;0,'Course Exit Survey'!M140,"-")</f>
        <v>#DIV/0!</v>
      </c>
      <c r="J13" s="100" t="e">
        <f>ROUND(H13*(INPUT!$E$31/100)+I13*(INPUT!$E$32/100),2)</f>
        <v>#VALUE!</v>
      </c>
    </row>
    <row r="14" spans="2:10" ht="20.100000000000001" customHeight="1">
      <c r="B14" s="62" t="str">
        <f>INPUT!A15</f>
        <v>CO4</v>
      </c>
      <c r="C14" s="62" t="str">
        <f>IFERROR('INTERNAL TEST-1  '!AF144,"-")</f>
        <v>-</v>
      </c>
      <c r="D14" s="62" t="str">
        <f>IFERROR('INTERNAL TEST-2'!AF144,"-")</f>
        <v>-</v>
      </c>
      <c r="E14" s="62" t="str">
        <f>IFERROR(ASSIGNMENT!AF144,"-")</f>
        <v>-</v>
      </c>
      <c r="F14" s="62" t="str">
        <f>IF(OR(C14&lt;&gt;"-",D14&lt;&gt;"-", E14&lt;&gt;"-"),IF(AND(INPUT!$J$1="Show",INPUT!$O$1="Show",INPUT!$T$1="Show"),ROUND(AVERAGE(C14:E14),2),C14),"-")</f>
        <v>-</v>
      </c>
      <c r="G14" s="100" t="e">
        <f>IF(B14&lt;&gt;0,'SEMESTER EXAM RESULT'!E143,"-")</f>
        <v>#DIV/0!</v>
      </c>
      <c r="H14" s="100" t="e">
        <f>IF(B14&lt;&gt;0,IF(INPUT!$E$8="Yes",ROUND(F14*(INPUT!$E$29/100)+G14*(INPUT!$E$30/100),2),'CO Attainment'!F14),"-")</f>
        <v>#VALUE!</v>
      </c>
      <c r="I14" s="100" t="e">
        <f>IF(B11&lt;&gt;0,'Course Exit Survey'!N140,"-")</f>
        <v>#DIV/0!</v>
      </c>
      <c r="J14" s="100" t="e">
        <f>ROUND(H14*(INPUT!$E$31/100)+I14*(INPUT!$E$32/100),2)</f>
        <v>#VALUE!</v>
      </c>
    </row>
    <row r="15" spans="2:10" ht="19.2" customHeight="1">
      <c r="B15" s="62" t="str">
        <f>INPUT!A16</f>
        <v>CO5</v>
      </c>
      <c r="C15" s="62" t="str">
        <f>IFERROR('INTERNAL TEST-1  '!AG144,"-")</f>
        <v>-</v>
      </c>
      <c r="D15" s="62" t="str">
        <f>IFERROR('INTERNAL TEST-2'!AG144,"-")</f>
        <v>-</v>
      </c>
      <c r="E15" s="62" t="str">
        <f>IFERROR(ASSIGNMENT!AG144,"-")</f>
        <v>-</v>
      </c>
      <c r="F15" s="62" t="str">
        <f>IF(OR(C15&lt;&gt;"-",D15&lt;&gt;"-", E15&lt;&gt;"-"),IF(AND(INPUT!$J$1="Show",INPUT!$O$1="Show",INPUT!$T$1="Show"),ROUND(AVERAGE(C15:E15),2),C15),"-")</f>
        <v>-</v>
      </c>
      <c r="G15" s="100" t="e">
        <f>IF(B15&lt;&gt;0,'SEMESTER EXAM RESULT'!E143,"-")</f>
        <v>#DIV/0!</v>
      </c>
      <c r="H15" s="100" t="e">
        <f>IF(B15&lt;&gt;0,IF(INPUT!$E$8="Yes",ROUND(F15*(INPUT!$E$29/100)+G15*(INPUT!$E$30/100),2),'CO Attainment'!F15),"-")</f>
        <v>#VALUE!</v>
      </c>
      <c r="I15" s="100" t="e">
        <f>IF(B11&lt;&gt;0,'Course Exit Survey'!O140,"-")</f>
        <v>#DIV/0!</v>
      </c>
      <c r="J15" s="100" t="e">
        <f>ROUND(H15*(INPUT!$E$31/100)+I15*(INPUT!$E$32/100),2)</f>
        <v>#VALUE!</v>
      </c>
    </row>
    <row r="16" spans="2:10" ht="26.4" customHeight="1">
      <c r="B16" s="62" t="str">
        <f>INPUT!A17</f>
        <v>CO6</v>
      </c>
      <c r="C16" s="62" t="str">
        <f>IFERROR('INTERNAL TEST-1  '!AH144,"-")</f>
        <v>-</v>
      </c>
      <c r="D16" s="62" t="str">
        <f>IFERROR('INTERNAL TEST-2'!AH144,"-")</f>
        <v>-</v>
      </c>
      <c r="E16" s="62" t="str">
        <f>IFERROR(ASSIGNMENT!AH144,"-")</f>
        <v>-</v>
      </c>
      <c r="F16" s="62" t="str">
        <f>IF(OR(C16&lt;&gt;"-",D16&lt;&gt;"-", E16&lt;&gt;"-"),IF(AND(INPUT!$J$1="Show",INPUT!$O$1="Show",INPUT!$T$1="Show"),ROUND(AVERAGE(C16:E16),2),C16),"-")</f>
        <v>-</v>
      </c>
      <c r="G16" s="100" t="e">
        <f>IF(B16&lt;&gt;0,'SEMESTER EXAM RESULT'!E143,"-")</f>
        <v>#DIV/0!</v>
      </c>
      <c r="H16" s="100" t="e">
        <f>IF(B16&lt;&gt;0,IF(INPUT!$E$8="Yes",ROUND(F16*(INPUT!$E$29/100)+G16*(INPUT!$E$30/100),2),'CO Attainment'!F16),"-")</f>
        <v>#VALUE!</v>
      </c>
      <c r="I16" s="100" t="e">
        <f>'Course Exit Survey'!P140</f>
        <v>#DIV/0!</v>
      </c>
      <c r="J16" s="100" t="e">
        <f>ROUND(H16*(INPUT!$E$31/100)+I16*(INPUT!$E$32/100),2)</f>
        <v>#VALUE!</v>
      </c>
    </row>
    <row r="17" spans="2:10" ht="20.100000000000001" customHeight="1">
      <c r="B17" s="62" t="str">
        <f>INPUT!A18</f>
        <v>CO7</v>
      </c>
      <c r="C17" s="62" t="str">
        <f>IFERROR('INTERNAL TEST-1  '!AI144,"-")</f>
        <v>-</v>
      </c>
      <c r="D17" s="62" t="str">
        <f>IFERROR('INTERNAL TEST-2'!AI144,"-")</f>
        <v>-</v>
      </c>
      <c r="E17" s="62" t="str">
        <f>IFERROR(ASSIGNMENT!AI144,"-")</f>
        <v>-</v>
      </c>
      <c r="F17" s="62" t="str">
        <f>IF(OR(C17&lt;&gt;"-",D17&lt;&gt;"-", E17&lt;&gt;"-"),IF(AND(INPUT!$J$1="Show",INPUT!$O$1="Show",INPUT!$T$1="Show"),ROUND(AVERAGE(C17:E17),2),C17),"-")</f>
        <v>-</v>
      </c>
      <c r="G17" s="100" t="e">
        <f>IF(B17&lt;&gt;0,'SEMESTER EXAM RESULT'!E143,"-")</f>
        <v>#DIV/0!</v>
      </c>
      <c r="H17" s="100" t="e">
        <f>IF(B17&lt;&gt;0,IF(INPUT!$E$8="Yes",ROUND(F17*(INPUT!$E$29/100)+G17*(INPUT!$E$30/100),2),'CO Attainment'!F17),"-")</f>
        <v>#VALUE!</v>
      </c>
      <c r="I17" s="100" t="e">
        <f>IF(B17&lt;&gt;0,'Course Exit Survey'!Q140,"-")</f>
        <v>#DIV/0!</v>
      </c>
      <c r="J17" s="100" t="e">
        <f>ROUND(H17*(INPUT!$E$31/100)+I17*(INPUT!$E$32/100),2)</f>
        <v>#VALUE!</v>
      </c>
    </row>
    <row r="18" spans="2:10">
      <c r="B18" s="158" t="s">
        <v>115</v>
      </c>
      <c r="C18" s="158"/>
      <c r="D18" s="158"/>
      <c r="E18" s="158"/>
      <c r="F18" s="101">
        <f>ROUND(SUM(F11:F17)/COUNTIF(B11:B17,"&lt;&gt;0"),2)</f>
        <v>0</v>
      </c>
      <c r="G18" s="101" t="e">
        <f>ROUND(SUM(G11:G17)/COUNTIF(B11:B17,"&lt;&gt;0"),2)</f>
        <v>#DIV/0!</v>
      </c>
      <c r="H18" s="101" t="e">
        <f>ROUND(SUM(H11:H17)/COUNTIF(B11:B17,"&lt;&gt;0"),2)</f>
        <v>#VALUE!</v>
      </c>
      <c r="I18" s="101" t="e">
        <f>ROUND(SUM(I11:I17)/COUNTIF(B11:B17,"&lt;&gt;0"),2)</f>
        <v>#DIV/0!</v>
      </c>
      <c r="J18" s="97" t="e">
        <f>ROUND(H18*(INPUT!$E$31/100)+I18*(INPUT!$E$32/100),2)</f>
        <v>#VALUE!</v>
      </c>
    </row>
    <row r="22" spans="2:10">
      <c r="H22" s="186" t="s">
        <v>116</v>
      </c>
      <c r="I22" s="186"/>
      <c r="J22" s="186"/>
    </row>
  </sheetData>
  <sheetProtection algorithmName="SHA-512" hashValue="ASQw6ChrLlmCTdnsnutRLCKiUoD1N2pIP9wCYfeWbX7rys0vxY3vWMvbGMjq3CqJ3RNn665dxczwqTF4NYTQ0A==" saltValue="71Ia2muLMCWVk6miWw/zTw==" spinCount="100000" sheet="1" objects="1" scenarios="1"/>
  <mergeCells count="18">
    <mergeCell ref="D6:D10"/>
    <mergeCell ref="E6:E10"/>
    <mergeCell ref="G6:G10"/>
    <mergeCell ref="B18:E18"/>
    <mergeCell ref="H22:J22"/>
    <mergeCell ref="I6:I10"/>
    <mergeCell ref="J6:J10"/>
    <mergeCell ref="F6:F10"/>
    <mergeCell ref="H6:H10"/>
    <mergeCell ref="B6:B10"/>
    <mergeCell ref="C6:C10"/>
    <mergeCell ref="B1:J1"/>
    <mergeCell ref="B2:J2"/>
    <mergeCell ref="B3:J3"/>
    <mergeCell ref="B4:C4"/>
    <mergeCell ref="I5:J5"/>
    <mergeCell ref="B5:C5"/>
    <mergeCell ref="D5:F5"/>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0"/>
  <sheetViews>
    <sheetView workbookViewId="0">
      <selection activeCell="H27" sqref="H27"/>
    </sheetView>
  </sheetViews>
  <sheetFormatPr defaultRowHeight="14.4"/>
  <cols>
    <col min="1" max="1" width="10.77734375" style="2" customWidth="1"/>
    <col min="2" max="16" width="8.77734375" style="2" customWidth="1"/>
    <col min="17" max="16384" width="8.88671875" style="2"/>
  </cols>
  <sheetData>
    <row r="1" spans="1:16">
      <c r="A1" s="75"/>
      <c r="B1" s="75"/>
      <c r="C1" s="75"/>
      <c r="D1" s="75"/>
      <c r="E1" s="75"/>
      <c r="F1" s="75"/>
      <c r="G1" s="75"/>
      <c r="H1" s="75"/>
      <c r="I1" s="75"/>
    </row>
    <row r="2" spans="1:16" ht="16.8">
      <c r="A2" s="187" t="s">
        <v>0</v>
      </c>
      <c r="B2" s="187"/>
      <c r="C2" s="187"/>
      <c r="D2" s="187"/>
      <c r="E2" s="187"/>
      <c r="F2" s="187"/>
      <c r="G2" s="187"/>
      <c r="H2" s="187"/>
      <c r="I2" s="187"/>
      <c r="J2" s="187"/>
      <c r="K2" s="187"/>
      <c r="L2" s="187"/>
      <c r="M2" s="187"/>
      <c r="N2" s="187"/>
      <c r="O2" s="187"/>
      <c r="P2" s="187"/>
    </row>
    <row r="3" spans="1:16" ht="17.399999999999999">
      <c r="A3" s="188">
        <f>INPUT!B2</f>
        <v>0</v>
      </c>
      <c r="B3" s="188"/>
      <c r="C3" s="188"/>
      <c r="D3" s="188"/>
      <c r="E3" s="188"/>
      <c r="F3" s="188"/>
      <c r="G3" s="188"/>
      <c r="H3" s="188"/>
      <c r="I3" s="188"/>
      <c r="J3" s="188"/>
      <c r="K3" s="188"/>
      <c r="L3" s="188"/>
      <c r="M3" s="188"/>
      <c r="N3" s="188"/>
      <c r="O3" s="188"/>
      <c r="P3" s="188"/>
    </row>
    <row r="4" spans="1:16" ht="17.399999999999999">
      <c r="A4" s="189" t="s">
        <v>118</v>
      </c>
      <c r="B4" s="189"/>
      <c r="C4" s="189"/>
      <c r="D4" s="189"/>
      <c r="E4" s="189"/>
      <c r="F4" s="189"/>
      <c r="G4" s="189"/>
      <c r="H4" s="189"/>
      <c r="I4" s="189"/>
      <c r="J4" s="189"/>
      <c r="K4" s="189"/>
      <c r="L4" s="189"/>
      <c r="M4" s="189"/>
      <c r="N4" s="189"/>
      <c r="O4" s="189"/>
      <c r="P4" s="189"/>
    </row>
    <row r="5" spans="1:16">
      <c r="A5" s="194" t="s">
        <v>62</v>
      </c>
      <c r="B5" s="194"/>
      <c r="C5" s="190">
        <f>INPUT!B3</f>
        <v>0</v>
      </c>
      <c r="D5" s="190"/>
      <c r="E5" s="190"/>
      <c r="F5" s="103"/>
      <c r="G5" s="103"/>
      <c r="H5" s="103"/>
      <c r="I5" s="103"/>
      <c r="M5" s="109" t="s">
        <v>114</v>
      </c>
      <c r="N5" s="109"/>
      <c r="O5" s="109">
        <f>INPUT!B4</f>
        <v>0</v>
      </c>
      <c r="P5" s="107"/>
    </row>
    <row r="6" spans="1:16">
      <c r="A6" s="195" t="s">
        <v>63</v>
      </c>
      <c r="B6" s="195"/>
      <c r="C6" s="192">
        <f>INPUT!B7</f>
        <v>0</v>
      </c>
      <c r="D6" s="192"/>
      <c r="E6" s="192"/>
      <c r="F6" s="192"/>
      <c r="G6" s="196"/>
      <c r="H6" s="196"/>
      <c r="I6" s="196"/>
      <c r="J6" s="197" t="s">
        <v>58</v>
      </c>
      <c r="K6" s="197"/>
      <c r="L6" s="197"/>
      <c r="M6" s="198" t="str">
        <f>CONCATENATE(INPUT!B5," ",INPUT!B6)</f>
        <v xml:space="preserve"> </v>
      </c>
      <c r="N6" s="198"/>
      <c r="O6" s="198"/>
      <c r="P6" s="198"/>
    </row>
    <row r="7" spans="1:16">
      <c r="A7" s="104"/>
      <c r="B7" s="104"/>
      <c r="C7" s="105"/>
      <c r="D7" s="104"/>
      <c r="E7" s="104"/>
      <c r="F7" s="104"/>
      <c r="G7" s="104"/>
      <c r="H7" s="104"/>
      <c r="I7" s="104"/>
    </row>
    <row r="8" spans="1:16">
      <c r="A8" s="193" t="s">
        <v>117</v>
      </c>
      <c r="B8" s="193"/>
      <c r="C8" s="193"/>
      <c r="D8" s="193"/>
      <c r="E8" s="193"/>
      <c r="F8" s="193"/>
      <c r="G8" s="193"/>
      <c r="H8" s="193"/>
      <c r="I8" s="193"/>
      <c r="J8" s="193"/>
      <c r="K8" s="193"/>
      <c r="L8" s="193"/>
      <c r="M8" s="193"/>
      <c r="N8" s="193"/>
      <c r="O8" s="193"/>
      <c r="P8" s="193"/>
    </row>
    <row r="9" spans="1:16">
      <c r="A9" s="82" t="s">
        <v>17</v>
      </c>
      <c r="B9" s="99" t="s">
        <v>79</v>
      </c>
      <c r="C9" s="99" t="s">
        <v>80</v>
      </c>
      <c r="D9" s="99" t="s">
        <v>81</v>
      </c>
      <c r="E9" s="99" t="s">
        <v>82</v>
      </c>
      <c r="F9" s="99" t="s">
        <v>83</v>
      </c>
      <c r="G9" s="99" t="s">
        <v>84</v>
      </c>
      <c r="H9" s="99" t="s">
        <v>85</v>
      </c>
      <c r="I9" s="99" t="s">
        <v>86</v>
      </c>
      <c r="J9" s="99" t="s">
        <v>87</v>
      </c>
      <c r="K9" s="99" t="s">
        <v>88</v>
      </c>
      <c r="L9" s="99" t="s">
        <v>89</v>
      </c>
      <c r="M9" s="99" t="s">
        <v>90</v>
      </c>
      <c r="N9" s="99" t="str">
        <f>INPUT!T21</f>
        <v>PSO1</v>
      </c>
      <c r="O9" s="99" t="str">
        <f>INPUT!U21</f>
        <v>PSO2</v>
      </c>
      <c r="P9" s="99" t="str">
        <f>INPUT!V21</f>
        <v>PSO3</v>
      </c>
    </row>
    <row r="10" spans="1:16" hidden="1">
      <c r="A10" s="62" t="str">
        <f>INPUT!A12</f>
        <v>CO1</v>
      </c>
      <c r="B10" s="100" t="str">
        <f>IF(INPUT!H23 &lt;&gt;"-",ROUND((('CO Attainment'!$J$11*INPUT!H23)/3),2),"-")</f>
        <v>-</v>
      </c>
      <c r="C10" s="100" t="str">
        <f>IF(INPUT!I23 &lt;&gt;"-",ROUND((('CO Attainment'!$J$11*INPUT!I23)/3),2),"-")</f>
        <v>-</v>
      </c>
      <c r="D10" s="100" t="str">
        <f>IF(INPUT!J23 &lt;&gt;"-",ROUND((('CO Attainment'!$J$11*INPUT!J23)/3),2),"-")</f>
        <v>-</v>
      </c>
      <c r="E10" s="100" t="str">
        <f>IF(INPUT!K23 &lt;&gt;"-",ROUND((('CO Attainment'!$J$11*INPUT!K23)/3),2),"-")</f>
        <v>-</v>
      </c>
      <c r="F10" s="100" t="str">
        <f>IF(INPUT!L23 &lt;&gt;"-",ROUND((('CO Attainment'!$J$11*INPUT!L23)/3),2),"-")</f>
        <v>-</v>
      </c>
      <c r="G10" s="100" t="str">
        <f>IF(INPUT!M23 &lt;&gt;"-",ROUND((('CO Attainment'!$J$11*INPUT!M23)/3),2),"-")</f>
        <v>-</v>
      </c>
      <c r="H10" s="100" t="str">
        <f>IF(INPUT!N23 &lt;&gt;"-",ROUND((('CO Attainment'!$J$11*INPUT!N23)/3),2),"-")</f>
        <v>-</v>
      </c>
      <c r="I10" s="100" t="str">
        <f>IF(INPUT!O23 &lt;&gt;"-",ROUND((('CO Attainment'!$J$11*INPUT!O23)/3),2),"-")</f>
        <v>-</v>
      </c>
      <c r="J10" s="100" t="str">
        <f>IF(INPUT!P23 &lt;&gt;"-",ROUND((('CO Attainment'!$J$11*INPUT!P23)/3),2),"-")</f>
        <v>-</v>
      </c>
      <c r="K10" s="100" t="str">
        <f>IF(INPUT!Q23 &lt;&gt;"-",ROUND((('CO Attainment'!$J$11*INPUT!Q23)/3),2),"-")</f>
        <v>-</v>
      </c>
      <c r="L10" s="100" t="str">
        <f>IF(INPUT!R23 &lt;&gt;"-",ROUND((('CO Attainment'!$J$11*INPUT!R23)/3),2),"-")</f>
        <v>-</v>
      </c>
      <c r="M10" s="100" t="str">
        <f>IF(INPUT!S23 &lt;&gt;"-",ROUND((('CO Attainment'!$J$11*INPUT!S23)/3),2),"-")</f>
        <v>-</v>
      </c>
      <c r="N10" s="100" t="str">
        <f>IF(INPUT!T23 &lt;&gt;"-",ROUND((('CO Attainment'!$J$11*INPUT!T23)/3),2),"-")</f>
        <v>-</v>
      </c>
      <c r="O10" s="100" t="str">
        <f>IF(INPUT!U23 &lt;&gt;"-",ROUND((('CO Attainment'!$J$11*INPUT!U23)/3),2),"-")</f>
        <v>-</v>
      </c>
      <c r="P10" s="100" t="str">
        <f>IF(INPUT!V23 &lt;&gt;"-",ROUND((('CO Attainment'!$J$11*INPUT!V23)/3),2),"-")</f>
        <v>-</v>
      </c>
    </row>
    <row r="11" spans="1:16" hidden="1">
      <c r="A11" s="62" t="str">
        <f>INPUT!A13</f>
        <v>CO2</v>
      </c>
      <c r="B11" s="100" t="str">
        <f>IF(INPUT!H24 &lt;&gt;"-",ROUND((('CO Attainment'!$J$12*INPUT!H24)/3),2),"-")</f>
        <v>-</v>
      </c>
      <c r="C11" s="100" t="str">
        <f>IF(INPUT!I24 &lt;&gt;"-",ROUND((('CO Attainment'!$J$12*INPUT!I24)/3),2),"-")</f>
        <v>-</v>
      </c>
      <c r="D11" s="100" t="str">
        <f>IF(INPUT!J24 &lt;&gt;"-",ROUND((('CO Attainment'!$J$12*INPUT!J24)/3),2),"-")</f>
        <v>-</v>
      </c>
      <c r="E11" s="100" t="str">
        <f>IF(INPUT!K24 &lt;&gt;"-",ROUND((('CO Attainment'!$J$12*INPUT!K24)/3),2),"-")</f>
        <v>-</v>
      </c>
      <c r="F11" s="100" t="str">
        <f>IF(INPUT!L24 &lt;&gt;"-",ROUND((('CO Attainment'!$J$12*INPUT!L24)/3),2),"-")</f>
        <v>-</v>
      </c>
      <c r="G11" s="100" t="str">
        <f>IF(INPUT!M24 &lt;&gt;"-",ROUND((('CO Attainment'!$J$12*INPUT!M24)/3),2),"-")</f>
        <v>-</v>
      </c>
      <c r="H11" s="100" t="str">
        <f>IF(INPUT!N24 &lt;&gt;"-",ROUND((('CO Attainment'!$J$12*INPUT!N24)/3),2),"-")</f>
        <v>-</v>
      </c>
      <c r="I11" s="100" t="str">
        <f>IF(INPUT!O24 &lt;&gt;"-",ROUND((('CO Attainment'!$J$12*INPUT!O24)/3),2),"-")</f>
        <v>-</v>
      </c>
      <c r="J11" s="100" t="str">
        <f>IF(INPUT!P24 &lt;&gt;"-",ROUND((('CO Attainment'!$J$12*INPUT!P24)/3),2),"-")</f>
        <v>-</v>
      </c>
      <c r="K11" s="100" t="str">
        <f>IF(INPUT!Q24 &lt;&gt;"-",ROUND((('CO Attainment'!$J$12*INPUT!Q24)/3),2),"-")</f>
        <v>-</v>
      </c>
      <c r="L11" s="100" t="str">
        <f>IF(INPUT!R24 &lt;&gt;"-",ROUND((('CO Attainment'!$J$12*INPUT!R24)/3),2),"-")</f>
        <v>-</v>
      </c>
      <c r="M11" s="100" t="str">
        <f>IF(INPUT!S24 &lt;&gt;"-",ROUND((('CO Attainment'!$J$12*INPUT!S24)/3),2),"-")</f>
        <v>-</v>
      </c>
      <c r="N11" s="100" t="str">
        <f>IF(INPUT!T24 &lt;&gt;"-",ROUND((('CO Attainment'!$J$12*INPUT!T24)/3),2),"-")</f>
        <v>-</v>
      </c>
      <c r="O11" s="100" t="str">
        <f>IF(INPUT!U24 &lt;&gt;"-",ROUND((('CO Attainment'!$J$12*INPUT!U24)/3),2),"-")</f>
        <v>-</v>
      </c>
      <c r="P11" s="100" t="str">
        <f>IF(INPUT!V24 &lt;&gt;"-",ROUND((('CO Attainment'!$J$12*INPUT!V24)/3),2),"-")</f>
        <v>-</v>
      </c>
    </row>
    <row r="12" spans="1:16" hidden="1">
      <c r="A12" s="62" t="str">
        <f>INPUT!A14</f>
        <v>CO3</v>
      </c>
      <c r="B12" s="100" t="str">
        <f>IF(INPUT!H25 &lt;&gt;"-",ROUND((('CO Attainment'!$J$13*INPUT!H25)/3),2),"-")</f>
        <v>-</v>
      </c>
      <c r="C12" s="100" t="str">
        <f>IF(INPUT!I25 &lt;&gt;"-",ROUND((('CO Attainment'!$J$13*INPUT!I25)/3),2),"-")</f>
        <v>-</v>
      </c>
      <c r="D12" s="100" t="str">
        <f>IF(INPUT!J25 &lt;&gt;"-",ROUND((('CO Attainment'!$J$13*INPUT!J25)/3),2),"-")</f>
        <v>-</v>
      </c>
      <c r="E12" s="100" t="str">
        <f>IF(INPUT!K25 &lt;&gt;"-",ROUND((('CO Attainment'!$J$13*INPUT!K25)/3),2),"-")</f>
        <v>-</v>
      </c>
      <c r="F12" s="100" t="str">
        <f>IF(INPUT!L25 &lt;&gt;"-",ROUND((('CO Attainment'!$J$13*INPUT!L25)/3),2),"-")</f>
        <v>-</v>
      </c>
      <c r="G12" s="100" t="str">
        <f>IF(INPUT!M25 &lt;&gt;"-",ROUND((('CO Attainment'!$J$13*INPUT!M25)/3),2),"-")</f>
        <v>-</v>
      </c>
      <c r="H12" s="100" t="str">
        <f>IF(INPUT!N25 &lt;&gt;"-",ROUND((('CO Attainment'!$J$13*INPUT!N25)/3),2),"-")</f>
        <v>-</v>
      </c>
      <c r="I12" s="100" t="str">
        <f>IF(INPUT!O25 &lt;&gt;"-",ROUND((('CO Attainment'!$J$13*INPUT!O25)/3),2),"-")</f>
        <v>-</v>
      </c>
      <c r="J12" s="100" t="str">
        <f>IF(INPUT!P25 &lt;&gt;"-",ROUND((('CO Attainment'!$J$13*INPUT!P25)/3),2),"-")</f>
        <v>-</v>
      </c>
      <c r="K12" s="100" t="str">
        <f>IF(INPUT!Q25 &lt;&gt;"-",ROUND((('CO Attainment'!$J$13*INPUT!Q25)/3),2),"-")</f>
        <v>-</v>
      </c>
      <c r="L12" s="100" t="str">
        <f>IF(INPUT!R25 &lt;&gt;"-",ROUND((('CO Attainment'!$J$13*INPUT!R25)/3),2),"-")</f>
        <v>-</v>
      </c>
      <c r="M12" s="100" t="str">
        <f>IF(INPUT!S25 &lt;&gt;"-",ROUND((('CO Attainment'!$J$13*INPUT!S25)/3),2),"-")</f>
        <v>-</v>
      </c>
      <c r="N12" s="100" t="str">
        <f>IF(INPUT!T25 &lt;&gt;"-",ROUND((('CO Attainment'!$J$13*INPUT!T25)/3),2),"-")</f>
        <v>-</v>
      </c>
      <c r="O12" s="100" t="str">
        <f>IF(INPUT!U25 &lt;&gt;"-",ROUND((('CO Attainment'!$J$13*INPUT!U25)/3),2),"-")</f>
        <v>-</v>
      </c>
      <c r="P12" s="100" t="str">
        <f>IF(INPUT!V25 &lt;&gt;"-",ROUND((('CO Attainment'!$J$13*INPUT!V25)/3),2),"-")</f>
        <v>-</v>
      </c>
    </row>
    <row r="13" spans="1:16" hidden="1">
      <c r="A13" s="62" t="str">
        <f>INPUT!A15</f>
        <v>CO4</v>
      </c>
      <c r="B13" s="100" t="str">
        <f>IF(INPUT!H26 &lt;&gt;"-",ROUND((('CO Attainment'!$J$14*INPUT!H26)/3),2),"-")</f>
        <v>-</v>
      </c>
      <c r="C13" s="100" t="str">
        <f>IF(INPUT!I26 &lt;&gt;"-",ROUND((('CO Attainment'!$J$14*INPUT!I26)/3),2),"-")</f>
        <v>-</v>
      </c>
      <c r="D13" s="100" t="str">
        <f>IF(INPUT!J26 &lt;&gt;"-",ROUND((('CO Attainment'!$J$14*INPUT!J26)/3),2),"-")</f>
        <v>-</v>
      </c>
      <c r="E13" s="100" t="str">
        <f>IF(INPUT!K26 &lt;&gt;"-",ROUND((('CO Attainment'!$J$14*INPUT!K26)/3),2),"-")</f>
        <v>-</v>
      </c>
      <c r="F13" s="100" t="str">
        <f>IF(INPUT!L26 &lt;&gt;"-",ROUND((('CO Attainment'!$J$14*INPUT!L26)/3),2),"-")</f>
        <v>-</v>
      </c>
      <c r="G13" s="100" t="str">
        <f>IF(INPUT!M26 &lt;&gt;"-",ROUND((('CO Attainment'!$J$14*INPUT!M26)/3),2),"-")</f>
        <v>-</v>
      </c>
      <c r="H13" s="100" t="str">
        <f>IF(INPUT!N26 &lt;&gt;"-",ROUND((('CO Attainment'!$J$14*INPUT!N26)/3),2),"-")</f>
        <v>-</v>
      </c>
      <c r="I13" s="100" t="str">
        <f>IF(INPUT!O26 &lt;&gt;"-",ROUND((('CO Attainment'!$J$14*INPUT!O26)/3),2),"-")</f>
        <v>-</v>
      </c>
      <c r="J13" s="100" t="str">
        <f>IF(INPUT!P26 &lt;&gt;"-",ROUND((('CO Attainment'!$J$14*INPUT!P26)/3),2),"-")</f>
        <v>-</v>
      </c>
      <c r="K13" s="100" t="str">
        <f>IF(INPUT!Q26 &lt;&gt;"-",ROUND((('CO Attainment'!$J$14*INPUT!Q26)/3),2),"-")</f>
        <v>-</v>
      </c>
      <c r="L13" s="100" t="str">
        <f>IF(INPUT!R26 &lt;&gt;"-",ROUND((('CO Attainment'!$J$14*INPUT!R26)/3),2),"-")</f>
        <v>-</v>
      </c>
      <c r="M13" s="100" t="str">
        <f>IF(INPUT!S26 &lt;&gt;"-",ROUND((('CO Attainment'!$J$14*INPUT!S26)/3),2),"-")</f>
        <v>-</v>
      </c>
      <c r="N13" s="100" t="str">
        <f>IF(INPUT!T26 &lt;&gt;"-",ROUND((('CO Attainment'!$J$14*INPUT!T26)/3),2),"-")</f>
        <v>-</v>
      </c>
      <c r="O13" s="100" t="str">
        <f>IF(INPUT!U26 &lt;&gt;"-",ROUND((('CO Attainment'!$J$14*INPUT!U26)/3),2),"-")</f>
        <v>-</v>
      </c>
      <c r="P13" s="100" t="str">
        <f>IF(INPUT!V26 &lt;&gt;"-",ROUND((('CO Attainment'!$J$14*INPUT!V26)/3),2),"-")</f>
        <v>-</v>
      </c>
    </row>
    <row r="14" spans="1:16" hidden="1">
      <c r="A14" s="62" t="str">
        <f>INPUT!A16</f>
        <v>CO5</v>
      </c>
      <c r="B14" s="100" t="str">
        <f>IF(INPUT!H27 &lt;&gt;"-",ROUND((('CO Attainment'!$J$15*INPUT!H27)/3),2),"-")</f>
        <v>-</v>
      </c>
      <c r="C14" s="100" t="str">
        <f>IF(INPUT!I27 &lt;&gt;"-",ROUND((('CO Attainment'!$J$15*INPUT!I27)/3),2),"-")</f>
        <v>-</v>
      </c>
      <c r="D14" s="100" t="str">
        <f>IF(INPUT!J27 &lt;&gt;"-",ROUND((('CO Attainment'!$J$15*INPUT!J27)/3),2),"-")</f>
        <v>-</v>
      </c>
      <c r="E14" s="100" t="str">
        <f>IF(INPUT!K27 &lt;&gt;"-",ROUND((('CO Attainment'!$J$15*INPUT!K27)/3),2),"-")</f>
        <v>-</v>
      </c>
      <c r="F14" s="100" t="str">
        <f>IF(INPUT!L27 &lt;&gt;"-",ROUND((('CO Attainment'!$J$15*INPUT!L27)/3),2),"-")</f>
        <v>-</v>
      </c>
      <c r="G14" s="100" t="str">
        <f>IF(INPUT!M27 &lt;&gt;"-",ROUND((('CO Attainment'!$J$15*INPUT!M27)/3),2),"-")</f>
        <v>-</v>
      </c>
      <c r="H14" s="100" t="str">
        <f>IF(INPUT!N27 &lt;&gt;"-",ROUND((('CO Attainment'!$J$15*INPUT!N27)/3),2),"-")</f>
        <v>-</v>
      </c>
      <c r="I14" s="100" t="str">
        <f>IF(INPUT!O27 &lt;&gt;"-",ROUND((('CO Attainment'!$J$15*INPUT!O27)/3),2),"-")</f>
        <v>-</v>
      </c>
      <c r="J14" s="100" t="str">
        <f>IF(INPUT!P27 &lt;&gt;"-",ROUND((('CO Attainment'!$J$15*INPUT!P27)/3),2),"-")</f>
        <v>-</v>
      </c>
      <c r="K14" s="100" t="str">
        <f>IF(INPUT!Q27 &lt;&gt;"-",ROUND((('CO Attainment'!$J$15*INPUT!Q27)/3),2),"-")</f>
        <v>-</v>
      </c>
      <c r="L14" s="100" t="str">
        <f>IF(INPUT!R27 &lt;&gt;"-",ROUND((('CO Attainment'!$J$15*INPUT!R27)/3),2),"-")</f>
        <v>-</v>
      </c>
      <c r="M14" s="100" t="str">
        <f>IF(INPUT!S27 &lt;&gt;"-",ROUND((('CO Attainment'!$J$15*INPUT!S27)/3),2),"-")</f>
        <v>-</v>
      </c>
      <c r="N14" s="100" t="str">
        <f>IF(INPUT!T27 &lt;&gt;"-",ROUND((('CO Attainment'!$J$15*INPUT!T27)/3),2),"-")</f>
        <v>-</v>
      </c>
      <c r="O14" s="100" t="str">
        <f>IF(INPUT!U27 &lt;&gt;"-",ROUND((('CO Attainment'!$J$15*INPUT!U27)/3),2),"-")</f>
        <v>-</v>
      </c>
      <c r="P14" s="100" t="str">
        <f>IF(INPUT!V27 &lt;&gt;"-",ROUND((('CO Attainment'!$J$15*INPUT!V27)/3),2),"-")</f>
        <v>-</v>
      </c>
    </row>
    <row r="15" spans="1:16" hidden="1">
      <c r="A15" s="62" t="str">
        <f>INPUT!A17</f>
        <v>CO6</v>
      </c>
      <c r="B15" s="100" t="str">
        <f>IF(INPUT!H28 &lt;&gt;"-",ROUND((('CO Attainment'!$J$16*INPUT!H28)/3),2),"-")</f>
        <v>-</v>
      </c>
      <c r="C15" s="100" t="str">
        <f>IF(INPUT!I28 &lt;&gt;"-",ROUND((('CO Attainment'!$J$16*INPUT!I28)/3),2),"-")</f>
        <v>-</v>
      </c>
      <c r="D15" s="100" t="str">
        <f>IF(INPUT!J28 &lt;&gt;"-",ROUND((('CO Attainment'!$J$16*INPUT!J28)/3),2),"-")</f>
        <v>-</v>
      </c>
      <c r="E15" s="100" t="str">
        <f>IF(INPUT!K28 &lt;&gt;"-",ROUND((('CO Attainment'!$J$16*INPUT!K28)/3),2),"-")</f>
        <v>-</v>
      </c>
      <c r="F15" s="100" t="str">
        <f>IF(INPUT!L28 &lt;&gt;"-",ROUND((('CO Attainment'!$J$16*INPUT!L28)/3),2),"-")</f>
        <v>-</v>
      </c>
      <c r="G15" s="100" t="str">
        <f>IF(INPUT!M28 &lt;&gt;"-",ROUND((('CO Attainment'!$J$16*INPUT!M28)/3),2),"-")</f>
        <v>-</v>
      </c>
      <c r="H15" s="100" t="str">
        <f>IF(INPUT!N28 &lt;&gt;"-",ROUND((('CO Attainment'!$J$16*INPUT!N28)/3),2),"-")</f>
        <v>-</v>
      </c>
      <c r="I15" s="100" t="str">
        <f>IF(INPUT!O28 &lt;&gt;"-",ROUND((('CO Attainment'!$J$16*INPUT!O28)/3),2),"-")</f>
        <v>-</v>
      </c>
      <c r="J15" s="100" t="str">
        <f>IF(INPUT!P28 &lt;&gt;"-",ROUND((('CO Attainment'!$J$16*INPUT!P28)/3),2),"-")</f>
        <v>-</v>
      </c>
      <c r="K15" s="100" t="str">
        <f>IF(INPUT!Q28 &lt;&gt;"-",ROUND((('CO Attainment'!$J$16*INPUT!Q28)/3),2),"-")</f>
        <v>-</v>
      </c>
      <c r="L15" s="100" t="str">
        <f>IF(INPUT!R28 &lt;&gt;"-",ROUND((('CO Attainment'!$J$16*INPUT!R28)/3),2),"-")</f>
        <v>-</v>
      </c>
      <c r="M15" s="100" t="str">
        <f>IF(INPUT!S28 &lt;&gt;"-",ROUND((('CO Attainment'!$J$16*INPUT!S28)/3),2),"-")</f>
        <v>-</v>
      </c>
      <c r="N15" s="100" t="str">
        <f>IF(INPUT!T28 &lt;&gt;"-",ROUND((('CO Attainment'!$J$16*INPUT!T28)/3),2),"-")</f>
        <v>-</v>
      </c>
      <c r="O15" s="100" t="str">
        <f>IF(INPUT!U28 &lt;&gt;"-",ROUND((('CO Attainment'!$J$16*INPUT!U28)/3),2),"-")</f>
        <v>-</v>
      </c>
      <c r="P15" s="100" t="str">
        <f>IF(INPUT!V28 &lt;&gt;"-",ROUND((('CO Attainment'!$J$16*INPUT!V28)/3),2),"-")</f>
        <v>-</v>
      </c>
    </row>
    <row r="16" spans="1:16" hidden="1">
      <c r="A16" s="62" t="str">
        <f>INPUT!A18</f>
        <v>CO7</v>
      </c>
      <c r="B16" s="100" t="str">
        <f>IF(INPUT!H29 &lt;&gt;"-",ROUND((('CO Attainment'!$J$17*INPUT!H29)/3),2),"-")</f>
        <v>-</v>
      </c>
      <c r="C16" s="100" t="str">
        <f>IF(INPUT!I29 &lt;&gt;"-",ROUND((('CO Attainment'!$J$17*INPUT!I29)/3),2),"-")</f>
        <v>-</v>
      </c>
      <c r="D16" s="100" t="str">
        <f>IF(INPUT!J29 &lt;&gt;"-",ROUND((('CO Attainment'!$J$17*INPUT!J29)/3),2),"-")</f>
        <v>-</v>
      </c>
      <c r="E16" s="100" t="str">
        <f>IF(INPUT!K29 &lt;&gt;"-",ROUND((('CO Attainment'!$J$17*INPUT!K29)/3),2),"-")</f>
        <v>-</v>
      </c>
      <c r="F16" s="100" t="str">
        <f>IF(INPUT!L29 &lt;&gt;"-",ROUND((('CO Attainment'!$J$17*INPUT!L29)/3),2),"-")</f>
        <v>-</v>
      </c>
      <c r="G16" s="100" t="str">
        <f>IF(INPUT!M29 &lt;&gt;"-",ROUND((('CO Attainment'!$J$17*INPUT!M29)/3),2),"-")</f>
        <v>-</v>
      </c>
      <c r="H16" s="100" t="str">
        <f>IF(INPUT!N29 &lt;&gt;"-",ROUND((('CO Attainment'!$J$17*INPUT!N29)/3),2),"-")</f>
        <v>-</v>
      </c>
      <c r="I16" s="100" t="str">
        <f>IF(INPUT!O29 &lt;&gt;"-",ROUND((('CO Attainment'!$J$17*INPUT!O29)/3),2),"-")</f>
        <v>-</v>
      </c>
      <c r="J16" s="100" t="str">
        <f>IF(INPUT!P29 &lt;&gt;"-",ROUND((('CO Attainment'!$J$17*INPUT!P29)/3),2),"-")</f>
        <v>-</v>
      </c>
      <c r="K16" s="100" t="str">
        <f>IF(INPUT!Q29 &lt;&gt;"-",ROUND((('CO Attainment'!$J$17*INPUT!Q29)/3),2),"-")</f>
        <v>-</v>
      </c>
      <c r="L16" s="100" t="str">
        <f>IF(INPUT!R29 &lt;&gt;"-",ROUND((('CO Attainment'!$J$17*INPUT!R29)/3),2),"-")</f>
        <v>-</v>
      </c>
      <c r="M16" s="100" t="str">
        <f>IF(INPUT!S29 &lt;&gt;"-",ROUND((('CO Attainment'!$J$17*INPUT!S29)/3),2),"-")</f>
        <v>-</v>
      </c>
      <c r="N16" s="100" t="str">
        <f>IF(INPUT!T29 &lt;&gt;"-",ROUND((('CO Attainment'!$J$17*INPUT!T29)/3),2),"-")</f>
        <v>-</v>
      </c>
      <c r="O16" s="100" t="str">
        <f>IF(INPUT!U29 &lt;&gt;"-",ROUND((('CO Attainment'!$J$17*INPUT!U29)/3),2),"-")</f>
        <v>-</v>
      </c>
      <c r="P16" s="100" t="str">
        <f>IF(INPUT!V29 &lt;&gt;"-",ROUND((('CO Attainment'!$J$17*INPUT!V29)/3),2),"-")</f>
        <v>-</v>
      </c>
    </row>
    <row r="17" spans="1:16" ht="43.2">
      <c r="A17" s="106" t="s">
        <v>142</v>
      </c>
      <c r="B17" s="102" t="str">
        <f>IFERROR(ROUND(AVERAGE(B10:B16),2),"-")</f>
        <v>-</v>
      </c>
      <c r="C17" s="102" t="str">
        <f t="shared" ref="C17:P17" si="0">IFERROR(ROUND(AVERAGE(C10:C16),2),"-")</f>
        <v>-</v>
      </c>
      <c r="D17" s="102" t="str">
        <f t="shared" si="0"/>
        <v>-</v>
      </c>
      <c r="E17" s="102" t="str">
        <f t="shared" si="0"/>
        <v>-</v>
      </c>
      <c r="F17" s="102" t="str">
        <f t="shared" si="0"/>
        <v>-</v>
      </c>
      <c r="G17" s="102" t="str">
        <f t="shared" si="0"/>
        <v>-</v>
      </c>
      <c r="H17" s="102" t="str">
        <f t="shared" si="0"/>
        <v>-</v>
      </c>
      <c r="I17" s="102" t="str">
        <f t="shared" si="0"/>
        <v>-</v>
      </c>
      <c r="J17" s="102" t="str">
        <f t="shared" si="0"/>
        <v>-</v>
      </c>
      <c r="K17" s="102" t="str">
        <f t="shared" si="0"/>
        <v>-</v>
      </c>
      <c r="L17" s="102" t="str">
        <f t="shared" si="0"/>
        <v>-</v>
      </c>
      <c r="M17" s="102" t="str">
        <f t="shared" si="0"/>
        <v>-</v>
      </c>
      <c r="N17" s="102" t="str">
        <f t="shared" si="0"/>
        <v>-</v>
      </c>
      <c r="O17" s="102" t="str">
        <f t="shared" si="0"/>
        <v>-</v>
      </c>
      <c r="P17" s="102" t="str">
        <f t="shared" si="0"/>
        <v>-</v>
      </c>
    </row>
    <row r="20" spans="1:16">
      <c r="K20" s="191" t="s">
        <v>116</v>
      </c>
      <c r="L20" s="191"/>
      <c r="M20" s="191"/>
      <c r="N20" s="191"/>
      <c r="O20" s="191"/>
      <c r="P20" s="191"/>
    </row>
  </sheetData>
  <sheetProtection algorithmName="SHA-512" hashValue="dTdSDXArfGBAdHw0KzCRx3TIOybvVFoww4L5TPX8iThs/FaRop7OcVb8fC3k8Njva1G8/8rqbnChQPY2kTvmXA==" saltValue="6PmxjevB7Hh7kF9E45o+9w==" spinCount="100000" sheet="1" objects="1" scenarios="1"/>
  <mergeCells count="12">
    <mergeCell ref="A2:P2"/>
    <mergeCell ref="A3:P3"/>
    <mergeCell ref="A4:P4"/>
    <mergeCell ref="C5:E5"/>
    <mergeCell ref="K20:P20"/>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2020-10-15T10:31:56Z</cp:lastPrinted>
  <dcterms:created xsi:type="dcterms:W3CDTF">2019-03-13T10:20:20Z</dcterms:created>
  <dcterms:modified xsi:type="dcterms:W3CDTF">2021-01-30T08:45:39Z</dcterms:modified>
</cp:coreProperties>
</file>